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3 - 1\0. CP 1\"/>
    </mc:Choice>
  </mc:AlternateContent>
  <xr:revisionPtr revIDLastSave="0" documentId="13_ncr:1_{9CF6F146-0B3B-4E9A-9600-D5CEDD29CF77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ex6" sheetId="1" r:id="rId1"/>
    <sheet name="ex7" sheetId="2" r:id="rId2"/>
    <sheet name="ex1_2자동화" sheetId="3" r:id="rId3"/>
    <sheet name="ex7자동화" sheetId="5" r:id="rId4"/>
    <sheet name="ex8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2" l="1"/>
  <c r="I8" i="2"/>
  <c r="D3" i="6"/>
  <c r="F6" i="6"/>
  <c r="B5" i="6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7" i="6"/>
  <c r="H10" i="5"/>
  <c r="H9" i="5"/>
  <c r="H11" i="5" s="1"/>
  <c r="I8" i="5"/>
  <c r="J8" i="5" s="1"/>
  <c r="E8" i="5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E46" i="5" s="1"/>
  <c r="E47" i="5" s="1"/>
  <c r="E48" i="5" s="1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E103" i="5" s="1"/>
  <c r="E104" i="5" s="1"/>
  <c r="E105" i="5" s="1"/>
  <c r="E106" i="5" s="1"/>
  <c r="E107" i="5" s="1"/>
  <c r="E108" i="5" s="1"/>
  <c r="E109" i="5" s="1"/>
  <c r="E110" i="5" s="1"/>
  <c r="E111" i="5" s="1"/>
  <c r="E112" i="5" s="1"/>
  <c r="E113" i="5" s="1"/>
  <c r="E114" i="5" s="1"/>
  <c r="E115" i="5" s="1"/>
  <c r="E116" i="5" s="1"/>
  <c r="E117" i="5" s="1"/>
  <c r="E118" i="5" s="1"/>
  <c r="E119" i="5" s="1"/>
  <c r="E120" i="5" s="1"/>
  <c r="E121" i="5" s="1"/>
  <c r="E122" i="5" s="1"/>
  <c r="E123" i="5" s="1"/>
  <c r="E124" i="5" s="1"/>
  <c r="E125" i="5" s="1"/>
  <c r="E126" i="5" s="1"/>
  <c r="E127" i="5" s="1"/>
  <c r="E128" i="5" s="1"/>
  <c r="E129" i="5" s="1"/>
  <c r="E130" i="5" s="1"/>
  <c r="E131" i="5" s="1"/>
  <c r="E132" i="5" s="1"/>
  <c r="E133" i="5" s="1"/>
  <c r="E134" i="5" s="1"/>
  <c r="E135" i="5" s="1"/>
  <c r="E136" i="5" s="1"/>
  <c r="E137" i="5" s="1"/>
  <c r="E138" i="5" s="1"/>
  <c r="E139" i="5" s="1"/>
  <c r="E140" i="5" s="1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E151" i="5" s="1"/>
  <c r="E152" i="5" s="1"/>
  <c r="E153" i="5" s="1"/>
  <c r="E154" i="5" s="1"/>
  <c r="E155" i="5" s="1"/>
  <c r="E156" i="5" s="1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E167" i="5" s="1"/>
  <c r="E168" i="5" s="1"/>
  <c r="E169" i="5" s="1"/>
  <c r="E170" i="5" s="1"/>
  <c r="E171" i="5" s="1"/>
  <c r="E172" i="5" s="1"/>
  <c r="E173" i="5" s="1"/>
  <c r="E174" i="5" s="1"/>
  <c r="E175" i="5" s="1"/>
  <c r="E176" i="5" s="1"/>
  <c r="E177" i="5" s="1"/>
  <c r="E178" i="5" s="1"/>
  <c r="E179" i="5" s="1"/>
  <c r="E180" i="5" s="1"/>
  <c r="E181" i="5" s="1"/>
  <c r="E182" i="5" s="1"/>
  <c r="E183" i="5" s="1"/>
  <c r="E184" i="5" s="1"/>
  <c r="E185" i="5" s="1"/>
  <c r="E186" i="5" s="1"/>
  <c r="E187" i="5" s="1"/>
  <c r="E188" i="5" s="1"/>
  <c r="E189" i="5" s="1"/>
  <c r="E190" i="5" s="1"/>
  <c r="E191" i="5" s="1"/>
  <c r="E192" i="5" s="1"/>
  <c r="E193" i="5" s="1"/>
  <c r="E194" i="5" s="1"/>
  <c r="E195" i="5" s="1"/>
  <c r="E196" i="5" s="1"/>
  <c r="E197" i="5" s="1"/>
  <c r="E198" i="5" s="1"/>
  <c r="E199" i="5" s="1"/>
  <c r="E200" i="5" s="1"/>
  <c r="E201" i="5" s="1"/>
  <c r="E202" i="5" s="1"/>
  <c r="E203" i="5" s="1"/>
  <c r="E204" i="5" s="1"/>
  <c r="E205" i="5" s="1"/>
  <c r="E206" i="5" s="1"/>
  <c r="E207" i="5" s="1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B8" i="5"/>
  <c r="A8" i="5"/>
  <c r="A9" i="5" s="1"/>
  <c r="I7" i="5"/>
  <c r="B7" i="5"/>
  <c r="R8" i="3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7" i="3"/>
  <c r="B6" i="3"/>
  <c r="C6" i="3"/>
  <c r="G6" i="3"/>
  <c r="J6" i="3"/>
  <c r="A7" i="3"/>
  <c r="B7" i="3" s="1"/>
  <c r="A8" i="3"/>
  <c r="B8" i="3" s="1"/>
  <c r="C8" i="3"/>
  <c r="A9" i="3"/>
  <c r="C9" i="3" s="1"/>
  <c r="B9" i="3"/>
  <c r="H15" i="2"/>
  <c r="H14" i="2"/>
  <c r="H13" i="2"/>
  <c r="H16" i="2" s="1"/>
  <c r="H12" i="2"/>
  <c r="H11" i="2"/>
  <c r="H10" i="2"/>
  <c r="H9" i="2"/>
  <c r="J8" i="2"/>
  <c r="I10" i="2" s="1"/>
  <c r="I7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A9" i="2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8" i="2"/>
  <c r="O488" i="1"/>
  <c r="N488" i="1"/>
  <c r="O487" i="1"/>
  <c r="N487" i="1"/>
  <c r="O486" i="1"/>
  <c r="N486" i="1"/>
  <c r="O485" i="1"/>
  <c r="N485" i="1"/>
  <c r="O484" i="1"/>
  <c r="N484" i="1"/>
  <c r="O483" i="1"/>
  <c r="N483" i="1"/>
  <c r="O482" i="1"/>
  <c r="N482" i="1"/>
  <c r="O481" i="1"/>
  <c r="N481" i="1"/>
  <c r="O480" i="1"/>
  <c r="N480" i="1"/>
  <c r="O479" i="1"/>
  <c r="N479" i="1"/>
  <c r="O478" i="1"/>
  <c r="N478" i="1"/>
  <c r="O477" i="1"/>
  <c r="N477" i="1"/>
  <c r="O476" i="1"/>
  <c r="N476" i="1"/>
  <c r="O475" i="1"/>
  <c r="N475" i="1"/>
  <c r="O474" i="1"/>
  <c r="N474" i="1"/>
  <c r="O473" i="1"/>
  <c r="N473" i="1"/>
  <c r="O472" i="1"/>
  <c r="N472" i="1"/>
  <c r="O471" i="1"/>
  <c r="N471" i="1"/>
  <c r="O470" i="1"/>
  <c r="N470" i="1"/>
  <c r="O469" i="1"/>
  <c r="N469" i="1"/>
  <c r="O468" i="1"/>
  <c r="N468" i="1"/>
  <c r="O467" i="1"/>
  <c r="N467" i="1"/>
  <c r="O466" i="1"/>
  <c r="N466" i="1"/>
  <c r="O465" i="1"/>
  <c r="N465" i="1"/>
  <c r="O464" i="1"/>
  <c r="N464" i="1"/>
  <c r="O463" i="1"/>
  <c r="N463" i="1"/>
  <c r="O462" i="1"/>
  <c r="N462" i="1"/>
  <c r="O461" i="1"/>
  <c r="N461" i="1"/>
  <c r="O460" i="1"/>
  <c r="N460" i="1"/>
  <c r="O459" i="1"/>
  <c r="N459" i="1"/>
  <c r="O458" i="1"/>
  <c r="N458" i="1"/>
  <c r="O457" i="1"/>
  <c r="N457" i="1"/>
  <c r="O456" i="1"/>
  <c r="N456" i="1"/>
  <c r="O455" i="1"/>
  <c r="N455" i="1"/>
  <c r="O454" i="1"/>
  <c r="N454" i="1"/>
  <c r="O453" i="1"/>
  <c r="N453" i="1"/>
  <c r="O452" i="1"/>
  <c r="N452" i="1"/>
  <c r="O451" i="1"/>
  <c r="N451" i="1"/>
  <c r="O450" i="1"/>
  <c r="N450" i="1"/>
  <c r="O449" i="1"/>
  <c r="N449" i="1"/>
  <c r="O448" i="1"/>
  <c r="N448" i="1"/>
  <c r="O447" i="1"/>
  <c r="N447" i="1"/>
  <c r="O446" i="1"/>
  <c r="N446" i="1"/>
  <c r="O445" i="1"/>
  <c r="N445" i="1"/>
  <c r="O444" i="1"/>
  <c r="N444" i="1"/>
  <c r="O443" i="1"/>
  <c r="N443" i="1"/>
  <c r="O442" i="1"/>
  <c r="N442" i="1"/>
  <c r="O441" i="1"/>
  <c r="N441" i="1"/>
  <c r="O440" i="1"/>
  <c r="N440" i="1"/>
  <c r="O439" i="1"/>
  <c r="N439" i="1"/>
  <c r="O438" i="1"/>
  <c r="N438" i="1"/>
  <c r="O437" i="1"/>
  <c r="N437" i="1"/>
  <c r="O436" i="1"/>
  <c r="N436" i="1"/>
  <c r="O435" i="1"/>
  <c r="N435" i="1"/>
  <c r="O434" i="1"/>
  <c r="N434" i="1"/>
  <c r="O433" i="1"/>
  <c r="N433" i="1"/>
  <c r="O432" i="1"/>
  <c r="N432" i="1"/>
  <c r="O431" i="1"/>
  <c r="N431" i="1"/>
  <c r="O430" i="1"/>
  <c r="N430" i="1"/>
  <c r="O429" i="1"/>
  <c r="N429" i="1"/>
  <c r="O428" i="1"/>
  <c r="N428" i="1"/>
  <c r="O427" i="1"/>
  <c r="N427" i="1"/>
  <c r="O426" i="1"/>
  <c r="N426" i="1"/>
  <c r="O425" i="1"/>
  <c r="N425" i="1"/>
  <c r="O424" i="1"/>
  <c r="N424" i="1"/>
  <c r="O423" i="1"/>
  <c r="N423" i="1"/>
  <c r="O422" i="1"/>
  <c r="N422" i="1"/>
  <c r="O421" i="1"/>
  <c r="N421" i="1"/>
  <c r="O420" i="1"/>
  <c r="N420" i="1"/>
  <c r="O419" i="1"/>
  <c r="N419" i="1"/>
  <c r="O418" i="1"/>
  <c r="N418" i="1"/>
  <c r="O417" i="1"/>
  <c r="N417" i="1"/>
  <c r="O416" i="1"/>
  <c r="N416" i="1"/>
  <c r="O415" i="1"/>
  <c r="N415" i="1"/>
  <c r="O414" i="1"/>
  <c r="N414" i="1"/>
  <c r="O413" i="1"/>
  <c r="N413" i="1"/>
  <c r="O412" i="1"/>
  <c r="N412" i="1"/>
  <c r="O411" i="1"/>
  <c r="N411" i="1"/>
  <c r="O410" i="1"/>
  <c r="N410" i="1"/>
  <c r="O409" i="1"/>
  <c r="N409" i="1"/>
  <c r="O408" i="1"/>
  <c r="N408" i="1"/>
  <c r="O407" i="1"/>
  <c r="N407" i="1"/>
  <c r="O406" i="1"/>
  <c r="N406" i="1"/>
  <c r="O405" i="1"/>
  <c r="N405" i="1"/>
  <c r="O404" i="1"/>
  <c r="N404" i="1"/>
  <c r="O403" i="1"/>
  <c r="N403" i="1"/>
  <c r="O402" i="1"/>
  <c r="N402" i="1"/>
  <c r="O401" i="1"/>
  <c r="N401" i="1"/>
  <c r="O400" i="1"/>
  <c r="N400" i="1"/>
  <c r="O399" i="1"/>
  <c r="N399" i="1"/>
  <c r="O398" i="1"/>
  <c r="N398" i="1"/>
  <c r="O397" i="1"/>
  <c r="N397" i="1"/>
  <c r="O396" i="1"/>
  <c r="N396" i="1"/>
  <c r="O395" i="1"/>
  <c r="N395" i="1"/>
  <c r="O394" i="1"/>
  <c r="N394" i="1"/>
  <c r="O393" i="1"/>
  <c r="N393" i="1"/>
  <c r="O392" i="1"/>
  <c r="N392" i="1"/>
  <c r="O391" i="1"/>
  <c r="N391" i="1"/>
  <c r="O390" i="1"/>
  <c r="N390" i="1"/>
  <c r="O389" i="1"/>
  <c r="N389" i="1"/>
  <c r="O388" i="1"/>
  <c r="N388" i="1"/>
  <c r="O387" i="1"/>
  <c r="N387" i="1"/>
  <c r="O386" i="1"/>
  <c r="N386" i="1"/>
  <c r="O385" i="1"/>
  <c r="N385" i="1"/>
  <c r="O384" i="1"/>
  <c r="N384" i="1"/>
  <c r="O383" i="1"/>
  <c r="N383" i="1"/>
  <c r="O382" i="1"/>
  <c r="N382" i="1"/>
  <c r="O381" i="1"/>
  <c r="N381" i="1"/>
  <c r="O380" i="1"/>
  <c r="N380" i="1"/>
  <c r="O379" i="1"/>
  <c r="N379" i="1"/>
  <c r="O378" i="1"/>
  <c r="N378" i="1"/>
  <c r="O377" i="1"/>
  <c r="N377" i="1"/>
  <c r="O376" i="1"/>
  <c r="N376" i="1"/>
  <c r="O375" i="1"/>
  <c r="N375" i="1"/>
  <c r="O374" i="1"/>
  <c r="N374" i="1"/>
  <c r="O373" i="1"/>
  <c r="N373" i="1"/>
  <c r="O372" i="1"/>
  <c r="N372" i="1"/>
  <c r="O371" i="1"/>
  <c r="N371" i="1"/>
  <c r="O370" i="1"/>
  <c r="N370" i="1"/>
  <c r="O369" i="1"/>
  <c r="N369" i="1"/>
  <c r="O368" i="1"/>
  <c r="N368" i="1"/>
  <c r="O367" i="1"/>
  <c r="N367" i="1"/>
  <c r="O366" i="1"/>
  <c r="N366" i="1"/>
  <c r="O365" i="1"/>
  <c r="N365" i="1"/>
  <c r="O364" i="1"/>
  <c r="N364" i="1"/>
  <c r="O363" i="1"/>
  <c r="N363" i="1"/>
  <c r="O362" i="1"/>
  <c r="N362" i="1"/>
  <c r="O361" i="1"/>
  <c r="N361" i="1"/>
  <c r="O360" i="1"/>
  <c r="N360" i="1"/>
  <c r="O359" i="1"/>
  <c r="N359" i="1"/>
  <c r="O358" i="1"/>
  <c r="N358" i="1"/>
  <c r="O357" i="1"/>
  <c r="N357" i="1"/>
  <c r="O356" i="1"/>
  <c r="N356" i="1"/>
  <c r="O355" i="1"/>
  <c r="N355" i="1"/>
  <c r="O354" i="1"/>
  <c r="N354" i="1"/>
  <c r="O353" i="1"/>
  <c r="N353" i="1"/>
  <c r="O352" i="1"/>
  <c r="N352" i="1"/>
  <c r="O351" i="1"/>
  <c r="N351" i="1"/>
  <c r="O350" i="1"/>
  <c r="N350" i="1"/>
  <c r="O349" i="1"/>
  <c r="N349" i="1"/>
  <c r="O348" i="1"/>
  <c r="N348" i="1"/>
  <c r="O347" i="1"/>
  <c r="N347" i="1"/>
  <c r="O346" i="1"/>
  <c r="N346" i="1"/>
  <c r="O345" i="1"/>
  <c r="N345" i="1"/>
  <c r="O344" i="1"/>
  <c r="N344" i="1"/>
  <c r="O343" i="1"/>
  <c r="N343" i="1"/>
  <c r="O342" i="1"/>
  <c r="N342" i="1"/>
  <c r="O341" i="1"/>
  <c r="N341" i="1"/>
  <c r="O340" i="1"/>
  <c r="N340" i="1"/>
  <c r="O339" i="1"/>
  <c r="N339" i="1"/>
  <c r="O338" i="1"/>
  <c r="N338" i="1"/>
  <c r="O337" i="1"/>
  <c r="N337" i="1"/>
  <c r="O336" i="1"/>
  <c r="N336" i="1"/>
  <c r="O335" i="1"/>
  <c r="N335" i="1"/>
  <c r="O334" i="1"/>
  <c r="N334" i="1"/>
  <c r="O333" i="1"/>
  <c r="N333" i="1"/>
  <c r="O332" i="1"/>
  <c r="N332" i="1"/>
  <c r="O331" i="1"/>
  <c r="N331" i="1"/>
  <c r="O330" i="1"/>
  <c r="N330" i="1"/>
  <c r="O329" i="1"/>
  <c r="N329" i="1"/>
  <c r="O328" i="1"/>
  <c r="N328" i="1"/>
  <c r="O327" i="1"/>
  <c r="N327" i="1"/>
  <c r="O326" i="1"/>
  <c r="N326" i="1"/>
  <c r="O325" i="1"/>
  <c r="N325" i="1"/>
  <c r="O324" i="1"/>
  <c r="N324" i="1"/>
  <c r="O323" i="1"/>
  <c r="N323" i="1"/>
  <c r="O322" i="1"/>
  <c r="N322" i="1"/>
  <c r="O321" i="1"/>
  <c r="N321" i="1"/>
  <c r="O320" i="1"/>
  <c r="N320" i="1"/>
  <c r="O319" i="1"/>
  <c r="N319" i="1"/>
  <c r="O318" i="1"/>
  <c r="N318" i="1"/>
  <c r="O317" i="1"/>
  <c r="N317" i="1"/>
  <c r="O316" i="1"/>
  <c r="N316" i="1"/>
  <c r="O315" i="1"/>
  <c r="N315" i="1"/>
  <c r="O314" i="1"/>
  <c r="N314" i="1"/>
  <c r="O313" i="1"/>
  <c r="N313" i="1"/>
  <c r="O312" i="1"/>
  <c r="N312" i="1"/>
  <c r="O311" i="1"/>
  <c r="N311" i="1"/>
  <c r="O310" i="1"/>
  <c r="N310" i="1"/>
  <c r="O309" i="1"/>
  <c r="N309" i="1"/>
  <c r="O308" i="1"/>
  <c r="N308" i="1"/>
  <c r="O307" i="1"/>
  <c r="N307" i="1"/>
  <c r="O306" i="1"/>
  <c r="N306" i="1"/>
  <c r="O305" i="1"/>
  <c r="N305" i="1"/>
  <c r="O304" i="1"/>
  <c r="N304" i="1"/>
  <c r="O303" i="1"/>
  <c r="N303" i="1"/>
  <c r="O302" i="1"/>
  <c r="N302" i="1"/>
  <c r="O301" i="1"/>
  <c r="N301" i="1"/>
  <c r="O300" i="1"/>
  <c r="N300" i="1"/>
  <c r="O299" i="1"/>
  <c r="N299" i="1"/>
  <c r="O298" i="1"/>
  <c r="N298" i="1"/>
  <c r="O297" i="1"/>
  <c r="N297" i="1"/>
  <c r="O296" i="1"/>
  <c r="N296" i="1"/>
  <c r="O295" i="1"/>
  <c r="N295" i="1"/>
  <c r="O294" i="1"/>
  <c r="N294" i="1"/>
  <c r="O293" i="1"/>
  <c r="N293" i="1"/>
  <c r="O292" i="1"/>
  <c r="N292" i="1"/>
  <c r="O291" i="1"/>
  <c r="N291" i="1"/>
  <c r="O290" i="1"/>
  <c r="N290" i="1"/>
  <c r="O289" i="1"/>
  <c r="N289" i="1"/>
  <c r="O288" i="1"/>
  <c r="N288" i="1"/>
  <c r="O287" i="1"/>
  <c r="N287" i="1"/>
  <c r="O286" i="1"/>
  <c r="N286" i="1"/>
  <c r="O285" i="1"/>
  <c r="N285" i="1"/>
  <c r="O284" i="1"/>
  <c r="N284" i="1"/>
  <c r="O283" i="1"/>
  <c r="N283" i="1"/>
  <c r="O282" i="1"/>
  <c r="N282" i="1"/>
  <c r="O281" i="1"/>
  <c r="N281" i="1"/>
  <c r="O280" i="1"/>
  <c r="N280" i="1"/>
  <c r="O279" i="1"/>
  <c r="N279" i="1"/>
  <c r="O278" i="1"/>
  <c r="N278" i="1"/>
  <c r="O277" i="1"/>
  <c r="N277" i="1"/>
  <c r="O276" i="1"/>
  <c r="N276" i="1"/>
  <c r="O275" i="1"/>
  <c r="N275" i="1"/>
  <c r="O274" i="1"/>
  <c r="N274" i="1"/>
  <c r="O273" i="1"/>
  <c r="N273" i="1"/>
  <c r="O272" i="1"/>
  <c r="N272" i="1"/>
  <c r="O271" i="1"/>
  <c r="N271" i="1"/>
  <c r="O270" i="1"/>
  <c r="N270" i="1"/>
  <c r="O269" i="1"/>
  <c r="N269" i="1"/>
  <c r="O268" i="1"/>
  <c r="N268" i="1"/>
  <c r="O267" i="1"/>
  <c r="N267" i="1"/>
  <c r="O266" i="1"/>
  <c r="N266" i="1"/>
  <c r="O265" i="1"/>
  <c r="N265" i="1"/>
  <c r="O264" i="1"/>
  <c r="N264" i="1"/>
  <c r="O263" i="1"/>
  <c r="N263" i="1"/>
  <c r="O262" i="1"/>
  <c r="N262" i="1"/>
  <c r="O261" i="1"/>
  <c r="N261" i="1"/>
  <c r="O260" i="1"/>
  <c r="N260" i="1"/>
  <c r="O259" i="1"/>
  <c r="N259" i="1"/>
  <c r="O258" i="1"/>
  <c r="N258" i="1"/>
  <c r="O257" i="1"/>
  <c r="N257" i="1"/>
  <c r="O256" i="1"/>
  <c r="N256" i="1"/>
  <c r="O255" i="1"/>
  <c r="N255" i="1"/>
  <c r="O254" i="1"/>
  <c r="N254" i="1"/>
  <c r="O253" i="1"/>
  <c r="N253" i="1"/>
  <c r="O252" i="1"/>
  <c r="N252" i="1"/>
  <c r="O251" i="1"/>
  <c r="N251" i="1"/>
  <c r="O250" i="1"/>
  <c r="N250" i="1"/>
  <c r="O249" i="1"/>
  <c r="N249" i="1"/>
  <c r="O248" i="1"/>
  <c r="N248" i="1"/>
  <c r="O247" i="1"/>
  <c r="N247" i="1"/>
  <c r="O246" i="1"/>
  <c r="N246" i="1"/>
  <c r="O245" i="1"/>
  <c r="N245" i="1"/>
  <c r="O244" i="1"/>
  <c r="N244" i="1"/>
  <c r="O243" i="1"/>
  <c r="N243" i="1"/>
  <c r="O242" i="1"/>
  <c r="N242" i="1"/>
  <c r="O241" i="1"/>
  <c r="N241" i="1"/>
  <c r="O240" i="1"/>
  <c r="N240" i="1"/>
  <c r="O239" i="1"/>
  <c r="N239" i="1"/>
  <c r="O238" i="1"/>
  <c r="N238" i="1"/>
  <c r="O237" i="1"/>
  <c r="N237" i="1"/>
  <c r="O236" i="1"/>
  <c r="N236" i="1"/>
  <c r="O235" i="1"/>
  <c r="N235" i="1"/>
  <c r="O234" i="1"/>
  <c r="N234" i="1"/>
  <c r="O233" i="1"/>
  <c r="N233" i="1"/>
  <c r="O232" i="1"/>
  <c r="N232" i="1"/>
  <c r="O231" i="1"/>
  <c r="N231" i="1"/>
  <c r="O230" i="1"/>
  <c r="N230" i="1"/>
  <c r="O229" i="1"/>
  <c r="N229" i="1"/>
  <c r="O228" i="1"/>
  <c r="N228" i="1"/>
  <c r="O227" i="1"/>
  <c r="N227" i="1"/>
  <c r="O226" i="1"/>
  <c r="N226" i="1"/>
  <c r="O225" i="1"/>
  <c r="N225" i="1"/>
  <c r="O224" i="1"/>
  <c r="N224" i="1"/>
  <c r="O223" i="1"/>
  <c r="N223" i="1"/>
  <c r="O222" i="1"/>
  <c r="N222" i="1"/>
  <c r="O221" i="1"/>
  <c r="N221" i="1"/>
  <c r="O220" i="1"/>
  <c r="N220" i="1"/>
  <c r="O219" i="1"/>
  <c r="N219" i="1"/>
  <c r="O218" i="1"/>
  <c r="N218" i="1"/>
  <c r="O217" i="1"/>
  <c r="N217" i="1"/>
  <c r="O216" i="1"/>
  <c r="N216" i="1"/>
  <c r="O215" i="1"/>
  <c r="N215" i="1"/>
  <c r="O214" i="1"/>
  <c r="N214" i="1"/>
  <c r="O213" i="1"/>
  <c r="N213" i="1"/>
  <c r="O212" i="1"/>
  <c r="N212" i="1"/>
  <c r="O211" i="1"/>
  <c r="N211" i="1"/>
  <c r="O210" i="1"/>
  <c r="N210" i="1"/>
  <c r="O209" i="1"/>
  <c r="N209" i="1"/>
  <c r="O208" i="1"/>
  <c r="N208" i="1"/>
  <c r="O207" i="1"/>
  <c r="N207" i="1"/>
  <c r="O206" i="1"/>
  <c r="N206" i="1"/>
  <c r="O205" i="1"/>
  <c r="N205" i="1"/>
  <c r="O204" i="1"/>
  <c r="N204" i="1"/>
  <c r="O203" i="1"/>
  <c r="N203" i="1"/>
  <c r="O202" i="1"/>
  <c r="N202" i="1"/>
  <c r="O201" i="1"/>
  <c r="N201" i="1"/>
  <c r="O200" i="1"/>
  <c r="N200" i="1"/>
  <c r="O199" i="1"/>
  <c r="N199" i="1"/>
  <c r="O198" i="1"/>
  <c r="N198" i="1"/>
  <c r="O197" i="1"/>
  <c r="N197" i="1"/>
  <c r="O196" i="1"/>
  <c r="N196" i="1"/>
  <c r="O195" i="1"/>
  <c r="N195" i="1"/>
  <c r="O194" i="1"/>
  <c r="N194" i="1"/>
  <c r="O193" i="1"/>
  <c r="N193" i="1"/>
  <c r="O192" i="1"/>
  <c r="N192" i="1"/>
  <c r="O191" i="1"/>
  <c r="N191" i="1"/>
  <c r="O190" i="1"/>
  <c r="N190" i="1"/>
  <c r="O189" i="1"/>
  <c r="N189" i="1"/>
  <c r="O188" i="1"/>
  <c r="N188" i="1"/>
  <c r="O187" i="1"/>
  <c r="N187" i="1"/>
  <c r="O186" i="1"/>
  <c r="N186" i="1"/>
  <c r="O185" i="1"/>
  <c r="N185" i="1"/>
  <c r="O184" i="1"/>
  <c r="N184" i="1"/>
  <c r="O183" i="1"/>
  <c r="N183" i="1"/>
  <c r="O182" i="1"/>
  <c r="N182" i="1"/>
  <c r="O181" i="1"/>
  <c r="N181" i="1"/>
  <c r="O180" i="1"/>
  <c r="N180" i="1"/>
  <c r="O179" i="1"/>
  <c r="N179" i="1"/>
  <c r="O178" i="1"/>
  <c r="N178" i="1"/>
  <c r="O177" i="1"/>
  <c r="N177" i="1"/>
  <c r="O176" i="1"/>
  <c r="N176" i="1"/>
  <c r="O175" i="1"/>
  <c r="N175" i="1"/>
  <c r="O174" i="1"/>
  <c r="N174" i="1"/>
  <c r="O173" i="1"/>
  <c r="N173" i="1"/>
  <c r="O172" i="1"/>
  <c r="N172" i="1"/>
  <c r="O171" i="1"/>
  <c r="N171" i="1"/>
  <c r="O170" i="1"/>
  <c r="N170" i="1"/>
  <c r="O169" i="1"/>
  <c r="N169" i="1"/>
  <c r="O168" i="1"/>
  <c r="N168" i="1"/>
  <c r="O167" i="1"/>
  <c r="N167" i="1"/>
  <c r="O166" i="1"/>
  <c r="N166" i="1"/>
  <c r="O165" i="1"/>
  <c r="N165" i="1"/>
  <c r="O164" i="1"/>
  <c r="N164" i="1"/>
  <c r="O163" i="1"/>
  <c r="N163" i="1"/>
  <c r="O162" i="1"/>
  <c r="N162" i="1"/>
  <c r="O161" i="1"/>
  <c r="N161" i="1"/>
  <c r="O160" i="1"/>
  <c r="N160" i="1"/>
  <c r="O159" i="1"/>
  <c r="N159" i="1"/>
  <c r="O158" i="1"/>
  <c r="N158" i="1"/>
  <c r="O157" i="1"/>
  <c r="N157" i="1"/>
  <c r="O156" i="1"/>
  <c r="N156" i="1"/>
  <c r="O155" i="1"/>
  <c r="N155" i="1"/>
  <c r="O154" i="1"/>
  <c r="N154" i="1"/>
  <c r="O153" i="1"/>
  <c r="N153" i="1"/>
  <c r="O152" i="1"/>
  <c r="N152" i="1"/>
  <c r="O151" i="1"/>
  <c r="N151" i="1"/>
  <c r="O150" i="1"/>
  <c r="N150" i="1"/>
  <c r="O149" i="1"/>
  <c r="N149" i="1"/>
  <c r="O148" i="1"/>
  <c r="N148" i="1"/>
  <c r="O147" i="1"/>
  <c r="N147" i="1"/>
  <c r="O146" i="1"/>
  <c r="N146" i="1"/>
  <c r="O145" i="1"/>
  <c r="N145" i="1"/>
  <c r="O144" i="1"/>
  <c r="N144" i="1"/>
  <c r="O143" i="1"/>
  <c r="N143" i="1"/>
  <c r="O142" i="1"/>
  <c r="N142" i="1"/>
  <c r="O141" i="1"/>
  <c r="N141" i="1"/>
  <c r="O140" i="1"/>
  <c r="N140" i="1"/>
  <c r="O139" i="1"/>
  <c r="N139" i="1"/>
  <c r="O138" i="1"/>
  <c r="N138" i="1"/>
  <c r="O137" i="1"/>
  <c r="N137" i="1"/>
  <c r="O136" i="1"/>
  <c r="N136" i="1"/>
  <c r="O135" i="1"/>
  <c r="N135" i="1"/>
  <c r="O134" i="1"/>
  <c r="N134" i="1"/>
  <c r="O133" i="1"/>
  <c r="N133" i="1"/>
  <c r="O132" i="1"/>
  <c r="N132" i="1"/>
  <c r="O131" i="1"/>
  <c r="N131" i="1"/>
  <c r="O130" i="1"/>
  <c r="N130" i="1"/>
  <c r="O129" i="1"/>
  <c r="N129" i="1"/>
  <c r="O128" i="1"/>
  <c r="N128" i="1"/>
  <c r="O127" i="1"/>
  <c r="N127" i="1"/>
  <c r="O126" i="1"/>
  <c r="N126" i="1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O106" i="1"/>
  <c r="N106" i="1"/>
  <c r="O105" i="1"/>
  <c r="N105" i="1"/>
  <c r="O104" i="1"/>
  <c r="N104" i="1"/>
  <c r="O103" i="1"/>
  <c r="N103" i="1"/>
  <c r="O102" i="1"/>
  <c r="N102" i="1"/>
  <c r="O101" i="1"/>
  <c r="N101" i="1"/>
  <c r="O100" i="1"/>
  <c r="N100" i="1"/>
  <c r="O99" i="1"/>
  <c r="N99" i="1"/>
  <c r="O98" i="1"/>
  <c r="N98" i="1"/>
  <c r="O97" i="1"/>
  <c r="N97" i="1"/>
  <c r="O96" i="1"/>
  <c r="N96" i="1"/>
  <c r="O95" i="1"/>
  <c r="N95" i="1"/>
  <c r="O94" i="1"/>
  <c r="N94" i="1"/>
  <c r="O93" i="1"/>
  <c r="N93" i="1"/>
  <c r="O92" i="1"/>
  <c r="N92" i="1"/>
  <c r="O91" i="1"/>
  <c r="N91" i="1"/>
  <c r="O90" i="1"/>
  <c r="N90" i="1"/>
  <c r="O89" i="1"/>
  <c r="N89" i="1"/>
  <c r="O88" i="1"/>
  <c r="N88" i="1"/>
  <c r="O87" i="1"/>
  <c r="N87" i="1"/>
  <c r="O86" i="1"/>
  <c r="N86" i="1"/>
  <c r="O85" i="1"/>
  <c r="N85" i="1"/>
  <c r="O84" i="1"/>
  <c r="N84" i="1"/>
  <c r="O83" i="1"/>
  <c r="N83" i="1"/>
  <c r="O82" i="1"/>
  <c r="N82" i="1"/>
  <c r="O81" i="1"/>
  <c r="N81" i="1"/>
  <c r="O80" i="1"/>
  <c r="N80" i="1"/>
  <c r="O79" i="1"/>
  <c r="N79" i="1"/>
  <c r="O78" i="1"/>
  <c r="N78" i="1"/>
  <c r="O77" i="1"/>
  <c r="N77" i="1"/>
  <c r="O76" i="1"/>
  <c r="N76" i="1"/>
  <c r="O75" i="1"/>
  <c r="N75" i="1"/>
  <c r="O74" i="1"/>
  <c r="N74" i="1"/>
  <c r="O73" i="1"/>
  <c r="N73" i="1"/>
  <c r="O72" i="1"/>
  <c r="N72" i="1"/>
  <c r="O71" i="1"/>
  <c r="N71" i="1"/>
  <c r="O70" i="1"/>
  <c r="N70" i="1"/>
  <c r="O69" i="1"/>
  <c r="N69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1" i="1"/>
  <c r="N61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O44" i="1"/>
  <c r="N44" i="1"/>
  <c r="O43" i="1"/>
  <c r="N43" i="1"/>
  <c r="O42" i="1"/>
  <c r="N42" i="1"/>
  <c r="O41" i="1"/>
  <c r="N41" i="1"/>
  <c r="O40" i="1"/>
  <c r="N40" i="1"/>
  <c r="O39" i="1"/>
  <c r="N39" i="1"/>
  <c r="O38" i="1"/>
  <c r="N38" i="1"/>
  <c r="O37" i="1"/>
  <c r="N37" i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9" i="1"/>
  <c r="N29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1" i="1"/>
  <c r="N21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O9" i="1"/>
  <c r="N9" i="1"/>
  <c r="O8" i="1"/>
  <c r="N8" i="1"/>
  <c r="O7" i="1"/>
  <c r="N7" i="1"/>
  <c r="O6" i="1"/>
  <c r="N6" i="1"/>
  <c r="L488" i="1"/>
  <c r="K488" i="1"/>
  <c r="L487" i="1"/>
  <c r="K487" i="1"/>
  <c r="L486" i="1"/>
  <c r="K486" i="1"/>
  <c r="L485" i="1"/>
  <c r="K485" i="1"/>
  <c r="L484" i="1"/>
  <c r="K484" i="1"/>
  <c r="L483" i="1"/>
  <c r="K483" i="1"/>
  <c r="L482" i="1"/>
  <c r="K482" i="1"/>
  <c r="L481" i="1"/>
  <c r="K481" i="1"/>
  <c r="L480" i="1"/>
  <c r="K480" i="1"/>
  <c r="L479" i="1"/>
  <c r="K479" i="1"/>
  <c r="L478" i="1"/>
  <c r="K478" i="1"/>
  <c r="L477" i="1"/>
  <c r="K477" i="1"/>
  <c r="L476" i="1"/>
  <c r="K476" i="1"/>
  <c r="L475" i="1"/>
  <c r="K475" i="1"/>
  <c r="L474" i="1"/>
  <c r="K474" i="1"/>
  <c r="L473" i="1"/>
  <c r="K473" i="1"/>
  <c r="L472" i="1"/>
  <c r="K472" i="1"/>
  <c r="L471" i="1"/>
  <c r="K471" i="1"/>
  <c r="L470" i="1"/>
  <c r="K470" i="1"/>
  <c r="L469" i="1"/>
  <c r="K469" i="1"/>
  <c r="L468" i="1"/>
  <c r="K468" i="1"/>
  <c r="L467" i="1"/>
  <c r="K467" i="1"/>
  <c r="L466" i="1"/>
  <c r="K466" i="1"/>
  <c r="L465" i="1"/>
  <c r="K465" i="1"/>
  <c r="L464" i="1"/>
  <c r="K464" i="1"/>
  <c r="L463" i="1"/>
  <c r="K463" i="1"/>
  <c r="L462" i="1"/>
  <c r="K462" i="1"/>
  <c r="L461" i="1"/>
  <c r="K461" i="1"/>
  <c r="L460" i="1"/>
  <c r="K460" i="1"/>
  <c r="L459" i="1"/>
  <c r="K459" i="1"/>
  <c r="L458" i="1"/>
  <c r="K458" i="1"/>
  <c r="L457" i="1"/>
  <c r="K457" i="1"/>
  <c r="L456" i="1"/>
  <c r="K456" i="1"/>
  <c r="L455" i="1"/>
  <c r="K455" i="1"/>
  <c r="L454" i="1"/>
  <c r="K454" i="1"/>
  <c r="L453" i="1"/>
  <c r="K453" i="1"/>
  <c r="L452" i="1"/>
  <c r="K452" i="1"/>
  <c r="L451" i="1"/>
  <c r="K451" i="1"/>
  <c r="L450" i="1"/>
  <c r="K450" i="1"/>
  <c r="L449" i="1"/>
  <c r="K449" i="1"/>
  <c r="L448" i="1"/>
  <c r="K448" i="1"/>
  <c r="L447" i="1"/>
  <c r="K447" i="1"/>
  <c r="L446" i="1"/>
  <c r="K446" i="1"/>
  <c r="L445" i="1"/>
  <c r="K445" i="1"/>
  <c r="L444" i="1"/>
  <c r="K444" i="1"/>
  <c r="L443" i="1"/>
  <c r="K443" i="1"/>
  <c r="L442" i="1"/>
  <c r="K442" i="1"/>
  <c r="L441" i="1"/>
  <c r="K441" i="1"/>
  <c r="L440" i="1"/>
  <c r="K440" i="1"/>
  <c r="L439" i="1"/>
  <c r="K439" i="1"/>
  <c r="L438" i="1"/>
  <c r="K438" i="1"/>
  <c r="L437" i="1"/>
  <c r="K437" i="1"/>
  <c r="L436" i="1"/>
  <c r="K436" i="1"/>
  <c r="L435" i="1"/>
  <c r="K435" i="1"/>
  <c r="L434" i="1"/>
  <c r="K434" i="1"/>
  <c r="L433" i="1"/>
  <c r="K433" i="1"/>
  <c r="L432" i="1"/>
  <c r="K432" i="1"/>
  <c r="L431" i="1"/>
  <c r="K431" i="1"/>
  <c r="L430" i="1"/>
  <c r="K430" i="1"/>
  <c r="L429" i="1"/>
  <c r="K429" i="1"/>
  <c r="L428" i="1"/>
  <c r="K428" i="1"/>
  <c r="L427" i="1"/>
  <c r="K427" i="1"/>
  <c r="L426" i="1"/>
  <c r="K426" i="1"/>
  <c r="L425" i="1"/>
  <c r="K425" i="1"/>
  <c r="L424" i="1"/>
  <c r="K424" i="1"/>
  <c r="L423" i="1"/>
  <c r="K423" i="1"/>
  <c r="L422" i="1"/>
  <c r="K422" i="1"/>
  <c r="L421" i="1"/>
  <c r="K421" i="1"/>
  <c r="L420" i="1"/>
  <c r="K420" i="1"/>
  <c r="L419" i="1"/>
  <c r="K419" i="1"/>
  <c r="L418" i="1"/>
  <c r="K418" i="1"/>
  <c r="L417" i="1"/>
  <c r="K417" i="1"/>
  <c r="L416" i="1"/>
  <c r="K416" i="1"/>
  <c r="L415" i="1"/>
  <c r="K415" i="1"/>
  <c r="L414" i="1"/>
  <c r="K414" i="1"/>
  <c r="L413" i="1"/>
  <c r="K413" i="1"/>
  <c r="L412" i="1"/>
  <c r="K412" i="1"/>
  <c r="L411" i="1"/>
  <c r="K411" i="1"/>
  <c r="L410" i="1"/>
  <c r="K410" i="1"/>
  <c r="L409" i="1"/>
  <c r="K409" i="1"/>
  <c r="L408" i="1"/>
  <c r="K408" i="1"/>
  <c r="L407" i="1"/>
  <c r="K407" i="1"/>
  <c r="L406" i="1"/>
  <c r="K406" i="1"/>
  <c r="L405" i="1"/>
  <c r="K405" i="1"/>
  <c r="L404" i="1"/>
  <c r="K404" i="1"/>
  <c r="L403" i="1"/>
  <c r="K403" i="1"/>
  <c r="L402" i="1"/>
  <c r="K402" i="1"/>
  <c r="L401" i="1"/>
  <c r="K401" i="1"/>
  <c r="L400" i="1"/>
  <c r="K400" i="1"/>
  <c r="L399" i="1"/>
  <c r="K399" i="1"/>
  <c r="L398" i="1"/>
  <c r="K398" i="1"/>
  <c r="L397" i="1"/>
  <c r="K397" i="1"/>
  <c r="L396" i="1"/>
  <c r="K396" i="1"/>
  <c r="L395" i="1"/>
  <c r="K395" i="1"/>
  <c r="L394" i="1"/>
  <c r="K394" i="1"/>
  <c r="L393" i="1"/>
  <c r="K393" i="1"/>
  <c r="L392" i="1"/>
  <c r="K392" i="1"/>
  <c r="L391" i="1"/>
  <c r="K391" i="1"/>
  <c r="L390" i="1"/>
  <c r="K390" i="1"/>
  <c r="L389" i="1"/>
  <c r="K389" i="1"/>
  <c r="L388" i="1"/>
  <c r="K388" i="1"/>
  <c r="L387" i="1"/>
  <c r="K387" i="1"/>
  <c r="L386" i="1"/>
  <c r="K386" i="1"/>
  <c r="L385" i="1"/>
  <c r="K385" i="1"/>
  <c r="L384" i="1"/>
  <c r="K384" i="1"/>
  <c r="L383" i="1"/>
  <c r="K383" i="1"/>
  <c r="L382" i="1"/>
  <c r="K382" i="1"/>
  <c r="L381" i="1"/>
  <c r="K381" i="1"/>
  <c r="L380" i="1"/>
  <c r="K380" i="1"/>
  <c r="L379" i="1"/>
  <c r="K379" i="1"/>
  <c r="L378" i="1"/>
  <c r="K378" i="1"/>
  <c r="L377" i="1"/>
  <c r="K377" i="1"/>
  <c r="L376" i="1"/>
  <c r="K376" i="1"/>
  <c r="L375" i="1"/>
  <c r="K375" i="1"/>
  <c r="L374" i="1"/>
  <c r="K374" i="1"/>
  <c r="L373" i="1"/>
  <c r="K373" i="1"/>
  <c r="L372" i="1"/>
  <c r="K372" i="1"/>
  <c r="L371" i="1"/>
  <c r="K371" i="1"/>
  <c r="L370" i="1"/>
  <c r="K370" i="1"/>
  <c r="L369" i="1"/>
  <c r="K369" i="1"/>
  <c r="L368" i="1"/>
  <c r="K368" i="1"/>
  <c r="L367" i="1"/>
  <c r="K367" i="1"/>
  <c r="L366" i="1"/>
  <c r="K366" i="1"/>
  <c r="L365" i="1"/>
  <c r="K365" i="1"/>
  <c r="L364" i="1"/>
  <c r="K364" i="1"/>
  <c r="L363" i="1"/>
  <c r="K363" i="1"/>
  <c r="L362" i="1"/>
  <c r="K362" i="1"/>
  <c r="L361" i="1"/>
  <c r="K361" i="1"/>
  <c r="L360" i="1"/>
  <c r="K360" i="1"/>
  <c r="L359" i="1"/>
  <c r="K359" i="1"/>
  <c r="L358" i="1"/>
  <c r="K358" i="1"/>
  <c r="L357" i="1"/>
  <c r="K357" i="1"/>
  <c r="L356" i="1"/>
  <c r="K356" i="1"/>
  <c r="L355" i="1"/>
  <c r="K355" i="1"/>
  <c r="L354" i="1"/>
  <c r="K354" i="1"/>
  <c r="L353" i="1"/>
  <c r="K353" i="1"/>
  <c r="L352" i="1"/>
  <c r="K352" i="1"/>
  <c r="L351" i="1"/>
  <c r="K351" i="1"/>
  <c r="L350" i="1"/>
  <c r="K350" i="1"/>
  <c r="L349" i="1"/>
  <c r="K349" i="1"/>
  <c r="L348" i="1"/>
  <c r="K348" i="1"/>
  <c r="L347" i="1"/>
  <c r="K347" i="1"/>
  <c r="L346" i="1"/>
  <c r="K346" i="1"/>
  <c r="L345" i="1"/>
  <c r="K345" i="1"/>
  <c r="L344" i="1"/>
  <c r="K344" i="1"/>
  <c r="L343" i="1"/>
  <c r="K343" i="1"/>
  <c r="L342" i="1"/>
  <c r="K342" i="1"/>
  <c r="L341" i="1"/>
  <c r="K341" i="1"/>
  <c r="L340" i="1"/>
  <c r="K340" i="1"/>
  <c r="L339" i="1"/>
  <c r="K339" i="1"/>
  <c r="L338" i="1"/>
  <c r="K338" i="1"/>
  <c r="L337" i="1"/>
  <c r="K337" i="1"/>
  <c r="L336" i="1"/>
  <c r="K336" i="1"/>
  <c r="L335" i="1"/>
  <c r="K335" i="1"/>
  <c r="L334" i="1"/>
  <c r="K334" i="1"/>
  <c r="L333" i="1"/>
  <c r="K333" i="1"/>
  <c r="L332" i="1"/>
  <c r="K332" i="1"/>
  <c r="L331" i="1"/>
  <c r="K331" i="1"/>
  <c r="L330" i="1"/>
  <c r="K330" i="1"/>
  <c r="L329" i="1"/>
  <c r="K329" i="1"/>
  <c r="L328" i="1"/>
  <c r="K328" i="1"/>
  <c r="L327" i="1"/>
  <c r="K327" i="1"/>
  <c r="L326" i="1"/>
  <c r="K326" i="1"/>
  <c r="L325" i="1"/>
  <c r="K325" i="1"/>
  <c r="L324" i="1"/>
  <c r="K324" i="1"/>
  <c r="L323" i="1"/>
  <c r="K323" i="1"/>
  <c r="L322" i="1"/>
  <c r="K322" i="1"/>
  <c r="L321" i="1"/>
  <c r="K321" i="1"/>
  <c r="L320" i="1"/>
  <c r="K320" i="1"/>
  <c r="L319" i="1"/>
  <c r="K319" i="1"/>
  <c r="L318" i="1"/>
  <c r="K318" i="1"/>
  <c r="L317" i="1"/>
  <c r="K317" i="1"/>
  <c r="L316" i="1"/>
  <c r="K316" i="1"/>
  <c r="L315" i="1"/>
  <c r="K315" i="1"/>
  <c r="L314" i="1"/>
  <c r="K314" i="1"/>
  <c r="L313" i="1"/>
  <c r="K313" i="1"/>
  <c r="L312" i="1"/>
  <c r="K312" i="1"/>
  <c r="L311" i="1"/>
  <c r="K311" i="1"/>
  <c r="L310" i="1"/>
  <c r="K310" i="1"/>
  <c r="L309" i="1"/>
  <c r="K309" i="1"/>
  <c r="L308" i="1"/>
  <c r="K308" i="1"/>
  <c r="L307" i="1"/>
  <c r="K307" i="1"/>
  <c r="L306" i="1"/>
  <c r="K306" i="1"/>
  <c r="L305" i="1"/>
  <c r="K305" i="1"/>
  <c r="L304" i="1"/>
  <c r="K304" i="1"/>
  <c r="L303" i="1"/>
  <c r="K303" i="1"/>
  <c r="L302" i="1"/>
  <c r="K302" i="1"/>
  <c r="L301" i="1"/>
  <c r="K301" i="1"/>
  <c r="L300" i="1"/>
  <c r="K300" i="1"/>
  <c r="L299" i="1"/>
  <c r="K299" i="1"/>
  <c r="L298" i="1"/>
  <c r="K298" i="1"/>
  <c r="L297" i="1"/>
  <c r="K297" i="1"/>
  <c r="L296" i="1"/>
  <c r="K296" i="1"/>
  <c r="L295" i="1"/>
  <c r="K295" i="1"/>
  <c r="L294" i="1"/>
  <c r="K294" i="1"/>
  <c r="L293" i="1"/>
  <c r="K293" i="1"/>
  <c r="L292" i="1"/>
  <c r="K292" i="1"/>
  <c r="L291" i="1"/>
  <c r="K291" i="1"/>
  <c r="L290" i="1"/>
  <c r="K290" i="1"/>
  <c r="L289" i="1"/>
  <c r="K289" i="1"/>
  <c r="L288" i="1"/>
  <c r="K288" i="1"/>
  <c r="L287" i="1"/>
  <c r="K287" i="1"/>
  <c r="L286" i="1"/>
  <c r="K286" i="1"/>
  <c r="L285" i="1"/>
  <c r="K285" i="1"/>
  <c r="L284" i="1"/>
  <c r="K284" i="1"/>
  <c r="L283" i="1"/>
  <c r="K283" i="1"/>
  <c r="L282" i="1"/>
  <c r="K282" i="1"/>
  <c r="L281" i="1"/>
  <c r="K281" i="1"/>
  <c r="L280" i="1"/>
  <c r="K280" i="1"/>
  <c r="L279" i="1"/>
  <c r="K279" i="1"/>
  <c r="L278" i="1"/>
  <c r="K278" i="1"/>
  <c r="L277" i="1"/>
  <c r="K277" i="1"/>
  <c r="L276" i="1"/>
  <c r="K276" i="1"/>
  <c r="L275" i="1"/>
  <c r="K275" i="1"/>
  <c r="L274" i="1"/>
  <c r="K274" i="1"/>
  <c r="L273" i="1"/>
  <c r="K273" i="1"/>
  <c r="L272" i="1"/>
  <c r="K272" i="1"/>
  <c r="L271" i="1"/>
  <c r="K271" i="1"/>
  <c r="L270" i="1"/>
  <c r="K270" i="1"/>
  <c r="L269" i="1"/>
  <c r="K269" i="1"/>
  <c r="L268" i="1"/>
  <c r="K268" i="1"/>
  <c r="L267" i="1"/>
  <c r="K267" i="1"/>
  <c r="L266" i="1"/>
  <c r="K266" i="1"/>
  <c r="L265" i="1"/>
  <c r="K265" i="1"/>
  <c r="L264" i="1"/>
  <c r="K264" i="1"/>
  <c r="L263" i="1"/>
  <c r="K263" i="1"/>
  <c r="L262" i="1"/>
  <c r="K262" i="1"/>
  <c r="L261" i="1"/>
  <c r="K261" i="1"/>
  <c r="L260" i="1"/>
  <c r="K260" i="1"/>
  <c r="L259" i="1"/>
  <c r="K259" i="1"/>
  <c r="L258" i="1"/>
  <c r="K258" i="1"/>
  <c r="L257" i="1"/>
  <c r="K257" i="1"/>
  <c r="L256" i="1"/>
  <c r="K256" i="1"/>
  <c r="L255" i="1"/>
  <c r="K255" i="1"/>
  <c r="L254" i="1"/>
  <c r="K254" i="1"/>
  <c r="L253" i="1"/>
  <c r="K253" i="1"/>
  <c r="L252" i="1"/>
  <c r="K252" i="1"/>
  <c r="L251" i="1"/>
  <c r="K251" i="1"/>
  <c r="L250" i="1"/>
  <c r="K250" i="1"/>
  <c r="L249" i="1"/>
  <c r="K249" i="1"/>
  <c r="L248" i="1"/>
  <c r="K248" i="1"/>
  <c r="L247" i="1"/>
  <c r="K247" i="1"/>
  <c r="L246" i="1"/>
  <c r="K246" i="1"/>
  <c r="L245" i="1"/>
  <c r="K245" i="1"/>
  <c r="L244" i="1"/>
  <c r="K244" i="1"/>
  <c r="L243" i="1"/>
  <c r="K243" i="1"/>
  <c r="L242" i="1"/>
  <c r="K242" i="1"/>
  <c r="L241" i="1"/>
  <c r="K241" i="1"/>
  <c r="L240" i="1"/>
  <c r="K240" i="1"/>
  <c r="L239" i="1"/>
  <c r="K239" i="1"/>
  <c r="L238" i="1"/>
  <c r="K238" i="1"/>
  <c r="L237" i="1"/>
  <c r="K237" i="1"/>
  <c r="L236" i="1"/>
  <c r="K236" i="1"/>
  <c r="L235" i="1"/>
  <c r="K235" i="1"/>
  <c r="L234" i="1"/>
  <c r="K234" i="1"/>
  <c r="L233" i="1"/>
  <c r="K233" i="1"/>
  <c r="L232" i="1"/>
  <c r="K232" i="1"/>
  <c r="L231" i="1"/>
  <c r="K23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222" i="1"/>
  <c r="K222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L209" i="1"/>
  <c r="K209" i="1"/>
  <c r="L208" i="1"/>
  <c r="K208" i="1"/>
  <c r="L207" i="1"/>
  <c r="K207" i="1"/>
  <c r="L206" i="1"/>
  <c r="K206" i="1"/>
  <c r="L205" i="1"/>
  <c r="K205" i="1"/>
  <c r="L204" i="1"/>
  <c r="K204" i="1"/>
  <c r="L203" i="1"/>
  <c r="K203" i="1"/>
  <c r="L202" i="1"/>
  <c r="K202" i="1"/>
  <c r="L201" i="1"/>
  <c r="K201" i="1"/>
  <c r="L200" i="1"/>
  <c r="K200" i="1"/>
  <c r="L199" i="1"/>
  <c r="K199" i="1"/>
  <c r="L198" i="1"/>
  <c r="K198" i="1"/>
  <c r="L197" i="1"/>
  <c r="K197" i="1"/>
  <c r="L196" i="1"/>
  <c r="K196" i="1"/>
  <c r="L195" i="1"/>
  <c r="K195" i="1"/>
  <c r="L194" i="1"/>
  <c r="K194" i="1"/>
  <c r="L193" i="1"/>
  <c r="K193" i="1"/>
  <c r="L192" i="1"/>
  <c r="K192" i="1"/>
  <c r="L191" i="1"/>
  <c r="K191" i="1"/>
  <c r="L190" i="1"/>
  <c r="K190" i="1"/>
  <c r="L189" i="1"/>
  <c r="K189" i="1"/>
  <c r="L188" i="1"/>
  <c r="K188" i="1"/>
  <c r="L187" i="1"/>
  <c r="K187" i="1"/>
  <c r="L186" i="1"/>
  <c r="K186" i="1"/>
  <c r="L185" i="1"/>
  <c r="K185" i="1"/>
  <c r="L184" i="1"/>
  <c r="K184" i="1"/>
  <c r="L183" i="1"/>
  <c r="K183" i="1"/>
  <c r="L182" i="1"/>
  <c r="K182" i="1"/>
  <c r="L181" i="1"/>
  <c r="K181" i="1"/>
  <c r="L180" i="1"/>
  <c r="K180" i="1"/>
  <c r="L179" i="1"/>
  <c r="K179" i="1"/>
  <c r="L178" i="1"/>
  <c r="K178" i="1"/>
  <c r="L177" i="1"/>
  <c r="K177" i="1"/>
  <c r="L176" i="1"/>
  <c r="K176" i="1"/>
  <c r="L175" i="1"/>
  <c r="K175" i="1"/>
  <c r="L174" i="1"/>
  <c r="K174" i="1"/>
  <c r="L173" i="1"/>
  <c r="K173" i="1"/>
  <c r="L172" i="1"/>
  <c r="K172" i="1"/>
  <c r="L171" i="1"/>
  <c r="K171" i="1"/>
  <c r="L170" i="1"/>
  <c r="K170" i="1"/>
  <c r="L169" i="1"/>
  <c r="K169" i="1"/>
  <c r="L168" i="1"/>
  <c r="K168" i="1"/>
  <c r="L167" i="1"/>
  <c r="K167" i="1"/>
  <c r="L166" i="1"/>
  <c r="K166" i="1"/>
  <c r="L165" i="1"/>
  <c r="K165" i="1"/>
  <c r="L164" i="1"/>
  <c r="K164" i="1"/>
  <c r="L163" i="1"/>
  <c r="K163" i="1"/>
  <c r="L162" i="1"/>
  <c r="K162" i="1"/>
  <c r="L161" i="1"/>
  <c r="K161" i="1"/>
  <c r="L160" i="1"/>
  <c r="K160" i="1"/>
  <c r="L159" i="1"/>
  <c r="K159" i="1"/>
  <c r="L158" i="1"/>
  <c r="K158" i="1"/>
  <c r="L157" i="1"/>
  <c r="K157" i="1"/>
  <c r="L156" i="1"/>
  <c r="K156" i="1"/>
  <c r="L155" i="1"/>
  <c r="K155" i="1"/>
  <c r="L154" i="1"/>
  <c r="K154" i="1"/>
  <c r="L153" i="1"/>
  <c r="K153" i="1"/>
  <c r="L152" i="1"/>
  <c r="K152" i="1"/>
  <c r="L151" i="1"/>
  <c r="K151" i="1"/>
  <c r="L150" i="1"/>
  <c r="K150" i="1"/>
  <c r="L149" i="1"/>
  <c r="K149" i="1"/>
  <c r="L148" i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/>
  <c r="K141" i="1"/>
  <c r="L140" i="1"/>
  <c r="K140" i="1"/>
  <c r="L139" i="1"/>
  <c r="K139" i="1"/>
  <c r="L138" i="1"/>
  <c r="K138" i="1"/>
  <c r="L137" i="1"/>
  <c r="K137" i="1"/>
  <c r="L136" i="1"/>
  <c r="K136" i="1"/>
  <c r="L135" i="1"/>
  <c r="K135" i="1"/>
  <c r="L134" i="1"/>
  <c r="K134" i="1"/>
  <c r="L133" i="1"/>
  <c r="K133" i="1"/>
  <c r="L132" i="1"/>
  <c r="K132" i="1"/>
  <c r="L131" i="1"/>
  <c r="K131" i="1"/>
  <c r="L130" i="1"/>
  <c r="K130" i="1"/>
  <c r="L129" i="1"/>
  <c r="K129" i="1"/>
  <c r="L128" i="1"/>
  <c r="K128" i="1"/>
  <c r="L127" i="1"/>
  <c r="K127" i="1"/>
  <c r="L126" i="1"/>
  <c r="K126" i="1"/>
  <c r="L125" i="1"/>
  <c r="K125" i="1"/>
  <c r="L124" i="1"/>
  <c r="K124" i="1"/>
  <c r="L123" i="1"/>
  <c r="K123" i="1"/>
  <c r="L122" i="1"/>
  <c r="K122" i="1"/>
  <c r="L121" i="1"/>
  <c r="K121" i="1"/>
  <c r="L120" i="1"/>
  <c r="K120" i="1"/>
  <c r="L119" i="1"/>
  <c r="K119" i="1"/>
  <c r="L118" i="1"/>
  <c r="K118" i="1"/>
  <c r="L117" i="1"/>
  <c r="K117" i="1"/>
  <c r="L116" i="1"/>
  <c r="K116" i="1"/>
  <c r="L115" i="1"/>
  <c r="K115" i="1"/>
  <c r="L114" i="1"/>
  <c r="K114" i="1"/>
  <c r="L113" i="1"/>
  <c r="K113" i="1"/>
  <c r="L112" i="1"/>
  <c r="K112" i="1"/>
  <c r="L111" i="1"/>
  <c r="K111" i="1"/>
  <c r="L110" i="1"/>
  <c r="K110" i="1"/>
  <c r="L109" i="1"/>
  <c r="K109" i="1"/>
  <c r="L108" i="1"/>
  <c r="K108" i="1"/>
  <c r="L107" i="1"/>
  <c r="K107" i="1"/>
  <c r="L106" i="1"/>
  <c r="K106" i="1"/>
  <c r="L105" i="1"/>
  <c r="K105" i="1"/>
  <c r="L104" i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L97" i="1"/>
  <c r="K97" i="1"/>
  <c r="L96" i="1"/>
  <c r="K96" i="1"/>
  <c r="L95" i="1"/>
  <c r="K95" i="1"/>
  <c r="L94" i="1"/>
  <c r="K94" i="1"/>
  <c r="L93" i="1"/>
  <c r="K93" i="1"/>
  <c r="L92" i="1"/>
  <c r="K92" i="1"/>
  <c r="L91" i="1"/>
  <c r="K91" i="1"/>
  <c r="L90" i="1"/>
  <c r="K90" i="1"/>
  <c r="L89" i="1"/>
  <c r="K89" i="1"/>
  <c r="L88" i="1"/>
  <c r="K88" i="1"/>
  <c r="L87" i="1"/>
  <c r="K87" i="1"/>
  <c r="L86" i="1"/>
  <c r="K86" i="1"/>
  <c r="L85" i="1"/>
  <c r="K85" i="1"/>
  <c r="L84" i="1"/>
  <c r="K84" i="1"/>
  <c r="L83" i="1"/>
  <c r="K83" i="1"/>
  <c r="L82" i="1"/>
  <c r="K82" i="1"/>
  <c r="L81" i="1"/>
  <c r="K81" i="1"/>
  <c r="L80" i="1"/>
  <c r="K80" i="1"/>
  <c r="L79" i="1"/>
  <c r="K79" i="1"/>
  <c r="L78" i="1"/>
  <c r="K78" i="1"/>
  <c r="L77" i="1"/>
  <c r="K77" i="1"/>
  <c r="L76" i="1"/>
  <c r="K76" i="1"/>
  <c r="L75" i="1"/>
  <c r="K75" i="1"/>
  <c r="L74" i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F488" i="1"/>
  <c r="R488" i="1" s="1"/>
  <c r="F487" i="1"/>
  <c r="R487" i="1" s="1"/>
  <c r="F486" i="1"/>
  <c r="R486" i="1" s="1"/>
  <c r="F485" i="1"/>
  <c r="R485" i="1" s="1"/>
  <c r="F484" i="1"/>
  <c r="R484" i="1" s="1"/>
  <c r="F483" i="1"/>
  <c r="R483" i="1" s="1"/>
  <c r="F482" i="1"/>
  <c r="R482" i="1" s="1"/>
  <c r="F481" i="1"/>
  <c r="R481" i="1" s="1"/>
  <c r="F480" i="1"/>
  <c r="F479" i="1"/>
  <c r="R479" i="1" s="1"/>
  <c r="F478" i="1"/>
  <c r="R478" i="1" s="1"/>
  <c r="F477" i="1"/>
  <c r="R477" i="1" s="1"/>
  <c r="F476" i="1"/>
  <c r="R476" i="1" s="1"/>
  <c r="F475" i="1"/>
  <c r="R475" i="1" s="1"/>
  <c r="F474" i="1"/>
  <c r="R474" i="1" s="1"/>
  <c r="F473" i="1"/>
  <c r="R473" i="1" s="1"/>
  <c r="F472" i="1"/>
  <c r="R472" i="1" s="1"/>
  <c r="F471" i="1"/>
  <c r="R471" i="1" s="1"/>
  <c r="F470" i="1"/>
  <c r="R470" i="1" s="1"/>
  <c r="F469" i="1"/>
  <c r="R469" i="1" s="1"/>
  <c r="F468" i="1"/>
  <c r="F467" i="1"/>
  <c r="R467" i="1" s="1"/>
  <c r="F466" i="1"/>
  <c r="R466" i="1" s="1"/>
  <c r="F465" i="1"/>
  <c r="R465" i="1" s="1"/>
  <c r="F464" i="1"/>
  <c r="R464" i="1" s="1"/>
  <c r="F463" i="1"/>
  <c r="R463" i="1" s="1"/>
  <c r="F462" i="1"/>
  <c r="R462" i="1" s="1"/>
  <c r="F461" i="1"/>
  <c r="R461" i="1" s="1"/>
  <c r="F460" i="1"/>
  <c r="R460" i="1" s="1"/>
  <c r="F459" i="1"/>
  <c r="R459" i="1" s="1"/>
  <c r="F458" i="1"/>
  <c r="R458" i="1" s="1"/>
  <c r="F457" i="1"/>
  <c r="R457" i="1" s="1"/>
  <c r="F456" i="1"/>
  <c r="F455" i="1"/>
  <c r="R455" i="1" s="1"/>
  <c r="F454" i="1"/>
  <c r="R454" i="1" s="1"/>
  <c r="F453" i="1"/>
  <c r="R453" i="1" s="1"/>
  <c r="F452" i="1"/>
  <c r="R452" i="1" s="1"/>
  <c r="F451" i="1"/>
  <c r="R451" i="1" s="1"/>
  <c r="F450" i="1"/>
  <c r="R450" i="1" s="1"/>
  <c r="F449" i="1"/>
  <c r="R449" i="1" s="1"/>
  <c r="F448" i="1"/>
  <c r="R448" i="1" s="1"/>
  <c r="F447" i="1"/>
  <c r="R447" i="1" s="1"/>
  <c r="F446" i="1"/>
  <c r="R446" i="1" s="1"/>
  <c r="F445" i="1"/>
  <c r="R445" i="1" s="1"/>
  <c r="F444" i="1"/>
  <c r="F443" i="1"/>
  <c r="R443" i="1" s="1"/>
  <c r="F442" i="1"/>
  <c r="R442" i="1" s="1"/>
  <c r="F441" i="1"/>
  <c r="R441" i="1" s="1"/>
  <c r="F440" i="1"/>
  <c r="R440" i="1" s="1"/>
  <c r="F439" i="1"/>
  <c r="R439" i="1" s="1"/>
  <c r="F438" i="1"/>
  <c r="R438" i="1" s="1"/>
  <c r="F437" i="1"/>
  <c r="R437" i="1" s="1"/>
  <c r="F436" i="1"/>
  <c r="R436" i="1" s="1"/>
  <c r="F435" i="1"/>
  <c r="R435" i="1" s="1"/>
  <c r="F434" i="1"/>
  <c r="R434" i="1" s="1"/>
  <c r="F433" i="1"/>
  <c r="R433" i="1" s="1"/>
  <c r="F432" i="1"/>
  <c r="F431" i="1"/>
  <c r="R431" i="1" s="1"/>
  <c r="F430" i="1"/>
  <c r="R430" i="1" s="1"/>
  <c r="F429" i="1"/>
  <c r="R429" i="1" s="1"/>
  <c r="F428" i="1"/>
  <c r="R428" i="1" s="1"/>
  <c r="F427" i="1"/>
  <c r="R427" i="1" s="1"/>
  <c r="F426" i="1"/>
  <c r="R426" i="1" s="1"/>
  <c r="F425" i="1"/>
  <c r="R425" i="1" s="1"/>
  <c r="F424" i="1"/>
  <c r="R424" i="1" s="1"/>
  <c r="F423" i="1"/>
  <c r="R423" i="1" s="1"/>
  <c r="F422" i="1"/>
  <c r="R422" i="1" s="1"/>
  <c r="F421" i="1"/>
  <c r="R421" i="1" s="1"/>
  <c r="F420" i="1"/>
  <c r="F419" i="1"/>
  <c r="R419" i="1" s="1"/>
  <c r="F418" i="1"/>
  <c r="R418" i="1" s="1"/>
  <c r="F417" i="1"/>
  <c r="R417" i="1" s="1"/>
  <c r="F416" i="1"/>
  <c r="R416" i="1" s="1"/>
  <c r="F415" i="1"/>
  <c r="R415" i="1" s="1"/>
  <c r="F414" i="1"/>
  <c r="R414" i="1" s="1"/>
  <c r="F413" i="1"/>
  <c r="R413" i="1" s="1"/>
  <c r="F412" i="1"/>
  <c r="R412" i="1" s="1"/>
  <c r="F411" i="1"/>
  <c r="R411" i="1" s="1"/>
  <c r="F410" i="1"/>
  <c r="R410" i="1" s="1"/>
  <c r="F409" i="1"/>
  <c r="R409" i="1" s="1"/>
  <c r="F408" i="1"/>
  <c r="F407" i="1"/>
  <c r="R407" i="1" s="1"/>
  <c r="F406" i="1"/>
  <c r="R406" i="1" s="1"/>
  <c r="F405" i="1"/>
  <c r="R405" i="1" s="1"/>
  <c r="F404" i="1"/>
  <c r="R404" i="1" s="1"/>
  <c r="F403" i="1"/>
  <c r="R403" i="1" s="1"/>
  <c r="F402" i="1"/>
  <c r="R402" i="1" s="1"/>
  <c r="F401" i="1"/>
  <c r="R401" i="1" s="1"/>
  <c r="F400" i="1"/>
  <c r="R400" i="1" s="1"/>
  <c r="F399" i="1"/>
  <c r="R399" i="1" s="1"/>
  <c r="F398" i="1"/>
  <c r="R398" i="1" s="1"/>
  <c r="F397" i="1"/>
  <c r="R397" i="1" s="1"/>
  <c r="F396" i="1"/>
  <c r="F395" i="1"/>
  <c r="R395" i="1" s="1"/>
  <c r="F394" i="1"/>
  <c r="R394" i="1" s="1"/>
  <c r="F393" i="1"/>
  <c r="R393" i="1" s="1"/>
  <c r="F392" i="1"/>
  <c r="R392" i="1" s="1"/>
  <c r="F391" i="1"/>
  <c r="R391" i="1" s="1"/>
  <c r="F390" i="1"/>
  <c r="R390" i="1" s="1"/>
  <c r="F389" i="1"/>
  <c r="R389" i="1" s="1"/>
  <c r="F388" i="1"/>
  <c r="R388" i="1" s="1"/>
  <c r="F387" i="1"/>
  <c r="R387" i="1" s="1"/>
  <c r="F386" i="1"/>
  <c r="R386" i="1" s="1"/>
  <c r="F385" i="1"/>
  <c r="R385" i="1" s="1"/>
  <c r="F384" i="1"/>
  <c r="F383" i="1"/>
  <c r="R383" i="1" s="1"/>
  <c r="F382" i="1"/>
  <c r="R382" i="1" s="1"/>
  <c r="F381" i="1"/>
  <c r="R381" i="1" s="1"/>
  <c r="F380" i="1"/>
  <c r="R380" i="1" s="1"/>
  <c r="F379" i="1"/>
  <c r="R379" i="1" s="1"/>
  <c r="F378" i="1"/>
  <c r="R378" i="1" s="1"/>
  <c r="F377" i="1"/>
  <c r="R377" i="1" s="1"/>
  <c r="F376" i="1"/>
  <c r="R376" i="1" s="1"/>
  <c r="F375" i="1"/>
  <c r="R375" i="1" s="1"/>
  <c r="F374" i="1"/>
  <c r="R374" i="1" s="1"/>
  <c r="F373" i="1"/>
  <c r="R373" i="1" s="1"/>
  <c r="F372" i="1"/>
  <c r="F371" i="1"/>
  <c r="R371" i="1" s="1"/>
  <c r="F370" i="1"/>
  <c r="R370" i="1" s="1"/>
  <c r="F369" i="1"/>
  <c r="R369" i="1" s="1"/>
  <c r="F368" i="1"/>
  <c r="R368" i="1" s="1"/>
  <c r="F367" i="1"/>
  <c r="R367" i="1" s="1"/>
  <c r="F366" i="1"/>
  <c r="R366" i="1" s="1"/>
  <c r="F365" i="1"/>
  <c r="R365" i="1" s="1"/>
  <c r="F364" i="1"/>
  <c r="R364" i="1" s="1"/>
  <c r="F363" i="1"/>
  <c r="R363" i="1" s="1"/>
  <c r="F362" i="1"/>
  <c r="R362" i="1" s="1"/>
  <c r="F361" i="1"/>
  <c r="R361" i="1" s="1"/>
  <c r="F360" i="1"/>
  <c r="F359" i="1"/>
  <c r="R359" i="1" s="1"/>
  <c r="F358" i="1"/>
  <c r="R358" i="1" s="1"/>
  <c r="F357" i="1"/>
  <c r="R357" i="1" s="1"/>
  <c r="F356" i="1"/>
  <c r="R356" i="1" s="1"/>
  <c r="F355" i="1"/>
  <c r="R355" i="1" s="1"/>
  <c r="F354" i="1"/>
  <c r="R354" i="1" s="1"/>
  <c r="F353" i="1"/>
  <c r="R353" i="1" s="1"/>
  <c r="F352" i="1"/>
  <c r="R352" i="1" s="1"/>
  <c r="F351" i="1"/>
  <c r="R351" i="1" s="1"/>
  <c r="F350" i="1"/>
  <c r="R350" i="1" s="1"/>
  <c r="F349" i="1"/>
  <c r="R349" i="1" s="1"/>
  <c r="F348" i="1"/>
  <c r="F347" i="1"/>
  <c r="R347" i="1" s="1"/>
  <c r="F346" i="1"/>
  <c r="R346" i="1" s="1"/>
  <c r="F345" i="1"/>
  <c r="R345" i="1" s="1"/>
  <c r="F344" i="1"/>
  <c r="R344" i="1" s="1"/>
  <c r="F343" i="1"/>
  <c r="R343" i="1" s="1"/>
  <c r="F342" i="1"/>
  <c r="R342" i="1" s="1"/>
  <c r="F341" i="1"/>
  <c r="R341" i="1" s="1"/>
  <c r="F340" i="1"/>
  <c r="R340" i="1" s="1"/>
  <c r="F339" i="1"/>
  <c r="R339" i="1" s="1"/>
  <c r="F338" i="1"/>
  <c r="R338" i="1" s="1"/>
  <c r="F337" i="1"/>
  <c r="R337" i="1" s="1"/>
  <c r="F336" i="1"/>
  <c r="F335" i="1"/>
  <c r="R335" i="1" s="1"/>
  <c r="F334" i="1"/>
  <c r="R334" i="1" s="1"/>
  <c r="F333" i="1"/>
  <c r="R333" i="1" s="1"/>
  <c r="F332" i="1"/>
  <c r="R332" i="1" s="1"/>
  <c r="F331" i="1"/>
  <c r="R331" i="1" s="1"/>
  <c r="F330" i="1"/>
  <c r="R330" i="1" s="1"/>
  <c r="F329" i="1"/>
  <c r="R329" i="1" s="1"/>
  <c r="F328" i="1"/>
  <c r="R328" i="1" s="1"/>
  <c r="F327" i="1"/>
  <c r="R327" i="1" s="1"/>
  <c r="F326" i="1"/>
  <c r="R326" i="1" s="1"/>
  <c r="F325" i="1"/>
  <c r="R325" i="1" s="1"/>
  <c r="F324" i="1"/>
  <c r="F323" i="1"/>
  <c r="R323" i="1" s="1"/>
  <c r="F322" i="1"/>
  <c r="R322" i="1" s="1"/>
  <c r="F321" i="1"/>
  <c r="R321" i="1" s="1"/>
  <c r="F320" i="1"/>
  <c r="R320" i="1" s="1"/>
  <c r="F319" i="1"/>
  <c r="R319" i="1" s="1"/>
  <c r="F318" i="1"/>
  <c r="R318" i="1" s="1"/>
  <c r="F317" i="1"/>
  <c r="R317" i="1" s="1"/>
  <c r="F316" i="1"/>
  <c r="R316" i="1" s="1"/>
  <c r="F315" i="1"/>
  <c r="R315" i="1" s="1"/>
  <c r="F314" i="1"/>
  <c r="R314" i="1" s="1"/>
  <c r="F313" i="1"/>
  <c r="R313" i="1" s="1"/>
  <c r="F312" i="1"/>
  <c r="F311" i="1"/>
  <c r="R311" i="1" s="1"/>
  <c r="F310" i="1"/>
  <c r="R310" i="1" s="1"/>
  <c r="F309" i="1"/>
  <c r="R309" i="1" s="1"/>
  <c r="F308" i="1"/>
  <c r="R308" i="1" s="1"/>
  <c r="F307" i="1"/>
  <c r="R307" i="1" s="1"/>
  <c r="F306" i="1"/>
  <c r="R306" i="1" s="1"/>
  <c r="F305" i="1"/>
  <c r="R305" i="1" s="1"/>
  <c r="F304" i="1"/>
  <c r="R304" i="1" s="1"/>
  <c r="F303" i="1"/>
  <c r="R303" i="1" s="1"/>
  <c r="F302" i="1"/>
  <c r="R302" i="1" s="1"/>
  <c r="F301" i="1"/>
  <c r="R301" i="1" s="1"/>
  <c r="F300" i="1"/>
  <c r="F299" i="1"/>
  <c r="R299" i="1" s="1"/>
  <c r="F298" i="1"/>
  <c r="R298" i="1" s="1"/>
  <c r="F297" i="1"/>
  <c r="R297" i="1" s="1"/>
  <c r="F296" i="1"/>
  <c r="R296" i="1" s="1"/>
  <c r="F295" i="1"/>
  <c r="R295" i="1" s="1"/>
  <c r="F294" i="1"/>
  <c r="R294" i="1" s="1"/>
  <c r="F293" i="1"/>
  <c r="R293" i="1" s="1"/>
  <c r="F292" i="1"/>
  <c r="R292" i="1" s="1"/>
  <c r="F291" i="1"/>
  <c r="R291" i="1" s="1"/>
  <c r="F290" i="1"/>
  <c r="R290" i="1" s="1"/>
  <c r="F289" i="1"/>
  <c r="R289" i="1" s="1"/>
  <c r="F288" i="1"/>
  <c r="F287" i="1"/>
  <c r="R287" i="1" s="1"/>
  <c r="F286" i="1"/>
  <c r="R286" i="1" s="1"/>
  <c r="F285" i="1"/>
  <c r="R285" i="1" s="1"/>
  <c r="F284" i="1"/>
  <c r="R284" i="1" s="1"/>
  <c r="F283" i="1"/>
  <c r="R283" i="1" s="1"/>
  <c r="F282" i="1"/>
  <c r="R282" i="1" s="1"/>
  <c r="F281" i="1"/>
  <c r="R281" i="1" s="1"/>
  <c r="F280" i="1"/>
  <c r="R280" i="1" s="1"/>
  <c r="F279" i="1"/>
  <c r="R279" i="1" s="1"/>
  <c r="F278" i="1"/>
  <c r="R278" i="1" s="1"/>
  <c r="F277" i="1"/>
  <c r="R277" i="1" s="1"/>
  <c r="F276" i="1"/>
  <c r="F275" i="1"/>
  <c r="R275" i="1" s="1"/>
  <c r="F274" i="1"/>
  <c r="R274" i="1" s="1"/>
  <c r="F273" i="1"/>
  <c r="R273" i="1" s="1"/>
  <c r="F272" i="1"/>
  <c r="R272" i="1" s="1"/>
  <c r="F271" i="1"/>
  <c r="R271" i="1" s="1"/>
  <c r="F270" i="1"/>
  <c r="R270" i="1" s="1"/>
  <c r="F269" i="1"/>
  <c r="R269" i="1" s="1"/>
  <c r="F268" i="1"/>
  <c r="R268" i="1" s="1"/>
  <c r="F267" i="1"/>
  <c r="R267" i="1" s="1"/>
  <c r="F266" i="1"/>
  <c r="R266" i="1" s="1"/>
  <c r="F265" i="1"/>
  <c r="R265" i="1" s="1"/>
  <c r="F264" i="1"/>
  <c r="F263" i="1"/>
  <c r="R263" i="1" s="1"/>
  <c r="F262" i="1"/>
  <c r="R262" i="1" s="1"/>
  <c r="F261" i="1"/>
  <c r="R261" i="1" s="1"/>
  <c r="F260" i="1"/>
  <c r="R260" i="1" s="1"/>
  <c r="F259" i="1"/>
  <c r="R259" i="1" s="1"/>
  <c r="F258" i="1"/>
  <c r="R258" i="1" s="1"/>
  <c r="F257" i="1"/>
  <c r="R257" i="1" s="1"/>
  <c r="F256" i="1"/>
  <c r="R256" i="1" s="1"/>
  <c r="F255" i="1"/>
  <c r="R255" i="1" s="1"/>
  <c r="F254" i="1"/>
  <c r="R254" i="1" s="1"/>
  <c r="F253" i="1"/>
  <c r="R253" i="1" s="1"/>
  <c r="F252" i="1"/>
  <c r="F251" i="1"/>
  <c r="R251" i="1" s="1"/>
  <c r="F250" i="1"/>
  <c r="R250" i="1" s="1"/>
  <c r="F249" i="1"/>
  <c r="R249" i="1" s="1"/>
  <c r="F248" i="1"/>
  <c r="R248" i="1" s="1"/>
  <c r="F247" i="1"/>
  <c r="R247" i="1" s="1"/>
  <c r="F246" i="1"/>
  <c r="R246" i="1" s="1"/>
  <c r="F245" i="1"/>
  <c r="R245" i="1" s="1"/>
  <c r="F244" i="1"/>
  <c r="R244" i="1" s="1"/>
  <c r="F243" i="1"/>
  <c r="R243" i="1" s="1"/>
  <c r="F242" i="1"/>
  <c r="R242" i="1" s="1"/>
  <c r="F241" i="1"/>
  <c r="R241" i="1" s="1"/>
  <c r="F240" i="1"/>
  <c r="F239" i="1"/>
  <c r="R239" i="1" s="1"/>
  <c r="F238" i="1"/>
  <c r="R238" i="1" s="1"/>
  <c r="F237" i="1"/>
  <c r="R237" i="1" s="1"/>
  <c r="F236" i="1"/>
  <c r="R236" i="1" s="1"/>
  <c r="F235" i="1"/>
  <c r="R235" i="1" s="1"/>
  <c r="F234" i="1"/>
  <c r="R234" i="1" s="1"/>
  <c r="F233" i="1"/>
  <c r="R233" i="1" s="1"/>
  <c r="F232" i="1"/>
  <c r="R232" i="1" s="1"/>
  <c r="F231" i="1"/>
  <c r="R231" i="1" s="1"/>
  <c r="F230" i="1"/>
  <c r="R230" i="1" s="1"/>
  <c r="F229" i="1"/>
  <c r="R229" i="1" s="1"/>
  <c r="F228" i="1"/>
  <c r="F227" i="1"/>
  <c r="R227" i="1" s="1"/>
  <c r="F226" i="1"/>
  <c r="R226" i="1" s="1"/>
  <c r="F225" i="1"/>
  <c r="R225" i="1" s="1"/>
  <c r="F224" i="1"/>
  <c r="R224" i="1" s="1"/>
  <c r="F223" i="1"/>
  <c r="R223" i="1" s="1"/>
  <c r="F222" i="1"/>
  <c r="R222" i="1" s="1"/>
  <c r="F221" i="1"/>
  <c r="R221" i="1" s="1"/>
  <c r="F220" i="1"/>
  <c r="R220" i="1" s="1"/>
  <c r="F219" i="1"/>
  <c r="R219" i="1" s="1"/>
  <c r="F218" i="1"/>
  <c r="R218" i="1" s="1"/>
  <c r="F217" i="1"/>
  <c r="R217" i="1" s="1"/>
  <c r="F216" i="1"/>
  <c r="F215" i="1"/>
  <c r="R215" i="1" s="1"/>
  <c r="F214" i="1"/>
  <c r="R214" i="1" s="1"/>
  <c r="F213" i="1"/>
  <c r="R213" i="1" s="1"/>
  <c r="F212" i="1"/>
  <c r="R212" i="1" s="1"/>
  <c r="F211" i="1"/>
  <c r="R211" i="1" s="1"/>
  <c r="F210" i="1"/>
  <c r="R210" i="1" s="1"/>
  <c r="F209" i="1"/>
  <c r="R209" i="1" s="1"/>
  <c r="F208" i="1"/>
  <c r="R208" i="1" s="1"/>
  <c r="F207" i="1"/>
  <c r="R207" i="1" s="1"/>
  <c r="F206" i="1"/>
  <c r="R206" i="1" s="1"/>
  <c r="F205" i="1"/>
  <c r="R205" i="1" s="1"/>
  <c r="F204" i="1"/>
  <c r="F203" i="1"/>
  <c r="R203" i="1" s="1"/>
  <c r="F202" i="1"/>
  <c r="R202" i="1" s="1"/>
  <c r="F201" i="1"/>
  <c r="R201" i="1" s="1"/>
  <c r="F200" i="1"/>
  <c r="R200" i="1" s="1"/>
  <c r="F199" i="1"/>
  <c r="R199" i="1" s="1"/>
  <c r="F198" i="1"/>
  <c r="R198" i="1" s="1"/>
  <c r="F197" i="1"/>
  <c r="R197" i="1" s="1"/>
  <c r="F196" i="1"/>
  <c r="R196" i="1" s="1"/>
  <c r="F195" i="1"/>
  <c r="R195" i="1" s="1"/>
  <c r="F194" i="1"/>
  <c r="R194" i="1" s="1"/>
  <c r="F193" i="1"/>
  <c r="R193" i="1" s="1"/>
  <c r="F192" i="1"/>
  <c r="F191" i="1"/>
  <c r="R191" i="1" s="1"/>
  <c r="F190" i="1"/>
  <c r="R190" i="1" s="1"/>
  <c r="F189" i="1"/>
  <c r="R189" i="1" s="1"/>
  <c r="F188" i="1"/>
  <c r="R188" i="1" s="1"/>
  <c r="F187" i="1"/>
  <c r="R187" i="1" s="1"/>
  <c r="F186" i="1"/>
  <c r="R186" i="1" s="1"/>
  <c r="F185" i="1"/>
  <c r="R185" i="1" s="1"/>
  <c r="F184" i="1"/>
  <c r="R184" i="1" s="1"/>
  <c r="F183" i="1"/>
  <c r="R183" i="1" s="1"/>
  <c r="F182" i="1"/>
  <c r="R182" i="1" s="1"/>
  <c r="F181" i="1"/>
  <c r="R181" i="1" s="1"/>
  <c r="F180" i="1"/>
  <c r="F179" i="1"/>
  <c r="R179" i="1" s="1"/>
  <c r="F178" i="1"/>
  <c r="R178" i="1" s="1"/>
  <c r="F177" i="1"/>
  <c r="R177" i="1" s="1"/>
  <c r="F176" i="1"/>
  <c r="R176" i="1" s="1"/>
  <c r="F175" i="1"/>
  <c r="R175" i="1" s="1"/>
  <c r="F174" i="1"/>
  <c r="R174" i="1" s="1"/>
  <c r="F173" i="1"/>
  <c r="R173" i="1" s="1"/>
  <c r="F172" i="1"/>
  <c r="R172" i="1" s="1"/>
  <c r="F171" i="1"/>
  <c r="R171" i="1" s="1"/>
  <c r="F170" i="1"/>
  <c r="R170" i="1" s="1"/>
  <c r="F169" i="1"/>
  <c r="R169" i="1" s="1"/>
  <c r="F168" i="1"/>
  <c r="F167" i="1"/>
  <c r="R167" i="1" s="1"/>
  <c r="F166" i="1"/>
  <c r="R166" i="1" s="1"/>
  <c r="F165" i="1"/>
  <c r="R165" i="1" s="1"/>
  <c r="F164" i="1"/>
  <c r="R164" i="1" s="1"/>
  <c r="F163" i="1"/>
  <c r="R163" i="1" s="1"/>
  <c r="F162" i="1"/>
  <c r="R162" i="1" s="1"/>
  <c r="F161" i="1"/>
  <c r="R161" i="1" s="1"/>
  <c r="F160" i="1"/>
  <c r="R160" i="1" s="1"/>
  <c r="F159" i="1"/>
  <c r="R159" i="1" s="1"/>
  <c r="F158" i="1"/>
  <c r="R158" i="1" s="1"/>
  <c r="F157" i="1"/>
  <c r="R157" i="1" s="1"/>
  <c r="F156" i="1"/>
  <c r="F155" i="1"/>
  <c r="R155" i="1" s="1"/>
  <c r="F154" i="1"/>
  <c r="R154" i="1" s="1"/>
  <c r="F153" i="1"/>
  <c r="R153" i="1" s="1"/>
  <c r="F152" i="1"/>
  <c r="R152" i="1" s="1"/>
  <c r="F151" i="1"/>
  <c r="R151" i="1" s="1"/>
  <c r="F150" i="1"/>
  <c r="R150" i="1" s="1"/>
  <c r="F149" i="1"/>
  <c r="R149" i="1" s="1"/>
  <c r="F148" i="1"/>
  <c r="R148" i="1" s="1"/>
  <c r="F147" i="1"/>
  <c r="R147" i="1" s="1"/>
  <c r="F146" i="1"/>
  <c r="R146" i="1" s="1"/>
  <c r="F145" i="1"/>
  <c r="R145" i="1" s="1"/>
  <c r="F144" i="1"/>
  <c r="F143" i="1"/>
  <c r="R143" i="1" s="1"/>
  <c r="F142" i="1"/>
  <c r="R142" i="1" s="1"/>
  <c r="F141" i="1"/>
  <c r="R141" i="1" s="1"/>
  <c r="F140" i="1"/>
  <c r="R140" i="1" s="1"/>
  <c r="F139" i="1"/>
  <c r="R139" i="1" s="1"/>
  <c r="F138" i="1"/>
  <c r="R138" i="1" s="1"/>
  <c r="F137" i="1"/>
  <c r="R137" i="1" s="1"/>
  <c r="F136" i="1"/>
  <c r="R136" i="1" s="1"/>
  <c r="F135" i="1"/>
  <c r="R135" i="1" s="1"/>
  <c r="F134" i="1"/>
  <c r="R134" i="1" s="1"/>
  <c r="F133" i="1"/>
  <c r="R133" i="1" s="1"/>
  <c r="F132" i="1"/>
  <c r="F131" i="1"/>
  <c r="R131" i="1" s="1"/>
  <c r="F130" i="1"/>
  <c r="R130" i="1" s="1"/>
  <c r="F129" i="1"/>
  <c r="R129" i="1" s="1"/>
  <c r="F128" i="1"/>
  <c r="R128" i="1" s="1"/>
  <c r="F127" i="1"/>
  <c r="R127" i="1" s="1"/>
  <c r="F126" i="1"/>
  <c r="R126" i="1" s="1"/>
  <c r="F125" i="1"/>
  <c r="R125" i="1" s="1"/>
  <c r="F124" i="1"/>
  <c r="R124" i="1" s="1"/>
  <c r="F123" i="1"/>
  <c r="R123" i="1" s="1"/>
  <c r="F122" i="1"/>
  <c r="R122" i="1" s="1"/>
  <c r="F121" i="1"/>
  <c r="R121" i="1" s="1"/>
  <c r="F120" i="1"/>
  <c r="F119" i="1"/>
  <c r="R119" i="1" s="1"/>
  <c r="F118" i="1"/>
  <c r="R118" i="1" s="1"/>
  <c r="F117" i="1"/>
  <c r="R117" i="1" s="1"/>
  <c r="F116" i="1"/>
  <c r="R116" i="1" s="1"/>
  <c r="F115" i="1"/>
  <c r="R115" i="1" s="1"/>
  <c r="F114" i="1"/>
  <c r="R114" i="1" s="1"/>
  <c r="F113" i="1"/>
  <c r="R113" i="1" s="1"/>
  <c r="F112" i="1"/>
  <c r="R112" i="1" s="1"/>
  <c r="F111" i="1"/>
  <c r="R111" i="1" s="1"/>
  <c r="F110" i="1"/>
  <c r="R110" i="1" s="1"/>
  <c r="F109" i="1"/>
  <c r="R109" i="1" s="1"/>
  <c r="F108" i="1"/>
  <c r="F107" i="1"/>
  <c r="R107" i="1" s="1"/>
  <c r="F106" i="1"/>
  <c r="R106" i="1" s="1"/>
  <c r="F105" i="1"/>
  <c r="R105" i="1" s="1"/>
  <c r="F104" i="1"/>
  <c r="R104" i="1" s="1"/>
  <c r="F103" i="1"/>
  <c r="R103" i="1" s="1"/>
  <c r="F102" i="1"/>
  <c r="R102" i="1" s="1"/>
  <c r="F101" i="1"/>
  <c r="R101" i="1" s="1"/>
  <c r="F100" i="1"/>
  <c r="R100" i="1" s="1"/>
  <c r="F99" i="1"/>
  <c r="R99" i="1" s="1"/>
  <c r="F98" i="1"/>
  <c r="R98" i="1" s="1"/>
  <c r="F97" i="1"/>
  <c r="R97" i="1" s="1"/>
  <c r="F96" i="1"/>
  <c r="F95" i="1"/>
  <c r="R95" i="1" s="1"/>
  <c r="F94" i="1"/>
  <c r="R94" i="1" s="1"/>
  <c r="F93" i="1"/>
  <c r="R93" i="1" s="1"/>
  <c r="F92" i="1"/>
  <c r="R92" i="1" s="1"/>
  <c r="F91" i="1"/>
  <c r="R91" i="1" s="1"/>
  <c r="F90" i="1"/>
  <c r="R90" i="1" s="1"/>
  <c r="F89" i="1"/>
  <c r="R89" i="1" s="1"/>
  <c r="F88" i="1"/>
  <c r="R88" i="1" s="1"/>
  <c r="F87" i="1"/>
  <c r="R87" i="1" s="1"/>
  <c r="F86" i="1"/>
  <c r="R86" i="1" s="1"/>
  <c r="F85" i="1"/>
  <c r="R85" i="1" s="1"/>
  <c r="F84" i="1"/>
  <c r="F83" i="1"/>
  <c r="R83" i="1" s="1"/>
  <c r="F82" i="1"/>
  <c r="R82" i="1" s="1"/>
  <c r="F81" i="1"/>
  <c r="R81" i="1" s="1"/>
  <c r="F80" i="1"/>
  <c r="R80" i="1" s="1"/>
  <c r="F79" i="1"/>
  <c r="R79" i="1" s="1"/>
  <c r="F78" i="1"/>
  <c r="R78" i="1" s="1"/>
  <c r="F77" i="1"/>
  <c r="R77" i="1" s="1"/>
  <c r="F76" i="1"/>
  <c r="R76" i="1" s="1"/>
  <c r="F75" i="1"/>
  <c r="R75" i="1" s="1"/>
  <c r="F74" i="1"/>
  <c r="R74" i="1" s="1"/>
  <c r="F73" i="1"/>
  <c r="R73" i="1" s="1"/>
  <c r="F72" i="1"/>
  <c r="F71" i="1"/>
  <c r="R71" i="1" s="1"/>
  <c r="F70" i="1"/>
  <c r="R70" i="1" s="1"/>
  <c r="F69" i="1"/>
  <c r="R69" i="1" s="1"/>
  <c r="F68" i="1"/>
  <c r="R68" i="1" s="1"/>
  <c r="F67" i="1"/>
  <c r="R67" i="1" s="1"/>
  <c r="F66" i="1"/>
  <c r="R66" i="1" s="1"/>
  <c r="F65" i="1"/>
  <c r="R65" i="1" s="1"/>
  <c r="F64" i="1"/>
  <c r="R64" i="1" s="1"/>
  <c r="F63" i="1"/>
  <c r="R63" i="1" s="1"/>
  <c r="F62" i="1"/>
  <c r="R62" i="1" s="1"/>
  <c r="F61" i="1"/>
  <c r="R61" i="1" s="1"/>
  <c r="F60" i="1"/>
  <c r="F59" i="1"/>
  <c r="R59" i="1" s="1"/>
  <c r="F58" i="1"/>
  <c r="R58" i="1" s="1"/>
  <c r="F57" i="1"/>
  <c r="R57" i="1" s="1"/>
  <c r="F56" i="1"/>
  <c r="R56" i="1" s="1"/>
  <c r="F55" i="1"/>
  <c r="R55" i="1" s="1"/>
  <c r="F54" i="1"/>
  <c r="R54" i="1" s="1"/>
  <c r="F53" i="1"/>
  <c r="R53" i="1" s="1"/>
  <c r="F52" i="1"/>
  <c r="R52" i="1" s="1"/>
  <c r="F51" i="1"/>
  <c r="R51" i="1" s="1"/>
  <c r="F50" i="1"/>
  <c r="R50" i="1" s="1"/>
  <c r="F49" i="1"/>
  <c r="R49" i="1" s="1"/>
  <c r="F48" i="1"/>
  <c r="F47" i="1"/>
  <c r="R47" i="1" s="1"/>
  <c r="F46" i="1"/>
  <c r="R46" i="1" s="1"/>
  <c r="F45" i="1"/>
  <c r="R45" i="1" s="1"/>
  <c r="F44" i="1"/>
  <c r="R44" i="1" s="1"/>
  <c r="F43" i="1"/>
  <c r="R43" i="1" s="1"/>
  <c r="F42" i="1"/>
  <c r="R42" i="1" s="1"/>
  <c r="F41" i="1"/>
  <c r="R41" i="1" s="1"/>
  <c r="F40" i="1"/>
  <c r="R40" i="1" s="1"/>
  <c r="F39" i="1"/>
  <c r="R39" i="1" s="1"/>
  <c r="F38" i="1"/>
  <c r="R38" i="1" s="1"/>
  <c r="F37" i="1"/>
  <c r="R37" i="1" s="1"/>
  <c r="F36" i="1"/>
  <c r="F35" i="1"/>
  <c r="R35" i="1" s="1"/>
  <c r="F34" i="1"/>
  <c r="R34" i="1" s="1"/>
  <c r="F33" i="1"/>
  <c r="R33" i="1" s="1"/>
  <c r="F32" i="1"/>
  <c r="R32" i="1" s="1"/>
  <c r="F31" i="1"/>
  <c r="R31" i="1" s="1"/>
  <c r="F30" i="1"/>
  <c r="R30" i="1" s="1"/>
  <c r="F29" i="1"/>
  <c r="R29" i="1" s="1"/>
  <c r="F28" i="1"/>
  <c r="R28" i="1" s="1"/>
  <c r="F27" i="1"/>
  <c r="R27" i="1" s="1"/>
  <c r="F26" i="1"/>
  <c r="R26" i="1" s="1"/>
  <c r="F25" i="1"/>
  <c r="R25" i="1" s="1"/>
  <c r="F24" i="1"/>
  <c r="F23" i="1"/>
  <c r="R23" i="1" s="1"/>
  <c r="F22" i="1"/>
  <c r="R22" i="1" s="1"/>
  <c r="F21" i="1"/>
  <c r="R21" i="1" s="1"/>
  <c r="F20" i="1"/>
  <c r="R20" i="1" s="1"/>
  <c r="F19" i="1"/>
  <c r="R19" i="1" s="1"/>
  <c r="F18" i="1"/>
  <c r="R18" i="1" s="1"/>
  <c r="F17" i="1"/>
  <c r="R17" i="1" s="1"/>
  <c r="F16" i="1"/>
  <c r="R16" i="1" s="1"/>
  <c r="F15" i="1"/>
  <c r="R15" i="1" s="1"/>
  <c r="F14" i="1"/>
  <c r="R14" i="1" s="1"/>
  <c r="F13" i="1"/>
  <c r="R13" i="1" s="1"/>
  <c r="F12" i="1"/>
  <c r="F11" i="1"/>
  <c r="R11" i="1" s="1"/>
  <c r="F10" i="1"/>
  <c r="R10" i="1" s="1"/>
  <c r="F9" i="1"/>
  <c r="R9" i="1" s="1"/>
  <c r="F8" i="1"/>
  <c r="R8" i="1" s="1"/>
  <c r="F7" i="1"/>
  <c r="R7" i="1" s="1"/>
  <c r="F6" i="1"/>
  <c r="I6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E6" i="1"/>
  <c r="E488" i="1"/>
  <c r="Q488" i="1" s="1"/>
  <c r="E487" i="1"/>
  <c r="Q487" i="1" s="1"/>
  <c r="E486" i="1"/>
  <c r="E485" i="1"/>
  <c r="Q485" i="1" s="1"/>
  <c r="E484" i="1"/>
  <c r="Q484" i="1" s="1"/>
  <c r="E483" i="1"/>
  <c r="Q483" i="1" s="1"/>
  <c r="E482" i="1"/>
  <c r="Q482" i="1" s="1"/>
  <c r="E481" i="1"/>
  <c r="Q481" i="1" s="1"/>
  <c r="E480" i="1"/>
  <c r="Q480" i="1" s="1"/>
  <c r="E479" i="1"/>
  <c r="Q479" i="1" s="1"/>
  <c r="E478" i="1"/>
  <c r="Q478" i="1" s="1"/>
  <c r="E477" i="1"/>
  <c r="Q477" i="1" s="1"/>
  <c r="E476" i="1"/>
  <c r="Q476" i="1" s="1"/>
  <c r="E475" i="1"/>
  <c r="Q475" i="1" s="1"/>
  <c r="E474" i="1"/>
  <c r="E473" i="1"/>
  <c r="Q473" i="1" s="1"/>
  <c r="E472" i="1"/>
  <c r="Q472" i="1" s="1"/>
  <c r="E471" i="1"/>
  <c r="Q471" i="1" s="1"/>
  <c r="E470" i="1"/>
  <c r="Q470" i="1" s="1"/>
  <c r="E469" i="1"/>
  <c r="Q469" i="1" s="1"/>
  <c r="E468" i="1"/>
  <c r="Q468" i="1" s="1"/>
  <c r="E467" i="1"/>
  <c r="Q467" i="1" s="1"/>
  <c r="E466" i="1"/>
  <c r="Q466" i="1" s="1"/>
  <c r="E465" i="1"/>
  <c r="Q465" i="1" s="1"/>
  <c r="E464" i="1"/>
  <c r="Q464" i="1" s="1"/>
  <c r="E463" i="1"/>
  <c r="Q463" i="1" s="1"/>
  <c r="E462" i="1"/>
  <c r="E461" i="1"/>
  <c r="Q461" i="1" s="1"/>
  <c r="E460" i="1"/>
  <c r="Q460" i="1" s="1"/>
  <c r="E459" i="1"/>
  <c r="Q459" i="1" s="1"/>
  <c r="E458" i="1"/>
  <c r="Q458" i="1" s="1"/>
  <c r="E457" i="1"/>
  <c r="Q457" i="1" s="1"/>
  <c r="E456" i="1"/>
  <c r="Q456" i="1" s="1"/>
  <c r="E455" i="1"/>
  <c r="Q455" i="1" s="1"/>
  <c r="E454" i="1"/>
  <c r="Q454" i="1" s="1"/>
  <c r="E453" i="1"/>
  <c r="Q453" i="1" s="1"/>
  <c r="E452" i="1"/>
  <c r="Q452" i="1" s="1"/>
  <c r="E451" i="1"/>
  <c r="Q451" i="1" s="1"/>
  <c r="E450" i="1"/>
  <c r="E449" i="1"/>
  <c r="Q449" i="1" s="1"/>
  <c r="E448" i="1"/>
  <c r="Q448" i="1" s="1"/>
  <c r="E447" i="1"/>
  <c r="Q447" i="1" s="1"/>
  <c r="E446" i="1"/>
  <c r="Q446" i="1" s="1"/>
  <c r="E445" i="1"/>
  <c r="Q445" i="1" s="1"/>
  <c r="E444" i="1"/>
  <c r="Q444" i="1" s="1"/>
  <c r="E443" i="1"/>
  <c r="Q443" i="1" s="1"/>
  <c r="E442" i="1"/>
  <c r="Q442" i="1" s="1"/>
  <c r="E441" i="1"/>
  <c r="Q441" i="1" s="1"/>
  <c r="E440" i="1"/>
  <c r="Q440" i="1" s="1"/>
  <c r="E439" i="1"/>
  <c r="Q439" i="1" s="1"/>
  <c r="E438" i="1"/>
  <c r="E437" i="1"/>
  <c r="Q437" i="1" s="1"/>
  <c r="E436" i="1"/>
  <c r="Q436" i="1" s="1"/>
  <c r="E435" i="1"/>
  <c r="Q435" i="1" s="1"/>
  <c r="E434" i="1"/>
  <c r="Q434" i="1" s="1"/>
  <c r="E433" i="1"/>
  <c r="Q433" i="1" s="1"/>
  <c r="E432" i="1"/>
  <c r="Q432" i="1" s="1"/>
  <c r="E431" i="1"/>
  <c r="Q431" i="1" s="1"/>
  <c r="E430" i="1"/>
  <c r="Q430" i="1" s="1"/>
  <c r="E429" i="1"/>
  <c r="Q429" i="1" s="1"/>
  <c r="E428" i="1"/>
  <c r="Q428" i="1" s="1"/>
  <c r="E427" i="1"/>
  <c r="Q427" i="1" s="1"/>
  <c r="E426" i="1"/>
  <c r="E425" i="1"/>
  <c r="Q425" i="1" s="1"/>
  <c r="E424" i="1"/>
  <c r="Q424" i="1" s="1"/>
  <c r="E423" i="1"/>
  <c r="Q423" i="1" s="1"/>
  <c r="E422" i="1"/>
  <c r="Q422" i="1" s="1"/>
  <c r="E421" i="1"/>
  <c r="Q421" i="1" s="1"/>
  <c r="E420" i="1"/>
  <c r="Q420" i="1" s="1"/>
  <c r="E419" i="1"/>
  <c r="Q419" i="1" s="1"/>
  <c r="E418" i="1"/>
  <c r="Q418" i="1" s="1"/>
  <c r="E417" i="1"/>
  <c r="Q417" i="1" s="1"/>
  <c r="E416" i="1"/>
  <c r="Q416" i="1" s="1"/>
  <c r="E415" i="1"/>
  <c r="Q415" i="1" s="1"/>
  <c r="E414" i="1"/>
  <c r="E413" i="1"/>
  <c r="Q413" i="1" s="1"/>
  <c r="E412" i="1"/>
  <c r="Q412" i="1" s="1"/>
  <c r="E411" i="1"/>
  <c r="Q411" i="1" s="1"/>
  <c r="E410" i="1"/>
  <c r="Q410" i="1" s="1"/>
  <c r="E409" i="1"/>
  <c r="Q409" i="1" s="1"/>
  <c r="E408" i="1"/>
  <c r="Q408" i="1" s="1"/>
  <c r="E407" i="1"/>
  <c r="Q407" i="1" s="1"/>
  <c r="E406" i="1"/>
  <c r="Q406" i="1" s="1"/>
  <c r="E405" i="1"/>
  <c r="Q405" i="1" s="1"/>
  <c r="E404" i="1"/>
  <c r="Q404" i="1" s="1"/>
  <c r="E403" i="1"/>
  <c r="Q403" i="1" s="1"/>
  <c r="E402" i="1"/>
  <c r="E401" i="1"/>
  <c r="Q401" i="1" s="1"/>
  <c r="E400" i="1"/>
  <c r="Q400" i="1" s="1"/>
  <c r="E399" i="1"/>
  <c r="Q399" i="1" s="1"/>
  <c r="E398" i="1"/>
  <c r="Q398" i="1" s="1"/>
  <c r="E397" i="1"/>
  <c r="Q397" i="1" s="1"/>
  <c r="E396" i="1"/>
  <c r="Q396" i="1" s="1"/>
  <c r="E395" i="1"/>
  <c r="Q395" i="1" s="1"/>
  <c r="E394" i="1"/>
  <c r="Q394" i="1" s="1"/>
  <c r="E393" i="1"/>
  <c r="Q393" i="1" s="1"/>
  <c r="E392" i="1"/>
  <c r="Q392" i="1" s="1"/>
  <c r="E391" i="1"/>
  <c r="Q391" i="1" s="1"/>
  <c r="E390" i="1"/>
  <c r="E389" i="1"/>
  <c r="Q389" i="1" s="1"/>
  <c r="E388" i="1"/>
  <c r="Q388" i="1" s="1"/>
  <c r="E387" i="1"/>
  <c r="Q387" i="1" s="1"/>
  <c r="E386" i="1"/>
  <c r="Q386" i="1" s="1"/>
  <c r="E385" i="1"/>
  <c r="Q385" i="1" s="1"/>
  <c r="E384" i="1"/>
  <c r="Q384" i="1" s="1"/>
  <c r="E383" i="1"/>
  <c r="Q383" i="1" s="1"/>
  <c r="E382" i="1"/>
  <c r="Q382" i="1" s="1"/>
  <c r="E381" i="1"/>
  <c r="Q381" i="1" s="1"/>
  <c r="E380" i="1"/>
  <c r="Q380" i="1" s="1"/>
  <c r="E379" i="1"/>
  <c r="Q379" i="1" s="1"/>
  <c r="E378" i="1"/>
  <c r="E377" i="1"/>
  <c r="Q377" i="1" s="1"/>
  <c r="E376" i="1"/>
  <c r="Q376" i="1" s="1"/>
  <c r="E375" i="1"/>
  <c r="Q375" i="1" s="1"/>
  <c r="E374" i="1"/>
  <c r="Q374" i="1" s="1"/>
  <c r="E373" i="1"/>
  <c r="Q373" i="1" s="1"/>
  <c r="E372" i="1"/>
  <c r="Q372" i="1" s="1"/>
  <c r="E371" i="1"/>
  <c r="Q371" i="1" s="1"/>
  <c r="E370" i="1"/>
  <c r="Q370" i="1" s="1"/>
  <c r="E369" i="1"/>
  <c r="Q369" i="1" s="1"/>
  <c r="E368" i="1"/>
  <c r="Q368" i="1" s="1"/>
  <c r="E367" i="1"/>
  <c r="Q367" i="1" s="1"/>
  <c r="E366" i="1"/>
  <c r="E365" i="1"/>
  <c r="Q365" i="1" s="1"/>
  <c r="E364" i="1"/>
  <c r="Q364" i="1" s="1"/>
  <c r="E363" i="1"/>
  <c r="Q363" i="1" s="1"/>
  <c r="E362" i="1"/>
  <c r="Q362" i="1" s="1"/>
  <c r="E361" i="1"/>
  <c r="Q361" i="1" s="1"/>
  <c r="E360" i="1"/>
  <c r="Q360" i="1" s="1"/>
  <c r="E359" i="1"/>
  <c r="Q359" i="1" s="1"/>
  <c r="E358" i="1"/>
  <c r="Q358" i="1" s="1"/>
  <c r="E357" i="1"/>
  <c r="Q357" i="1" s="1"/>
  <c r="E356" i="1"/>
  <c r="Q356" i="1" s="1"/>
  <c r="E355" i="1"/>
  <c r="Q355" i="1" s="1"/>
  <c r="E354" i="1"/>
  <c r="E353" i="1"/>
  <c r="Q353" i="1" s="1"/>
  <c r="E352" i="1"/>
  <c r="Q352" i="1" s="1"/>
  <c r="E351" i="1"/>
  <c r="Q351" i="1" s="1"/>
  <c r="E350" i="1"/>
  <c r="Q350" i="1" s="1"/>
  <c r="E349" i="1"/>
  <c r="Q349" i="1" s="1"/>
  <c r="E348" i="1"/>
  <c r="Q348" i="1" s="1"/>
  <c r="E347" i="1"/>
  <c r="Q347" i="1" s="1"/>
  <c r="E346" i="1"/>
  <c r="Q346" i="1" s="1"/>
  <c r="E345" i="1"/>
  <c r="Q345" i="1" s="1"/>
  <c r="E344" i="1"/>
  <c r="Q344" i="1" s="1"/>
  <c r="E343" i="1"/>
  <c r="Q343" i="1" s="1"/>
  <c r="E342" i="1"/>
  <c r="E341" i="1"/>
  <c r="Q341" i="1" s="1"/>
  <c r="E340" i="1"/>
  <c r="Q340" i="1" s="1"/>
  <c r="E339" i="1"/>
  <c r="Q339" i="1" s="1"/>
  <c r="E338" i="1"/>
  <c r="Q338" i="1" s="1"/>
  <c r="E337" i="1"/>
  <c r="Q337" i="1" s="1"/>
  <c r="E336" i="1"/>
  <c r="Q336" i="1" s="1"/>
  <c r="E335" i="1"/>
  <c r="Q335" i="1" s="1"/>
  <c r="E334" i="1"/>
  <c r="Q334" i="1" s="1"/>
  <c r="E333" i="1"/>
  <c r="Q333" i="1" s="1"/>
  <c r="E332" i="1"/>
  <c r="Q332" i="1" s="1"/>
  <c r="E331" i="1"/>
  <c r="Q331" i="1" s="1"/>
  <c r="E330" i="1"/>
  <c r="E329" i="1"/>
  <c r="Q329" i="1" s="1"/>
  <c r="E328" i="1"/>
  <c r="Q328" i="1" s="1"/>
  <c r="E327" i="1"/>
  <c r="Q327" i="1" s="1"/>
  <c r="E326" i="1"/>
  <c r="Q326" i="1" s="1"/>
  <c r="E325" i="1"/>
  <c r="Q325" i="1" s="1"/>
  <c r="E324" i="1"/>
  <c r="Q324" i="1" s="1"/>
  <c r="E323" i="1"/>
  <c r="Q323" i="1" s="1"/>
  <c r="E322" i="1"/>
  <c r="Q322" i="1" s="1"/>
  <c r="E321" i="1"/>
  <c r="Q321" i="1" s="1"/>
  <c r="E320" i="1"/>
  <c r="Q320" i="1" s="1"/>
  <c r="E319" i="1"/>
  <c r="Q319" i="1" s="1"/>
  <c r="E318" i="1"/>
  <c r="E317" i="1"/>
  <c r="Q317" i="1" s="1"/>
  <c r="E316" i="1"/>
  <c r="Q316" i="1" s="1"/>
  <c r="E315" i="1"/>
  <c r="Q315" i="1" s="1"/>
  <c r="E314" i="1"/>
  <c r="Q314" i="1" s="1"/>
  <c r="E313" i="1"/>
  <c r="Q313" i="1" s="1"/>
  <c r="E312" i="1"/>
  <c r="Q312" i="1" s="1"/>
  <c r="E311" i="1"/>
  <c r="Q311" i="1" s="1"/>
  <c r="E310" i="1"/>
  <c r="Q310" i="1" s="1"/>
  <c r="E309" i="1"/>
  <c r="Q309" i="1" s="1"/>
  <c r="E308" i="1"/>
  <c r="Q308" i="1" s="1"/>
  <c r="E307" i="1"/>
  <c r="Q307" i="1" s="1"/>
  <c r="E306" i="1"/>
  <c r="E305" i="1"/>
  <c r="Q305" i="1" s="1"/>
  <c r="E304" i="1"/>
  <c r="Q304" i="1" s="1"/>
  <c r="E303" i="1"/>
  <c r="Q303" i="1" s="1"/>
  <c r="E302" i="1"/>
  <c r="Q302" i="1" s="1"/>
  <c r="E301" i="1"/>
  <c r="Q301" i="1" s="1"/>
  <c r="E300" i="1"/>
  <c r="Q300" i="1" s="1"/>
  <c r="E299" i="1"/>
  <c r="Q299" i="1" s="1"/>
  <c r="E298" i="1"/>
  <c r="Q298" i="1" s="1"/>
  <c r="E297" i="1"/>
  <c r="Q297" i="1" s="1"/>
  <c r="E296" i="1"/>
  <c r="Q296" i="1" s="1"/>
  <c r="E295" i="1"/>
  <c r="Q295" i="1" s="1"/>
  <c r="E294" i="1"/>
  <c r="E293" i="1"/>
  <c r="Q293" i="1" s="1"/>
  <c r="E292" i="1"/>
  <c r="Q292" i="1" s="1"/>
  <c r="E291" i="1"/>
  <c r="Q291" i="1" s="1"/>
  <c r="E290" i="1"/>
  <c r="Q290" i="1" s="1"/>
  <c r="E289" i="1"/>
  <c r="Q289" i="1" s="1"/>
  <c r="E288" i="1"/>
  <c r="Q288" i="1" s="1"/>
  <c r="E287" i="1"/>
  <c r="Q287" i="1" s="1"/>
  <c r="E286" i="1"/>
  <c r="Q286" i="1" s="1"/>
  <c r="E285" i="1"/>
  <c r="Q285" i="1" s="1"/>
  <c r="E284" i="1"/>
  <c r="Q284" i="1" s="1"/>
  <c r="E283" i="1"/>
  <c r="Q283" i="1" s="1"/>
  <c r="E282" i="1"/>
  <c r="E281" i="1"/>
  <c r="Q281" i="1" s="1"/>
  <c r="E280" i="1"/>
  <c r="Q280" i="1" s="1"/>
  <c r="E279" i="1"/>
  <c r="Q279" i="1" s="1"/>
  <c r="E278" i="1"/>
  <c r="Q278" i="1" s="1"/>
  <c r="E277" i="1"/>
  <c r="Q277" i="1" s="1"/>
  <c r="E276" i="1"/>
  <c r="Q276" i="1" s="1"/>
  <c r="E275" i="1"/>
  <c r="Q275" i="1" s="1"/>
  <c r="E274" i="1"/>
  <c r="Q274" i="1" s="1"/>
  <c r="E273" i="1"/>
  <c r="Q273" i="1" s="1"/>
  <c r="E272" i="1"/>
  <c r="Q272" i="1" s="1"/>
  <c r="E271" i="1"/>
  <c r="Q271" i="1" s="1"/>
  <c r="E270" i="1"/>
  <c r="E269" i="1"/>
  <c r="Q269" i="1" s="1"/>
  <c r="E268" i="1"/>
  <c r="Q268" i="1" s="1"/>
  <c r="E267" i="1"/>
  <c r="Q267" i="1" s="1"/>
  <c r="E266" i="1"/>
  <c r="Q266" i="1" s="1"/>
  <c r="E265" i="1"/>
  <c r="Q265" i="1" s="1"/>
  <c r="E264" i="1"/>
  <c r="Q264" i="1" s="1"/>
  <c r="E263" i="1"/>
  <c r="Q263" i="1" s="1"/>
  <c r="E262" i="1"/>
  <c r="Q262" i="1" s="1"/>
  <c r="E261" i="1"/>
  <c r="Q261" i="1" s="1"/>
  <c r="E260" i="1"/>
  <c r="Q260" i="1" s="1"/>
  <c r="E259" i="1"/>
  <c r="Q259" i="1" s="1"/>
  <c r="E258" i="1"/>
  <c r="E257" i="1"/>
  <c r="Q257" i="1" s="1"/>
  <c r="E256" i="1"/>
  <c r="Q256" i="1" s="1"/>
  <c r="E255" i="1"/>
  <c r="Q255" i="1" s="1"/>
  <c r="E254" i="1"/>
  <c r="Q254" i="1" s="1"/>
  <c r="E253" i="1"/>
  <c r="Q253" i="1" s="1"/>
  <c r="E252" i="1"/>
  <c r="Q252" i="1" s="1"/>
  <c r="E251" i="1"/>
  <c r="Q251" i="1" s="1"/>
  <c r="E250" i="1"/>
  <c r="Q250" i="1" s="1"/>
  <c r="E249" i="1"/>
  <c r="Q249" i="1" s="1"/>
  <c r="E248" i="1"/>
  <c r="Q248" i="1" s="1"/>
  <c r="E247" i="1"/>
  <c r="Q247" i="1" s="1"/>
  <c r="E246" i="1"/>
  <c r="E245" i="1"/>
  <c r="Q245" i="1" s="1"/>
  <c r="E244" i="1"/>
  <c r="Q244" i="1" s="1"/>
  <c r="E243" i="1"/>
  <c r="Q243" i="1" s="1"/>
  <c r="E242" i="1"/>
  <c r="Q242" i="1" s="1"/>
  <c r="E241" i="1"/>
  <c r="Q241" i="1" s="1"/>
  <c r="E240" i="1"/>
  <c r="Q240" i="1" s="1"/>
  <c r="E239" i="1"/>
  <c r="Q239" i="1" s="1"/>
  <c r="E238" i="1"/>
  <c r="Q238" i="1" s="1"/>
  <c r="E237" i="1"/>
  <c r="Q237" i="1" s="1"/>
  <c r="E236" i="1"/>
  <c r="Q236" i="1" s="1"/>
  <c r="E235" i="1"/>
  <c r="Q235" i="1" s="1"/>
  <c r="E234" i="1"/>
  <c r="E233" i="1"/>
  <c r="Q233" i="1" s="1"/>
  <c r="E232" i="1"/>
  <c r="Q232" i="1" s="1"/>
  <c r="E231" i="1"/>
  <c r="Q231" i="1" s="1"/>
  <c r="E230" i="1"/>
  <c r="Q230" i="1" s="1"/>
  <c r="E229" i="1"/>
  <c r="Q229" i="1" s="1"/>
  <c r="E228" i="1"/>
  <c r="Q228" i="1" s="1"/>
  <c r="E227" i="1"/>
  <c r="Q227" i="1" s="1"/>
  <c r="E226" i="1"/>
  <c r="Q226" i="1" s="1"/>
  <c r="E225" i="1"/>
  <c r="Q225" i="1" s="1"/>
  <c r="E224" i="1"/>
  <c r="Q224" i="1" s="1"/>
  <c r="E223" i="1"/>
  <c r="Q223" i="1" s="1"/>
  <c r="E222" i="1"/>
  <c r="E221" i="1"/>
  <c r="Q221" i="1" s="1"/>
  <c r="E220" i="1"/>
  <c r="Q220" i="1" s="1"/>
  <c r="E219" i="1"/>
  <c r="Q219" i="1" s="1"/>
  <c r="E218" i="1"/>
  <c r="Q218" i="1" s="1"/>
  <c r="E217" i="1"/>
  <c r="Q217" i="1" s="1"/>
  <c r="E216" i="1"/>
  <c r="Q216" i="1" s="1"/>
  <c r="E215" i="1"/>
  <c r="Q215" i="1" s="1"/>
  <c r="E214" i="1"/>
  <c r="Q214" i="1" s="1"/>
  <c r="E213" i="1"/>
  <c r="Q213" i="1" s="1"/>
  <c r="E212" i="1"/>
  <c r="Q212" i="1" s="1"/>
  <c r="E211" i="1"/>
  <c r="Q211" i="1" s="1"/>
  <c r="E210" i="1"/>
  <c r="E209" i="1"/>
  <c r="Q209" i="1" s="1"/>
  <c r="E208" i="1"/>
  <c r="Q208" i="1" s="1"/>
  <c r="E207" i="1"/>
  <c r="Q207" i="1" s="1"/>
  <c r="E206" i="1"/>
  <c r="Q206" i="1" s="1"/>
  <c r="E205" i="1"/>
  <c r="Q205" i="1" s="1"/>
  <c r="E204" i="1"/>
  <c r="Q204" i="1" s="1"/>
  <c r="E203" i="1"/>
  <c r="Q203" i="1" s="1"/>
  <c r="E202" i="1"/>
  <c r="Q202" i="1" s="1"/>
  <c r="E201" i="1"/>
  <c r="Q201" i="1" s="1"/>
  <c r="E200" i="1"/>
  <c r="Q200" i="1" s="1"/>
  <c r="E199" i="1"/>
  <c r="Q199" i="1" s="1"/>
  <c r="E198" i="1"/>
  <c r="E197" i="1"/>
  <c r="Q197" i="1" s="1"/>
  <c r="E196" i="1"/>
  <c r="Q196" i="1" s="1"/>
  <c r="E195" i="1"/>
  <c r="Q195" i="1" s="1"/>
  <c r="E194" i="1"/>
  <c r="Q194" i="1" s="1"/>
  <c r="E193" i="1"/>
  <c r="Q193" i="1" s="1"/>
  <c r="E192" i="1"/>
  <c r="Q192" i="1" s="1"/>
  <c r="E191" i="1"/>
  <c r="Q191" i="1" s="1"/>
  <c r="E190" i="1"/>
  <c r="Q190" i="1" s="1"/>
  <c r="E189" i="1"/>
  <c r="Q189" i="1" s="1"/>
  <c r="E188" i="1"/>
  <c r="Q188" i="1" s="1"/>
  <c r="E187" i="1"/>
  <c r="Q187" i="1" s="1"/>
  <c r="E186" i="1"/>
  <c r="E185" i="1"/>
  <c r="Q185" i="1" s="1"/>
  <c r="E184" i="1"/>
  <c r="Q184" i="1" s="1"/>
  <c r="E183" i="1"/>
  <c r="Q183" i="1" s="1"/>
  <c r="E182" i="1"/>
  <c r="Q182" i="1" s="1"/>
  <c r="E181" i="1"/>
  <c r="Q181" i="1" s="1"/>
  <c r="E180" i="1"/>
  <c r="Q180" i="1" s="1"/>
  <c r="E179" i="1"/>
  <c r="Q179" i="1" s="1"/>
  <c r="E178" i="1"/>
  <c r="Q178" i="1" s="1"/>
  <c r="E177" i="1"/>
  <c r="Q177" i="1" s="1"/>
  <c r="E176" i="1"/>
  <c r="Q176" i="1" s="1"/>
  <c r="E175" i="1"/>
  <c r="Q175" i="1" s="1"/>
  <c r="E174" i="1"/>
  <c r="E173" i="1"/>
  <c r="Q173" i="1" s="1"/>
  <c r="E172" i="1"/>
  <c r="Q172" i="1" s="1"/>
  <c r="E171" i="1"/>
  <c r="Q171" i="1" s="1"/>
  <c r="E170" i="1"/>
  <c r="Q170" i="1" s="1"/>
  <c r="E169" i="1"/>
  <c r="Q169" i="1" s="1"/>
  <c r="E168" i="1"/>
  <c r="Q168" i="1" s="1"/>
  <c r="E167" i="1"/>
  <c r="Q167" i="1" s="1"/>
  <c r="E166" i="1"/>
  <c r="Q166" i="1" s="1"/>
  <c r="E165" i="1"/>
  <c r="Q165" i="1" s="1"/>
  <c r="E164" i="1"/>
  <c r="Q164" i="1" s="1"/>
  <c r="E163" i="1"/>
  <c r="Q163" i="1" s="1"/>
  <c r="E162" i="1"/>
  <c r="E161" i="1"/>
  <c r="Q161" i="1" s="1"/>
  <c r="E160" i="1"/>
  <c r="Q160" i="1" s="1"/>
  <c r="E159" i="1"/>
  <c r="Q159" i="1" s="1"/>
  <c r="E158" i="1"/>
  <c r="Q158" i="1" s="1"/>
  <c r="E157" i="1"/>
  <c r="Q157" i="1" s="1"/>
  <c r="E156" i="1"/>
  <c r="Q156" i="1" s="1"/>
  <c r="E155" i="1"/>
  <c r="Q155" i="1" s="1"/>
  <c r="E154" i="1"/>
  <c r="Q154" i="1" s="1"/>
  <c r="E153" i="1"/>
  <c r="Q153" i="1" s="1"/>
  <c r="E152" i="1"/>
  <c r="Q152" i="1" s="1"/>
  <c r="E151" i="1"/>
  <c r="Q151" i="1" s="1"/>
  <c r="E150" i="1"/>
  <c r="E149" i="1"/>
  <c r="Q149" i="1" s="1"/>
  <c r="E148" i="1"/>
  <c r="Q148" i="1" s="1"/>
  <c r="E147" i="1"/>
  <c r="Q147" i="1" s="1"/>
  <c r="E146" i="1"/>
  <c r="Q146" i="1" s="1"/>
  <c r="E145" i="1"/>
  <c r="Q145" i="1" s="1"/>
  <c r="E144" i="1"/>
  <c r="Q144" i="1" s="1"/>
  <c r="E143" i="1"/>
  <c r="Q143" i="1" s="1"/>
  <c r="E142" i="1"/>
  <c r="Q142" i="1" s="1"/>
  <c r="E141" i="1"/>
  <c r="Q141" i="1" s="1"/>
  <c r="E140" i="1"/>
  <c r="Q140" i="1" s="1"/>
  <c r="E139" i="1"/>
  <c r="Q139" i="1" s="1"/>
  <c r="E138" i="1"/>
  <c r="E137" i="1"/>
  <c r="Q137" i="1" s="1"/>
  <c r="E136" i="1"/>
  <c r="Q136" i="1" s="1"/>
  <c r="E135" i="1"/>
  <c r="Q135" i="1" s="1"/>
  <c r="E134" i="1"/>
  <c r="Q134" i="1" s="1"/>
  <c r="E133" i="1"/>
  <c r="Q133" i="1" s="1"/>
  <c r="E132" i="1"/>
  <c r="Q132" i="1" s="1"/>
  <c r="E131" i="1"/>
  <c r="Q131" i="1" s="1"/>
  <c r="E130" i="1"/>
  <c r="Q130" i="1" s="1"/>
  <c r="E129" i="1"/>
  <c r="Q129" i="1" s="1"/>
  <c r="E128" i="1"/>
  <c r="Q128" i="1" s="1"/>
  <c r="E127" i="1"/>
  <c r="Q127" i="1" s="1"/>
  <c r="E126" i="1"/>
  <c r="E125" i="1"/>
  <c r="Q125" i="1" s="1"/>
  <c r="E124" i="1"/>
  <c r="Q124" i="1" s="1"/>
  <c r="E123" i="1"/>
  <c r="Q123" i="1" s="1"/>
  <c r="E122" i="1"/>
  <c r="Q122" i="1" s="1"/>
  <c r="E121" i="1"/>
  <c r="Q121" i="1" s="1"/>
  <c r="E120" i="1"/>
  <c r="Q120" i="1" s="1"/>
  <c r="E119" i="1"/>
  <c r="Q119" i="1" s="1"/>
  <c r="E118" i="1"/>
  <c r="Q118" i="1" s="1"/>
  <c r="E117" i="1"/>
  <c r="Q117" i="1" s="1"/>
  <c r="E116" i="1"/>
  <c r="Q116" i="1" s="1"/>
  <c r="E115" i="1"/>
  <c r="Q115" i="1" s="1"/>
  <c r="E114" i="1"/>
  <c r="E113" i="1"/>
  <c r="Q113" i="1" s="1"/>
  <c r="E112" i="1"/>
  <c r="Q112" i="1" s="1"/>
  <c r="E111" i="1"/>
  <c r="Q111" i="1" s="1"/>
  <c r="E110" i="1"/>
  <c r="Q110" i="1" s="1"/>
  <c r="E109" i="1"/>
  <c r="Q109" i="1" s="1"/>
  <c r="E108" i="1"/>
  <c r="Q108" i="1" s="1"/>
  <c r="E107" i="1"/>
  <c r="Q107" i="1" s="1"/>
  <c r="E106" i="1"/>
  <c r="Q106" i="1" s="1"/>
  <c r="E105" i="1"/>
  <c r="Q105" i="1" s="1"/>
  <c r="E104" i="1"/>
  <c r="Q104" i="1" s="1"/>
  <c r="E103" i="1"/>
  <c r="Q103" i="1" s="1"/>
  <c r="E102" i="1"/>
  <c r="E101" i="1"/>
  <c r="Q101" i="1" s="1"/>
  <c r="E100" i="1"/>
  <c r="Q100" i="1" s="1"/>
  <c r="E99" i="1"/>
  <c r="Q99" i="1" s="1"/>
  <c r="E98" i="1"/>
  <c r="Q98" i="1" s="1"/>
  <c r="E97" i="1"/>
  <c r="Q97" i="1" s="1"/>
  <c r="E96" i="1"/>
  <c r="Q96" i="1" s="1"/>
  <c r="E95" i="1"/>
  <c r="Q95" i="1" s="1"/>
  <c r="E94" i="1"/>
  <c r="Q94" i="1" s="1"/>
  <c r="E93" i="1"/>
  <c r="Q93" i="1" s="1"/>
  <c r="E92" i="1"/>
  <c r="Q92" i="1" s="1"/>
  <c r="E91" i="1"/>
  <c r="Q91" i="1" s="1"/>
  <c r="E90" i="1"/>
  <c r="E89" i="1"/>
  <c r="Q89" i="1" s="1"/>
  <c r="E88" i="1"/>
  <c r="Q88" i="1" s="1"/>
  <c r="E87" i="1"/>
  <c r="Q87" i="1" s="1"/>
  <c r="E86" i="1"/>
  <c r="Q86" i="1" s="1"/>
  <c r="E85" i="1"/>
  <c r="Q85" i="1" s="1"/>
  <c r="E84" i="1"/>
  <c r="Q84" i="1" s="1"/>
  <c r="E83" i="1"/>
  <c r="Q83" i="1" s="1"/>
  <c r="E82" i="1"/>
  <c r="Q82" i="1" s="1"/>
  <c r="E81" i="1"/>
  <c r="Q81" i="1" s="1"/>
  <c r="E80" i="1"/>
  <c r="Q80" i="1" s="1"/>
  <c r="E79" i="1"/>
  <c r="Q79" i="1" s="1"/>
  <c r="E78" i="1"/>
  <c r="E77" i="1"/>
  <c r="Q77" i="1" s="1"/>
  <c r="E76" i="1"/>
  <c r="Q76" i="1" s="1"/>
  <c r="E75" i="1"/>
  <c r="Q75" i="1" s="1"/>
  <c r="E74" i="1"/>
  <c r="Q74" i="1" s="1"/>
  <c r="E73" i="1"/>
  <c r="Q73" i="1" s="1"/>
  <c r="E72" i="1"/>
  <c r="Q72" i="1" s="1"/>
  <c r="E71" i="1"/>
  <c r="Q71" i="1" s="1"/>
  <c r="E70" i="1"/>
  <c r="Q70" i="1" s="1"/>
  <c r="E69" i="1"/>
  <c r="Q69" i="1" s="1"/>
  <c r="E68" i="1"/>
  <c r="Q68" i="1" s="1"/>
  <c r="E67" i="1"/>
  <c r="Q67" i="1" s="1"/>
  <c r="E66" i="1"/>
  <c r="E65" i="1"/>
  <c r="Q65" i="1" s="1"/>
  <c r="E64" i="1"/>
  <c r="Q64" i="1" s="1"/>
  <c r="E63" i="1"/>
  <c r="Q63" i="1" s="1"/>
  <c r="E62" i="1"/>
  <c r="Q62" i="1" s="1"/>
  <c r="E61" i="1"/>
  <c r="Q61" i="1" s="1"/>
  <c r="E60" i="1"/>
  <c r="Q60" i="1" s="1"/>
  <c r="E59" i="1"/>
  <c r="Q59" i="1" s="1"/>
  <c r="E58" i="1"/>
  <c r="Q58" i="1" s="1"/>
  <c r="E57" i="1"/>
  <c r="Q57" i="1" s="1"/>
  <c r="E56" i="1"/>
  <c r="Q56" i="1" s="1"/>
  <c r="E55" i="1"/>
  <c r="Q55" i="1" s="1"/>
  <c r="E54" i="1"/>
  <c r="E53" i="1"/>
  <c r="Q53" i="1" s="1"/>
  <c r="E52" i="1"/>
  <c r="Q52" i="1" s="1"/>
  <c r="E51" i="1"/>
  <c r="Q51" i="1" s="1"/>
  <c r="E50" i="1"/>
  <c r="Q50" i="1" s="1"/>
  <c r="E49" i="1"/>
  <c r="Q49" i="1" s="1"/>
  <c r="E48" i="1"/>
  <c r="Q48" i="1" s="1"/>
  <c r="E47" i="1"/>
  <c r="Q47" i="1" s="1"/>
  <c r="E46" i="1"/>
  <c r="Q46" i="1" s="1"/>
  <c r="E45" i="1"/>
  <c r="Q45" i="1" s="1"/>
  <c r="E44" i="1"/>
  <c r="Q44" i="1" s="1"/>
  <c r="E43" i="1"/>
  <c r="Q43" i="1" s="1"/>
  <c r="E42" i="1"/>
  <c r="E41" i="1"/>
  <c r="Q41" i="1" s="1"/>
  <c r="E40" i="1"/>
  <c r="Q40" i="1" s="1"/>
  <c r="E39" i="1"/>
  <c r="Q39" i="1" s="1"/>
  <c r="E38" i="1"/>
  <c r="Q38" i="1" s="1"/>
  <c r="E37" i="1"/>
  <c r="Q37" i="1" s="1"/>
  <c r="E36" i="1"/>
  <c r="Q36" i="1" s="1"/>
  <c r="E35" i="1"/>
  <c r="Q35" i="1" s="1"/>
  <c r="E34" i="1"/>
  <c r="Q34" i="1" s="1"/>
  <c r="E33" i="1"/>
  <c r="Q33" i="1" s="1"/>
  <c r="E32" i="1"/>
  <c r="Q32" i="1" s="1"/>
  <c r="E31" i="1"/>
  <c r="Q31" i="1" s="1"/>
  <c r="E30" i="1"/>
  <c r="E29" i="1"/>
  <c r="Q29" i="1" s="1"/>
  <c r="E28" i="1"/>
  <c r="Q28" i="1" s="1"/>
  <c r="E27" i="1"/>
  <c r="Q27" i="1" s="1"/>
  <c r="E26" i="1"/>
  <c r="Q26" i="1" s="1"/>
  <c r="E25" i="1"/>
  <c r="Q25" i="1" s="1"/>
  <c r="E24" i="1"/>
  <c r="Q24" i="1" s="1"/>
  <c r="E23" i="1"/>
  <c r="Q23" i="1" s="1"/>
  <c r="E22" i="1"/>
  <c r="Q22" i="1" s="1"/>
  <c r="E21" i="1"/>
  <c r="Q21" i="1" s="1"/>
  <c r="E20" i="1"/>
  <c r="Q20" i="1" s="1"/>
  <c r="E19" i="1"/>
  <c r="Q19" i="1" s="1"/>
  <c r="E18" i="1"/>
  <c r="E17" i="1"/>
  <c r="Q17" i="1" s="1"/>
  <c r="E16" i="1"/>
  <c r="Q16" i="1" s="1"/>
  <c r="E15" i="1"/>
  <c r="Q15" i="1" s="1"/>
  <c r="E14" i="1"/>
  <c r="Q14" i="1" s="1"/>
  <c r="E13" i="1"/>
  <c r="Q13" i="1" s="1"/>
  <c r="E12" i="1"/>
  <c r="Q12" i="1" s="1"/>
  <c r="E11" i="1"/>
  <c r="Q11" i="1" s="1"/>
  <c r="E10" i="1"/>
  <c r="Q10" i="1" s="1"/>
  <c r="E9" i="1"/>
  <c r="Q9" i="1" s="1"/>
  <c r="E8" i="1"/>
  <c r="Q8" i="1" s="1"/>
  <c r="E7" i="1"/>
  <c r="Q7" i="1" s="1"/>
  <c r="B122" i="6" a="1"/>
  <c r="B142" i="6" a="1"/>
  <c r="B132" i="6" a="1"/>
  <c r="B113" i="6" a="1"/>
  <c r="B6" i="6" a="1"/>
  <c r="B13" i="6" a="1"/>
  <c r="B55" i="6" a="1"/>
  <c r="B125" i="6" a="1"/>
  <c r="B131" i="6" a="1"/>
  <c r="B42" i="6" a="1"/>
  <c r="B14" i="6" a="1"/>
  <c r="B189" i="6" a="1"/>
  <c r="B94" i="6" a="1"/>
  <c r="B37" i="6" a="1"/>
  <c r="B147" i="6" a="1"/>
  <c r="B19" i="6" a="1"/>
  <c r="B160" i="6" a="1"/>
  <c r="B144" i="6" a="1"/>
  <c r="B105" i="6" a="1"/>
  <c r="B164" i="6" a="1"/>
  <c r="B120" i="6" a="1"/>
  <c r="B49" i="6" a="1"/>
  <c r="B75" i="6" a="1"/>
  <c r="B202" i="6" a="1"/>
  <c r="B206" i="6" a="1"/>
  <c r="B172" i="6" a="1"/>
  <c r="B185" i="6" a="1"/>
  <c r="B190" i="6" a="1"/>
  <c r="B168" i="6" a="1"/>
  <c r="B54" i="6" a="1"/>
  <c r="B27" i="6" a="1"/>
  <c r="B11" i="6" a="1"/>
  <c r="B96" i="6" a="1"/>
  <c r="B127" i="6" a="1"/>
  <c r="B136" i="6" a="1"/>
  <c r="B85" i="6" a="1"/>
  <c r="B140" i="6" a="1"/>
  <c r="B91" i="6" a="1"/>
  <c r="B182" i="6" a="1"/>
  <c r="B53" i="6" a="1"/>
  <c r="B161" i="6" a="1"/>
  <c r="B104" i="6" a="1"/>
  <c r="B22" i="6" a="1"/>
  <c r="B101" i="6" a="1"/>
  <c r="B28" i="6" a="1"/>
  <c r="B35" i="6" a="1"/>
  <c r="B187" i="6" a="1"/>
  <c r="B163" i="6" a="1"/>
  <c r="B203" i="6" a="1"/>
  <c r="B68" i="6" a="1"/>
  <c r="B84" i="6" a="1"/>
  <c r="B195" i="6" a="1"/>
  <c r="B18" i="6" a="1"/>
  <c r="B112" i="6" a="1"/>
  <c r="B153" i="6" a="1"/>
  <c r="B118" i="6" a="1"/>
  <c r="B129" i="6" a="1"/>
  <c r="B141" i="6" a="1"/>
  <c r="B123" i="6" a="1"/>
  <c r="B44" i="6" a="1"/>
  <c r="B173" i="6" a="1"/>
  <c r="B108" i="6" a="1"/>
  <c r="B176" i="6" a="1"/>
  <c r="B116" i="6" a="1"/>
  <c r="B43" i="6" a="1"/>
  <c r="B62" i="6" a="1"/>
  <c r="B98" i="6" a="1"/>
  <c r="B99" i="6" a="1"/>
  <c r="B57" i="6" a="1"/>
  <c r="B192" i="6" a="1"/>
  <c r="B180" i="6" a="1"/>
  <c r="B151" i="6" a="1"/>
  <c r="B80" i="6" a="1"/>
  <c r="B40" i="6" a="1"/>
  <c r="B58" i="6" a="1"/>
  <c r="B38" i="6" a="1"/>
  <c r="B107" i="6" a="1"/>
  <c r="B32" i="6" a="1"/>
  <c r="B145" i="6" a="1"/>
  <c r="B196" i="6" a="1"/>
  <c r="B184" i="6" a="1"/>
  <c r="B20" i="6" a="1"/>
  <c r="B139" i="6" a="1"/>
  <c r="B82" i="6" a="1"/>
  <c r="B87" i="6" a="1"/>
  <c r="B41" i="6" a="1"/>
  <c r="B30" i="6" a="1"/>
  <c r="B102" i="6" a="1"/>
  <c r="B126" i="6" a="1"/>
  <c r="B46" i="6" a="1"/>
  <c r="B8" i="6" a="1"/>
  <c r="B188" i="6" a="1"/>
  <c r="B165" i="6" a="1"/>
  <c r="B76" i="6" a="1"/>
  <c r="B52" i="6" a="1"/>
  <c r="B16" i="6" a="1"/>
  <c r="B152" i="6" a="1"/>
  <c r="B167" i="6" a="1"/>
  <c r="B86" i="6" a="1"/>
  <c r="B88" i="6" a="1"/>
  <c r="B89" i="6" a="1"/>
  <c r="B103" i="6" a="1"/>
  <c r="B15" i="6" a="1"/>
  <c r="B149" i="6" a="1"/>
  <c r="B166" i="6" a="1"/>
  <c r="B174" i="6" a="1"/>
  <c r="B111" i="6" a="1"/>
  <c r="B10" i="6" a="1"/>
  <c r="B200" i="6" a="1"/>
  <c r="B61" i="6" a="1"/>
  <c r="B178" i="6" a="1"/>
  <c r="B12" i="6" a="1"/>
  <c r="B134" i="6" a="1"/>
  <c r="B71" i="6" a="1"/>
  <c r="B83" i="6" a="1"/>
  <c r="B39" i="6" a="1"/>
  <c r="B81" i="6" a="1"/>
  <c r="B155" i="6" a="1"/>
  <c r="B128" i="6" a="1"/>
  <c r="B199" i="6" a="1"/>
  <c r="B114" i="6" a="1"/>
  <c r="B159" i="6" a="1"/>
  <c r="B193" i="6" a="1"/>
  <c r="B179" i="6" a="1"/>
  <c r="B194" i="6" a="1"/>
  <c r="B137" i="6" a="1"/>
  <c r="B109" i="6" a="1"/>
  <c r="B29" i="6" a="1"/>
  <c r="B21" i="6" a="1"/>
  <c r="B60" i="6" a="1"/>
  <c r="B65" i="6" a="1"/>
  <c r="B169" i="6" a="1"/>
  <c r="B47" i="6" a="1"/>
  <c r="B59" i="6" a="1"/>
  <c r="B70" i="6" a="1"/>
  <c r="B143" i="6" a="1"/>
  <c r="B148" i="6" a="1"/>
  <c r="B73" i="6" a="1"/>
  <c r="B78" i="6" a="1"/>
  <c r="B150" i="6" a="1"/>
  <c r="B162" i="6" a="1"/>
  <c r="B119" i="6" a="1"/>
  <c r="B33" i="6" a="1"/>
  <c r="B110" i="6" a="1"/>
  <c r="B157" i="6" a="1"/>
  <c r="B48" i="6" a="1"/>
  <c r="B67" i="6" a="1"/>
  <c r="B34" i="6" a="1"/>
  <c r="B170" i="6" a="1"/>
  <c r="B79" i="6" a="1"/>
  <c r="B100" i="6" a="1"/>
  <c r="B69" i="6" a="1"/>
  <c r="B63" i="6" a="1"/>
  <c r="B95" i="6" a="1"/>
  <c r="B7" i="6" a="1"/>
  <c r="B156" i="6" a="1"/>
  <c r="B135" i="6" a="1"/>
  <c r="B74" i="6" a="1"/>
  <c r="B24" i="6" a="1"/>
  <c r="B93" i="6" a="1"/>
  <c r="B124" i="6" a="1"/>
  <c r="B121" i="6" a="1"/>
  <c r="B9" i="6" a="1"/>
  <c r="B64" i="6" a="1"/>
  <c r="B97" i="6" a="1"/>
  <c r="B72" i="6" a="1"/>
  <c r="B45" i="6" a="1"/>
  <c r="B106" i="6" a="1"/>
  <c r="B25" i="6" a="1"/>
  <c r="B175" i="6" a="1"/>
  <c r="B198" i="6" a="1"/>
  <c r="B191" i="6" a="1"/>
  <c r="B183" i="6" a="1"/>
  <c r="B77" i="6" a="1"/>
  <c r="B205" i="6" a="1"/>
  <c r="B138" i="6" a="1"/>
  <c r="B133" i="6" a="1"/>
  <c r="B146" i="6" a="1"/>
  <c r="B197" i="6" a="1"/>
  <c r="B154" i="6" a="1"/>
  <c r="B31" i="6" a="1"/>
  <c r="B50" i="6" a="1"/>
  <c r="B92" i="6" a="1"/>
  <c r="B51" i="6" a="1"/>
  <c r="B90" i="6" a="1"/>
  <c r="B26" i="6" a="1"/>
  <c r="B171" i="6" a="1"/>
  <c r="B117" i="6" a="1"/>
  <c r="B115" i="6" a="1"/>
  <c r="B181" i="6" a="1"/>
  <c r="B158" i="6" a="1"/>
  <c r="B56" i="6" a="1"/>
  <c r="B204" i="6" a="1"/>
  <c r="B36" i="6" a="1"/>
  <c r="B201" i="6" a="1"/>
  <c r="B130" i="6" a="1"/>
  <c r="B186" i="6" a="1"/>
  <c r="B23" i="6" a="1"/>
  <c r="B66" i="6" a="1"/>
  <c r="B177" i="6" a="1"/>
  <c r="B17" i="6" a="1"/>
  <c r="B6" i="6" l="1"/>
  <c r="B9" i="6"/>
  <c r="B15" i="6"/>
  <c r="B21" i="6"/>
  <c r="B27" i="6"/>
  <c r="B33" i="6"/>
  <c r="B39" i="6"/>
  <c r="B45" i="6"/>
  <c r="B51" i="6"/>
  <c r="B57" i="6"/>
  <c r="B63" i="6"/>
  <c r="B69" i="6"/>
  <c r="B75" i="6"/>
  <c r="B81" i="6"/>
  <c r="B87" i="6"/>
  <c r="B93" i="6"/>
  <c r="B99" i="6"/>
  <c r="B105" i="6"/>
  <c r="B111" i="6"/>
  <c r="B117" i="6"/>
  <c r="B123" i="6"/>
  <c r="B129" i="6"/>
  <c r="B135" i="6"/>
  <c r="B141" i="6"/>
  <c r="B147" i="6"/>
  <c r="B153" i="6"/>
  <c r="B159" i="6"/>
  <c r="B165" i="6"/>
  <c r="B171" i="6"/>
  <c r="B177" i="6"/>
  <c r="B183" i="6"/>
  <c r="B189" i="6"/>
  <c r="B195" i="6"/>
  <c r="B201" i="6"/>
  <c r="B10" i="6"/>
  <c r="B16" i="6"/>
  <c r="B22" i="6"/>
  <c r="B28" i="6"/>
  <c r="B34" i="6"/>
  <c r="B40" i="6"/>
  <c r="B46" i="6"/>
  <c r="B52" i="6"/>
  <c r="B58" i="6"/>
  <c r="B64" i="6"/>
  <c r="B70" i="6"/>
  <c r="B76" i="6"/>
  <c r="B82" i="6"/>
  <c r="B94" i="6"/>
  <c r="B100" i="6"/>
  <c r="B106" i="6"/>
  <c r="B112" i="6"/>
  <c r="B118" i="6"/>
  <c r="B124" i="6"/>
  <c r="B130" i="6"/>
  <c r="B136" i="6"/>
  <c r="B142" i="6"/>
  <c r="B148" i="6"/>
  <c r="B154" i="6"/>
  <c r="B160" i="6"/>
  <c r="B166" i="6"/>
  <c r="B172" i="6"/>
  <c r="B178" i="6"/>
  <c r="B184" i="6"/>
  <c r="B190" i="6"/>
  <c r="B196" i="6"/>
  <c r="B202" i="6"/>
  <c r="B88" i="6"/>
  <c r="B11" i="6"/>
  <c r="B17" i="6"/>
  <c r="B23" i="6"/>
  <c r="B29" i="6"/>
  <c r="B35" i="6"/>
  <c r="B41" i="6"/>
  <c r="B47" i="6"/>
  <c r="B53" i="6"/>
  <c r="B59" i="6"/>
  <c r="B65" i="6"/>
  <c r="B71" i="6"/>
  <c r="B77" i="6"/>
  <c r="B83" i="6"/>
  <c r="B95" i="6"/>
  <c r="B101" i="6"/>
  <c r="B107" i="6"/>
  <c r="B113" i="6"/>
  <c r="B119" i="6"/>
  <c r="B125" i="6"/>
  <c r="B131" i="6"/>
  <c r="B137" i="6"/>
  <c r="B143" i="6"/>
  <c r="B149" i="6"/>
  <c r="B155" i="6"/>
  <c r="B161" i="6"/>
  <c r="B167" i="6"/>
  <c r="B173" i="6"/>
  <c r="B179" i="6"/>
  <c r="B185" i="6"/>
  <c r="B191" i="6"/>
  <c r="B197" i="6"/>
  <c r="B203" i="6"/>
  <c r="B89" i="6"/>
  <c r="B12" i="6"/>
  <c r="B18" i="6"/>
  <c r="B24" i="6"/>
  <c r="B30" i="6"/>
  <c r="B36" i="6"/>
  <c r="B42" i="6"/>
  <c r="B48" i="6"/>
  <c r="B54" i="6"/>
  <c r="B60" i="6"/>
  <c r="B66" i="6"/>
  <c r="B72" i="6"/>
  <c r="B78" i="6"/>
  <c r="B84" i="6"/>
  <c r="B96" i="6"/>
  <c r="B102" i="6"/>
  <c r="B108" i="6"/>
  <c r="B114" i="6"/>
  <c r="B120" i="6"/>
  <c r="B126" i="6"/>
  <c r="B132" i="6"/>
  <c r="B138" i="6"/>
  <c r="B144" i="6"/>
  <c r="B150" i="6"/>
  <c r="B156" i="6"/>
  <c r="B162" i="6"/>
  <c r="B168" i="6"/>
  <c r="B174" i="6"/>
  <c r="B180" i="6"/>
  <c r="B186" i="6"/>
  <c r="B192" i="6"/>
  <c r="B198" i="6"/>
  <c r="B204" i="6"/>
  <c r="B90" i="6"/>
  <c r="B7" i="6"/>
  <c r="B13" i="6"/>
  <c r="B19" i="6"/>
  <c r="B25" i="6"/>
  <c r="B31" i="6"/>
  <c r="B37" i="6"/>
  <c r="B43" i="6"/>
  <c r="B49" i="6"/>
  <c r="B55" i="6"/>
  <c r="B61" i="6"/>
  <c r="B67" i="6"/>
  <c r="B73" i="6"/>
  <c r="B79" i="6"/>
  <c r="B85" i="6"/>
  <c r="B91" i="6"/>
  <c r="B97" i="6"/>
  <c r="B109" i="6"/>
  <c r="B115" i="6"/>
  <c r="B121" i="6"/>
  <c r="B127" i="6"/>
  <c r="B133" i="6"/>
  <c r="B139" i="6"/>
  <c r="B145" i="6"/>
  <c r="B151" i="6"/>
  <c r="B157" i="6"/>
  <c r="B163" i="6"/>
  <c r="B169" i="6"/>
  <c r="B175" i="6"/>
  <c r="B181" i="6"/>
  <c r="B187" i="6"/>
  <c r="B193" i="6"/>
  <c r="B199" i="6"/>
  <c r="B205" i="6"/>
  <c r="B103" i="6"/>
  <c r="B8" i="6"/>
  <c r="B14" i="6"/>
  <c r="B26" i="6"/>
  <c r="B38" i="6"/>
  <c r="B44" i="6"/>
  <c r="B50" i="6"/>
  <c r="B56" i="6"/>
  <c r="B62" i="6"/>
  <c r="B68" i="6"/>
  <c r="B74" i="6"/>
  <c r="B80" i="6"/>
  <c r="B86" i="6"/>
  <c r="B92" i="6"/>
  <c r="B98" i="6"/>
  <c r="B104" i="6"/>
  <c r="B116" i="6"/>
  <c r="B122" i="6"/>
  <c r="B128" i="6"/>
  <c r="B134" i="6"/>
  <c r="B140" i="6"/>
  <c r="B146" i="6"/>
  <c r="B152" i="6"/>
  <c r="B158" i="6"/>
  <c r="B164" i="6"/>
  <c r="B170" i="6"/>
  <c r="B176" i="6"/>
  <c r="B182" i="6"/>
  <c r="B188" i="6"/>
  <c r="B194" i="6"/>
  <c r="B200" i="6"/>
  <c r="B206" i="6"/>
  <c r="B20" i="6"/>
  <c r="B32" i="6"/>
  <c r="B110" i="6"/>
  <c r="A10" i="5"/>
  <c r="B9" i="5"/>
  <c r="I9" i="5"/>
  <c r="J9" i="5" s="1"/>
  <c r="I10" i="5"/>
  <c r="J10" i="5" s="1"/>
  <c r="H14" i="5"/>
  <c r="H13" i="5"/>
  <c r="H12" i="5"/>
  <c r="F7" i="3"/>
  <c r="G7" i="3" s="1"/>
  <c r="I7" i="3"/>
  <c r="J7" i="3" s="1"/>
  <c r="A10" i="3"/>
  <c r="C7" i="3"/>
  <c r="I9" i="2"/>
  <c r="J9" i="2" s="1"/>
  <c r="J10" i="2"/>
  <c r="H18" i="2"/>
  <c r="H17" i="2"/>
  <c r="R12" i="1"/>
  <c r="R24" i="1"/>
  <c r="R36" i="1"/>
  <c r="R48" i="1"/>
  <c r="R60" i="1"/>
  <c r="R72" i="1"/>
  <c r="R84" i="1"/>
  <c r="R96" i="1"/>
  <c r="R108" i="1"/>
  <c r="R120" i="1"/>
  <c r="R132" i="1"/>
  <c r="R144" i="1"/>
  <c r="R156" i="1"/>
  <c r="R168" i="1"/>
  <c r="R180" i="1"/>
  <c r="R192" i="1"/>
  <c r="R204" i="1"/>
  <c r="R216" i="1"/>
  <c r="R228" i="1"/>
  <c r="R240" i="1"/>
  <c r="R252" i="1"/>
  <c r="R264" i="1"/>
  <c r="R276" i="1"/>
  <c r="R288" i="1"/>
  <c r="R300" i="1"/>
  <c r="R312" i="1"/>
  <c r="R324" i="1"/>
  <c r="R336" i="1"/>
  <c r="R348" i="1"/>
  <c r="R360" i="1"/>
  <c r="R372" i="1"/>
  <c r="R384" i="1"/>
  <c r="R396" i="1"/>
  <c r="R408" i="1"/>
  <c r="R420" i="1"/>
  <c r="R432" i="1"/>
  <c r="R444" i="1"/>
  <c r="R456" i="1"/>
  <c r="R468" i="1"/>
  <c r="R480" i="1"/>
  <c r="Q6" i="1"/>
  <c r="R6" i="1"/>
  <c r="Q18" i="1"/>
  <c r="Q30" i="1"/>
  <c r="Q42" i="1"/>
  <c r="Q54" i="1"/>
  <c r="Q66" i="1"/>
  <c r="Q78" i="1"/>
  <c r="Q90" i="1"/>
  <c r="Q102" i="1"/>
  <c r="Q114" i="1"/>
  <c r="Q126" i="1"/>
  <c r="Q138" i="1"/>
  <c r="Q150" i="1"/>
  <c r="Q162" i="1"/>
  <c r="Q174" i="1"/>
  <c r="Q186" i="1"/>
  <c r="Q198" i="1"/>
  <c r="Q210" i="1"/>
  <c r="Q222" i="1"/>
  <c r="Q234" i="1"/>
  <c r="Q246" i="1"/>
  <c r="Q258" i="1"/>
  <c r="Q270" i="1"/>
  <c r="Q282" i="1"/>
  <c r="Q294" i="1"/>
  <c r="Q306" i="1"/>
  <c r="Q318" i="1"/>
  <c r="Q330" i="1"/>
  <c r="Q342" i="1"/>
  <c r="Q354" i="1"/>
  <c r="Q366" i="1"/>
  <c r="Q378" i="1"/>
  <c r="Q390" i="1"/>
  <c r="Q402" i="1"/>
  <c r="Q414" i="1"/>
  <c r="Q426" i="1"/>
  <c r="Q438" i="1"/>
  <c r="Q450" i="1"/>
  <c r="Q462" i="1"/>
  <c r="Q474" i="1"/>
  <c r="Q486" i="1"/>
  <c r="D156" i="6" l="1"/>
  <c r="D78" i="6"/>
  <c r="D152" i="6"/>
  <c r="D74" i="6"/>
  <c r="D89" i="6"/>
  <c r="D137" i="6"/>
  <c r="D188" i="6"/>
  <c r="D116" i="6"/>
  <c r="D38" i="6"/>
  <c r="D184" i="6"/>
  <c r="D15" i="6"/>
  <c r="D158" i="6"/>
  <c r="D192" i="6"/>
  <c r="D120" i="6"/>
  <c r="D42" i="6"/>
  <c r="D173" i="6"/>
  <c r="D101" i="6"/>
  <c r="D59" i="6"/>
  <c r="D112" i="6"/>
  <c r="D23" i="6"/>
  <c r="D76" i="6"/>
  <c r="D80" i="6"/>
  <c r="D103" i="6"/>
  <c r="D139" i="6"/>
  <c r="D61" i="6"/>
  <c r="D148" i="6"/>
  <c r="D194" i="6"/>
  <c r="D122" i="6"/>
  <c r="D44" i="6"/>
  <c r="D91" i="6"/>
  <c r="D190" i="6"/>
  <c r="D118" i="6"/>
  <c r="D40" i="6"/>
  <c r="D21" i="6"/>
  <c r="D8" i="6"/>
  <c r="D145" i="6"/>
  <c r="D67" i="6"/>
  <c r="D154" i="6"/>
  <c r="D175" i="6"/>
  <c r="D164" i="6"/>
  <c r="D86" i="6"/>
  <c r="D198" i="6"/>
  <c r="D126" i="6"/>
  <c r="D48" i="6"/>
  <c r="D179" i="6"/>
  <c r="D107" i="6"/>
  <c r="D29" i="6"/>
  <c r="D204" i="6"/>
  <c r="D132" i="6"/>
  <c r="D54" i="6"/>
  <c r="D185" i="6"/>
  <c r="D113" i="6"/>
  <c r="D35" i="6"/>
  <c r="D166" i="6"/>
  <c r="D16" i="6"/>
  <c r="D141" i="6"/>
  <c r="D69" i="6"/>
  <c r="D160" i="6"/>
  <c r="D82" i="6"/>
  <c r="D10" i="6"/>
  <c r="D63" i="6"/>
  <c r="D52" i="6"/>
  <c r="D94" i="6"/>
  <c r="D169" i="6"/>
  <c r="D19" i="6"/>
  <c r="D85" i="6"/>
  <c r="D13" i="6"/>
  <c r="D150" i="6"/>
  <c r="D72" i="6"/>
  <c r="D203" i="6"/>
  <c r="D131" i="6"/>
  <c r="D53" i="6"/>
  <c r="D34" i="6"/>
  <c r="D182" i="6"/>
  <c r="D26" i="6"/>
  <c r="D144" i="6"/>
  <c r="D66" i="6"/>
  <c r="D197" i="6"/>
  <c r="D125" i="6"/>
  <c r="D47" i="6"/>
  <c r="D178" i="6"/>
  <c r="D28" i="6"/>
  <c r="D176" i="6"/>
  <c r="D98" i="6"/>
  <c r="D172" i="6"/>
  <c r="D100" i="6"/>
  <c r="D135" i="6"/>
  <c r="D201" i="6"/>
  <c r="D129" i="6"/>
  <c r="D110" i="6"/>
  <c r="D163" i="6"/>
  <c r="D57" i="6"/>
  <c r="D32" i="6"/>
  <c r="D25" i="6"/>
  <c r="D165" i="6"/>
  <c r="D159" i="6"/>
  <c r="D106" i="6"/>
  <c r="D104" i="6"/>
  <c r="D157" i="6"/>
  <c r="D79" i="6"/>
  <c r="D81" i="6"/>
  <c r="D14" i="6"/>
  <c r="D151" i="6"/>
  <c r="D73" i="6"/>
  <c r="D90" i="6"/>
  <c r="D138" i="6"/>
  <c r="D60" i="6"/>
  <c r="D191" i="6"/>
  <c r="D119" i="6"/>
  <c r="D41" i="6"/>
  <c r="D22" i="6"/>
  <c r="D147" i="6"/>
  <c r="D75" i="6"/>
  <c r="D170" i="6"/>
  <c r="D92" i="6"/>
  <c r="D205" i="6"/>
  <c r="D199" i="6"/>
  <c r="D127" i="6"/>
  <c r="D49" i="6"/>
  <c r="D186" i="6"/>
  <c r="D114" i="6"/>
  <c r="D36" i="6"/>
  <c r="D167" i="6"/>
  <c r="D95" i="6"/>
  <c r="D17" i="6"/>
  <c r="D70" i="6"/>
  <c r="D195" i="6"/>
  <c r="D123" i="6"/>
  <c r="D51" i="6"/>
  <c r="D121" i="6"/>
  <c r="D30" i="6"/>
  <c r="D142" i="6"/>
  <c r="D64" i="6"/>
  <c r="D45" i="6"/>
  <c r="D68" i="6"/>
  <c r="D161" i="6"/>
  <c r="D20" i="6"/>
  <c r="D140" i="6"/>
  <c r="D62" i="6"/>
  <c r="D187" i="6"/>
  <c r="D115" i="6"/>
  <c r="D37" i="6"/>
  <c r="D174" i="6"/>
  <c r="D102" i="6"/>
  <c r="D24" i="6"/>
  <c r="D155" i="6"/>
  <c r="D77" i="6"/>
  <c r="D88" i="6"/>
  <c r="D136" i="6"/>
  <c r="D58" i="6"/>
  <c r="D183" i="6"/>
  <c r="D111" i="6"/>
  <c r="D39" i="6"/>
  <c r="D146" i="6"/>
  <c r="D43" i="6"/>
  <c r="D108" i="6"/>
  <c r="D83" i="6"/>
  <c r="D189" i="6"/>
  <c r="D206" i="6"/>
  <c r="D134" i="6"/>
  <c r="D56" i="6"/>
  <c r="D181" i="6"/>
  <c r="D109" i="6"/>
  <c r="D31" i="6"/>
  <c r="D168" i="6"/>
  <c r="D96" i="6"/>
  <c r="D18" i="6"/>
  <c r="D149" i="6"/>
  <c r="D71" i="6"/>
  <c r="D202" i="6"/>
  <c r="D130" i="6"/>
  <c r="D177" i="6"/>
  <c r="D105" i="6"/>
  <c r="D33" i="6"/>
  <c r="D133" i="6"/>
  <c r="D55" i="6"/>
  <c r="D193" i="6"/>
  <c r="D180" i="6"/>
  <c r="D11" i="6"/>
  <c r="D117" i="6"/>
  <c r="D200" i="6"/>
  <c r="D128" i="6"/>
  <c r="D50" i="6"/>
  <c r="D97" i="6"/>
  <c r="D162" i="6"/>
  <c r="D84" i="6"/>
  <c r="D12" i="6"/>
  <c r="D143" i="6"/>
  <c r="D65" i="6"/>
  <c r="D196" i="6"/>
  <c r="D124" i="6"/>
  <c r="D46" i="6"/>
  <c r="D171" i="6"/>
  <c r="D99" i="6"/>
  <c r="D27" i="6"/>
  <c r="D93" i="6"/>
  <c r="D87" i="6"/>
  <c r="D153" i="6"/>
  <c r="D9" i="6"/>
  <c r="D7" i="6"/>
  <c r="H15" i="5"/>
  <c r="H16" i="5"/>
  <c r="A11" i="5"/>
  <c r="B10" i="5"/>
  <c r="I11" i="5"/>
  <c r="J11" i="5" s="1"/>
  <c r="I12" i="5"/>
  <c r="J12" i="5" s="1"/>
  <c r="K7" i="3"/>
  <c r="A11" i="3"/>
  <c r="B10" i="3"/>
  <c r="C10" i="3"/>
  <c r="F8" i="3"/>
  <c r="G8" i="3" s="1"/>
  <c r="I8" i="3"/>
  <c r="H7" i="3"/>
  <c r="I11" i="2"/>
  <c r="J11" i="2" s="1"/>
  <c r="I12" i="2"/>
  <c r="J12" i="2" s="1"/>
  <c r="H20" i="2"/>
  <c r="H19" i="2"/>
  <c r="E7" i="6" l="1"/>
  <c r="E8" i="6" s="1"/>
  <c r="B11" i="5"/>
  <c r="A12" i="5"/>
  <c r="I13" i="5"/>
  <c r="J13" i="5" s="1"/>
  <c r="I14" i="5"/>
  <c r="J14" i="5" s="1"/>
  <c r="H17" i="5"/>
  <c r="H18" i="5"/>
  <c r="J8" i="3"/>
  <c r="I9" i="3" s="1"/>
  <c r="J9" i="3" s="1"/>
  <c r="I3" i="3"/>
  <c r="A12" i="3"/>
  <c r="B11" i="3"/>
  <c r="C11" i="3"/>
  <c r="H8" i="3"/>
  <c r="I14" i="2"/>
  <c r="J14" i="2" s="1"/>
  <c r="I13" i="2"/>
  <c r="J13" i="2" s="1"/>
  <c r="H22" i="2"/>
  <c r="H21" i="2"/>
  <c r="F7" i="6" l="1"/>
  <c r="E9" i="6"/>
  <c r="F8" i="6"/>
  <c r="H20" i="5"/>
  <c r="H19" i="5"/>
  <c r="I16" i="5"/>
  <c r="J16" i="5" s="1"/>
  <c r="I15" i="5"/>
  <c r="J15" i="5" s="1"/>
  <c r="B12" i="5"/>
  <c r="A13" i="5"/>
  <c r="F9" i="3"/>
  <c r="G9" i="3" s="1"/>
  <c r="H9" i="3" s="1"/>
  <c r="K8" i="3"/>
  <c r="L8" i="3" s="1"/>
  <c r="B12" i="3"/>
  <c r="A13" i="3"/>
  <c r="C12" i="3"/>
  <c r="I15" i="2"/>
  <c r="J15" i="2" s="1"/>
  <c r="I16" i="2"/>
  <c r="J16" i="2" s="1"/>
  <c r="H24" i="2"/>
  <c r="H23" i="2"/>
  <c r="E10" i="6" l="1"/>
  <c r="F9" i="6"/>
  <c r="I18" i="5"/>
  <c r="J18" i="5" s="1"/>
  <c r="I17" i="5"/>
  <c r="J17" i="5" s="1"/>
  <c r="H21" i="5"/>
  <c r="H22" i="5"/>
  <c r="B13" i="5"/>
  <c r="A14" i="5"/>
  <c r="F10" i="3"/>
  <c r="G10" i="3" s="1"/>
  <c r="I10" i="3"/>
  <c r="J10" i="3" s="1"/>
  <c r="K9" i="3"/>
  <c r="L9" i="3" s="1"/>
  <c r="C13" i="3"/>
  <c r="A14" i="3"/>
  <c r="B13" i="3"/>
  <c r="I17" i="2"/>
  <c r="J17" i="2" s="1"/>
  <c r="I18" i="2"/>
  <c r="J18" i="2" s="1"/>
  <c r="H25" i="2"/>
  <c r="H26" i="2"/>
  <c r="E11" i="6" l="1"/>
  <c r="F10" i="6"/>
  <c r="H24" i="5"/>
  <c r="H23" i="5"/>
  <c r="I20" i="5"/>
  <c r="J20" i="5" s="1"/>
  <c r="I19" i="5"/>
  <c r="J19" i="5" s="1"/>
  <c r="A15" i="5"/>
  <c r="B14" i="5"/>
  <c r="F11" i="3"/>
  <c r="G11" i="3" s="1"/>
  <c r="H10" i="3"/>
  <c r="I11" i="3"/>
  <c r="J11" i="3" s="1"/>
  <c r="K10" i="3"/>
  <c r="A15" i="3"/>
  <c r="B14" i="3"/>
  <c r="C14" i="3"/>
  <c r="I19" i="2"/>
  <c r="J19" i="2" s="1"/>
  <c r="I20" i="2"/>
  <c r="J20" i="2" s="1"/>
  <c r="H28" i="2"/>
  <c r="H27" i="2"/>
  <c r="E12" i="6" l="1"/>
  <c r="F11" i="6"/>
  <c r="B15" i="5"/>
  <c r="A16" i="5"/>
  <c r="I22" i="5"/>
  <c r="J22" i="5" s="1"/>
  <c r="I21" i="5"/>
  <c r="J21" i="5" s="1"/>
  <c r="H25" i="5"/>
  <c r="H26" i="5"/>
  <c r="H11" i="3"/>
  <c r="F12" i="3"/>
  <c r="G12" i="3" s="1"/>
  <c r="K11" i="3"/>
  <c r="L11" i="3" s="1"/>
  <c r="I12" i="3"/>
  <c r="J12" i="3" s="1"/>
  <c r="L10" i="3"/>
  <c r="A16" i="3"/>
  <c r="B15" i="3"/>
  <c r="C15" i="3"/>
  <c r="I21" i="2"/>
  <c r="J21" i="2" s="1"/>
  <c r="I22" i="2"/>
  <c r="J22" i="2" s="1"/>
  <c r="H30" i="2"/>
  <c r="H29" i="2"/>
  <c r="E13" i="6" l="1"/>
  <c r="F12" i="6"/>
  <c r="A17" i="5"/>
  <c r="B16" i="5"/>
  <c r="H27" i="5"/>
  <c r="H28" i="5"/>
  <c r="I24" i="5"/>
  <c r="J24" i="5" s="1"/>
  <c r="I23" i="5"/>
  <c r="J23" i="5" s="1"/>
  <c r="F13" i="3"/>
  <c r="G13" i="3" s="1"/>
  <c r="H12" i="3"/>
  <c r="I13" i="3"/>
  <c r="J13" i="3" s="1"/>
  <c r="K12" i="3"/>
  <c r="B16" i="3"/>
  <c r="A17" i="3"/>
  <c r="C16" i="3"/>
  <c r="I24" i="2"/>
  <c r="J24" i="2" s="1"/>
  <c r="I23" i="2"/>
  <c r="J23" i="2" s="1"/>
  <c r="H32" i="2"/>
  <c r="H31" i="2"/>
  <c r="E14" i="6" l="1"/>
  <c r="F13" i="6"/>
  <c r="B17" i="5"/>
  <c r="A18" i="5"/>
  <c r="I26" i="5"/>
  <c r="J26" i="5" s="1"/>
  <c r="I25" i="5"/>
  <c r="J25" i="5" s="1"/>
  <c r="H30" i="5"/>
  <c r="H29" i="5"/>
  <c r="I14" i="3"/>
  <c r="J14" i="3" s="1"/>
  <c r="H13" i="3"/>
  <c r="K13" i="3"/>
  <c r="L13" i="3" s="1"/>
  <c r="F14" i="3"/>
  <c r="G14" i="3" s="1"/>
  <c r="L12" i="3"/>
  <c r="C17" i="3"/>
  <c r="A18" i="3"/>
  <c r="B17" i="3"/>
  <c r="I26" i="2"/>
  <c r="J26" i="2" s="1"/>
  <c r="I25" i="2"/>
  <c r="J25" i="2" s="1"/>
  <c r="H34" i="2"/>
  <c r="H33" i="2"/>
  <c r="E15" i="6" l="1"/>
  <c r="F14" i="6"/>
  <c r="I28" i="5"/>
  <c r="J28" i="5" s="1"/>
  <c r="I27" i="5"/>
  <c r="J27" i="5" s="1"/>
  <c r="H32" i="5"/>
  <c r="H31" i="5"/>
  <c r="A19" i="5"/>
  <c r="B18" i="5"/>
  <c r="H14" i="3"/>
  <c r="K14" i="3"/>
  <c r="L14" i="3" s="1"/>
  <c r="I15" i="3"/>
  <c r="J15" i="3" s="1"/>
  <c r="F15" i="3"/>
  <c r="G15" i="3" s="1"/>
  <c r="A19" i="3"/>
  <c r="B18" i="3"/>
  <c r="C18" i="3"/>
  <c r="I27" i="2"/>
  <c r="J27" i="2" s="1"/>
  <c r="I28" i="2"/>
  <c r="J28" i="2" s="1"/>
  <c r="H36" i="2"/>
  <c r="H35" i="2"/>
  <c r="E16" i="6" l="1"/>
  <c r="F15" i="6"/>
  <c r="H33" i="5"/>
  <c r="H34" i="5"/>
  <c r="I30" i="5"/>
  <c r="J30" i="5" s="1"/>
  <c r="I29" i="5"/>
  <c r="J29" i="5" s="1"/>
  <c r="B19" i="5"/>
  <c r="A20" i="5"/>
  <c r="H15" i="3"/>
  <c r="I16" i="3"/>
  <c r="J16" i="3" s="1"/>
  <c r="F16" i="3"/>
  <c r="G16" i="3" s="1"/>
  <c r="K15" i="3"/>
  <c r="L15" i="3" s="1"/>
  <c r="A20" i="3"/>
  <c r="B19" i="3"/>
  <c r="C19" i="3"/>
  <c r="I30" i="2"/>
  <c r="J30" i="2" s="1"/>
  <c r="I29" i="2"/>
  <c r="J29" i="2" s="1"/>
  <c r="H37" i="2"/>
  <c r="H38" i="2"/>
  <c r="E17" i="6" l="1"/>
  <c r="F16" i="6"/>
  <c r="A21" i="5"/>
  <c r="B20" i="5"/>
  <c r="H36" i="5"/>
  <c r="H35" i="5"/>
  <c r="I32" i="5"/>
  <c r="J32" i="5" s="1"/>
  <c r="I31" i="5"/>
  <c r="J31" i="5" s="1"/>
  <c r="H16" i="3"/>
  <c r="K16" i="3"/>
  <c r="L16" i="3" s="1"/>
  <c r="F17" i="3"/>
  <c r="G17" i="3" s="1"/>
  <c r="I17" i="3"/>
  <c r="J17" i="3" s="1"/>
  <c r="B20" i="3"/>
  <c r="A21" i="3"/>
  <c r="C20" i="3"/>
  <c r="J32" i="2"/>
  <c r="I31" i="2"/>
  <c r="J31" i="2" s="1"/>
  <c r="H40" i="2"/>
  <c r="H39" i="2"/>
  <c r="E18" i="6" l="1"/>
  <c r="F17" i="6"/>
  <c r="A22" i="5"/>
  <c r="B21" i="5"/>
  <c r="H37" i="5"/>
  <c r="H38" i="5"/>
  <c r="I33" i="5"/>
  <c r="J33" i="5" s="1"/>
  <c r="I34" i="5"/>
  <c r="J34" i="5" s="1"/>
  <c r="H17" i="3"/>
  <c r="I18" i="3"/>
  <c r="J18" i="3" s="1"/>
  <c r="F18" i="3"/>
  <c r="G18" i="3" s="1"/>
  <c r="K17" i="3"/>
  <c r="L17" i="3" s="1"/>
  <c r="C21" i="3"/>
  <c r="A22" i="3"/>
  <c r="B21" i="3"/>
  <c r="I33" i="2"/>
  <c r="J33" i="2" s="1"/>
  <c r="I34" i="2"/>
  <c r="J34" i="2" s="1"/>
  <c r="H42" i="2"/>
  <c r="H41" i="2"/>
  <c r="E19" i="6" l="1"/>
  <c r="F18" i="6"/>
  <c r="A23" i="5"/>
  <c r="B22" i="5"/>
  <c r="H39" i="5"/>
  <c r="H40" i="5"/>
  <c r="I35" i="5"/>
  <c r="J35" i="5" s="1"/>
  <c r="I36" i="5"/>
  <c r="J36" i="5" s="1"/>
  <c r="H18" i="3"/>
  <c r="F19" i="3"/>
  <c r="G19" i="3" s="1"/>
  <c r="K18" i="3"/>
  <c r="L18" i="3" s="1"/>
  <c r="I19" i="3"/>
  <c r="J19" i="3" s="1"/>
  <c r="A23" i="3"/>
  <c r="B22" i="3"/>
  <c r="C22" i="3"/>
  <c r="I35" i="2"/>
  <c r="J35" i="2" s="1"/>
  <c r="I36" i="2"/>
  <c r="J36" i="2" s="1"/>
  <c r="H44" i="2"/>
  <c r="H43" i="2"/>
  <c r="E20" i="6" l="1"/>
  <c r="F19" i="6"/>
  <c r="I38" i="5"/>
  <c r="J38" i="5" s="1"/>
  <c r="I37" i="5"/>
  <c r="J37" i="5" s="1"/>
  <c r="H42" i="5"/>
  <c r="H41" i="5"/>
  <c r="A24" i="5"/>
  <c r="B23" i="5"/>
  <c r="K19" i="3"/>
  <c r="L19" i="3" s="1"/>
  <c r="H19" i="3"/>
  <c r="I20" i="3"/>
  <c r="J20" i="3" s="1"/>
  <c r="F20" i="3"/>
  <c r="G20" i="3" s="1"/>
  <c r="A24" i="3"/>
  <c r="B23" i="3"/>
  <c r="C23" i="3"/>
  <c r="I38" i="2"/>
  <c r="J38" i="2" s="1"/>
  <c r="I37" i="2"/>
  <c r="J37" i="2" s="1"/>
  <c r="H46" i="2"/>
  <c r="H45" i="2"/>
  <c r="E21" i="6" l="1"/>
  <c r="F20" i="6"/>
  <c r="B24" i="5"/>
  <c r="A25" i="5"/>
  <c r="H44" i="5"/>
  <c r="H43" i="5"/>
  <c r="I40" i="5"/>
  <c r="J40" i="5" s="1"/>
  <c r="I39" i="5"/>
  <c r="J39" i="5" s="1"/>
  <c r="K20" i="3"/>
  <c r="L20" i="3" s="1"/>
  <c r="F21" i="3"/>
  <c r="G21" i="3" s="1"/>
  <c r="I21" i="3"/>
  <c r="J21" i="3" s="1"/>
  <c r="H20" i="3"/>
  <c r="B24" i="3"/>
  <c r="A25" i="3"/>
  <c r="C24" i="3"/>
  <c r="I39" i="2"/>
  <c r="J39" i="2" s="1"/>
  <c r="I40" i="2"/>
  <c r="J40" i="2" s="1"/>
  <c r="H48" i="2"/>
  <c r="H47" i="2"/>
  <c r="E22" i="6" l="1"/>
  <c r="F21" i="6"/>
  <c r="I42" i="5"/>
  <c r="J42" i="5" s="1"/>
  <c r="I41" i="5"/>
  <c r="J41" i="5" s="1"/>
  <c r="H45" i="5"/>
  <c r="H46" i="5"/>
  <c r="B25" i="5"/>
  <c r="A26" i="5"/>
  <c r="K21" i="3"/>
  <c r="L21" i="3" s="1"/>
  <c r="I22" i="3"/>
  <c r="J22" i="3" s="1"/>
  <c r="H21" i="3"/>
  <c r="F22" i="3"/>
  <c r="G22" i="3" s="1"/>
  <c r="C25" i="3"/>
  <c r="A26" i="3"/>
  <c r="B25" i="3"/>
  <c r="I41" i="2"/>
  <c r="J41" i="2" s="1"/>
  <c r="I42" i="2"/>
  <c r="J42" i="2" s="1"/>
  <c r="H49" i="2"/>
  <c r="H50" i="2"/>
  <c r="E23" i="6" l="1"/>
  <c r="F22" i="6"/>
  <c r="A27" i="5"/>
  <c r="B26" i="5"/>
  <c r="H48" i="5"/>
  <c r="H47" i="5"/>
  <c r="I44" i="5"/>
  <c r="J44" i="5" s="1"/>
  <c r="I43" i="5"/>
  <c r="J43" i="5" s="1"/>
  <c r="K22" i="3"/>
  <c r="L22" i="3" s="1"/>
  <c r="F23" i="3"/>
  <c r="G23" i="3" s="1"/>
  <c r="H22" i="3"/>
  <c r="I23" i="3"/>
  <c r="J23" i="3" s="1"/>
  <c r="A27" i="3"/>
  <c r="B26" i="3"/>
  <c r="C26" i="3"/>
  <c r="I44" i="2"/>
  <c r="J44" i="2" s="1"/>
  <c r="I43" i="2"/>
  <c r="J43" i="2" s="1"/>
  <c r="H52" i="2"/>
  <c r="H51" i="2"/>
  <c r="E24" i="6" l="1"/>
  <c r="F23" i="6"/>
  <c r="I45" i="5"/>
  <c r="J45" i="5" s="1"/>
  <c r="I46" i="5"/>
  <c r="J46" i="5" s="1"/>
  <c r="H49" i="5"/>
  <c r="H50" i="5"/>
  <c r="B27" i="5"/>
  <c r="A28" i="5"/>
  <c r="H23" i="3"/>
  <c r="F24" i="3"/>
  <c r="G24" i="3" s="1"/>
  <c r="I24" i="3"/>
  <c r="J24" i="3" s="1"/>
  <c r="K23" i="3"/>
  <c r="L23" i="3" s="1"/>
  <c r="A28" i="3"/>
  <c r="B27" i="3"/>
  <c r="C27" i="3"/>
  <c r="I45" i="2"/>
  <c r="J45" i="2" s="1"/>
  <c r="I46" i="2"/>
  <c r="J46" i="2" s="1"/>
  <c r="H54" i="2"/>
  <c r="H53" i="2"/>
  <c r="E25" i="6" l="1"/>
  <c r="F24" i="6"/>
  <c r="A29" i="5"/>
  <c r="B28" i="5"/>
  <c r="H51" i="5"/>
  <c r="H52" i="5"/>
  <c r="I47" i="5"/>
  <c r="J47" i="5" s="1"/>
  <c r="I48" i="5"/>
  <c r="J48" i="5" s="1"/>
  <c r="K24" i="3"/>
  <c r="L24" i="3" s="1"/>
  <c r="F25" i="3"/>
  <c r="G25" i="3" s="1"/>
  <c r="H24" i="3"/>
  <c r="I25" i="3"/>
  <c r="J25" i="3" s="1"/>
  <c r="B28" i="3"/>
  <c r="A29" i="3"/>
  <c r="C28" i="3"/>
  <c r="I47" i="2"/>
  <c r="J47" i="2" s="1"/>
  <c r="I48" i="2"/>
  <c r="J48" i="2" s="1"/>
  <c r="H56" i="2"/>
  <c r="H55" i="2"/>
  <c r="E26" i="6" l="1"/>
  <c r="F25" i="6"/>
  <c r="I50" i="5"/>
  <c r="J50" i="5" s="1"/>
  <c r="I49" i="5"/>
  <c r="J49" i="5" s="1"/>
  <c r="H54" i="5"/>
  <c r="H53" i="5"/>
  <c r="A30" i="5"/>
  <c r="B29" i="5"/>
  <c r="K25" i="3"/>
  <c r="L25" i="3" s="1"/>
  <c r="H25" i="3"/>
  <c r="F26" i="3"/>
  <c r="G26" i="3" s="1"/>
  <c r="I26" i="3"/>
  <c r="J26" i="3" s="1"/>
  <c r="C29" i="3"/>
  <c r="A30" i="3"/>
  <c r="B29" i="3"/>
  <c r="I50" i="2"/>
  <c r="J50" i="2" s="1"/>
  <c r="I49" i="2"/>
  <c r="J49" i="2" s="1"/>
  <c r="H58" i="2"/>
  <c r="H57" i="2"/>
  <c r="E27" i="6" l="1"/>
  <c r="F26" i="6"/>
  <c r="I52" i="5"/>
  <c r="J52" i="5" s="1"/>
  <c r="I51" i="5"/>
  <c r="J51" i="5" s="1"/>
  <c r="A31" i="5"/>
  <c r="B30" i="5"/>
  <c r="H56" i="5"/>
  <c r="H55" i="5"/>
  <c r="H26" i="3"/>
  <c r="K26" i="3"/>
  <c r="L26" i="3" s="1"/>
  <c r="F27" i="3"/>
  <c r="G27" i="3" s="1"/>
  <c r="I27" i="3"/>
  <c r="J27" i="3" s="1"/>
  <c r="A31" i="3"/>
  <c r="B30" i="3"/>
  <c r="C30" i="3"/>
  <c r="I51" i="2"/>
  <c r="J51" i="2" s="1"/>
  <c r="I52" i="2"/>
  <c r="J52" i="2" s="1"/>
  <c r="H60" i="2"/>
  <c r="H59" i="2"/>
  <c r="E28" i="6" l="1"/>
  <c r="F27" i="6"/>
  <c r="I54" i="5"/>
  <c r="J54" i="5" s="1"/>
  <c r="I53" i="5"/>
  <c r="J53" i="5" s="1"/>
  <c r="H57" i="5"/>
  <c r="H58" i="5"/>
  <c r="A32" i="5"/>
  <c r="B31" i="5"/>
  <c r="H27" i="3"/>
  <c r="I28" i="3"/>
  <c r="J28" i="3" s="1"/>
  <c r="K27" i="3"/>
  <c r="L27" i="3" s="1"/>
  <c r="F28" i="3"/>
  <c r="G28" i="3" s="1"/>
  <c r="A32" i="3"/>
  <c r="B31" i="3"/>
  <c r="C31" i="3"/>
  <c r="I54" i="2"/>
  <c r="J54" i="2" s="1"/>
  <c r="I53" i="2"/>
  <c r="J53" i="2" s="1"/>
  <c r="H61" i="2"/>
  <c r="H62" i="2"/>
  <c r="E29" i="6" l="1"/>
  <c r="F28" i="6"/>
  <c r="A33" i="5"/>
  <c r="B32" i="5"/>
  <c r="H60" i="5"/>
  <c r="H59" i="5"/>
  <c r="I56" i="5"/>
  <c r="J56" i="5" s="1"/>
  <c r="I55" i="5"/>
  <c r="J55" i="5" s="1"/>
  <c r="H28" i="3"/>
  <c r="I29" i="3"/>
  <c r="J29" i="3" s="1"/>
  <c r="F29" i="3"/>
  <c r="G29" i="3" s="1"/>
  <c r="K28" i="3"/>
  <c r="L28" i="3" s="1"/>
  <c r="B32" i="3"/>
  <c r="A33" i="3"/>
  <c r="C32" i="3"/>
  <c r="I55" i="2"/>
  <c r="J55" i="2" s="1"/>
  <c r="I56" i="2"/>
  <c r="J56" i="2" s="1"/>
  <c r="H64" i="2"/>
  <c r="H63" i="2"/>
  <c r="E30" i="6" l="1"/>
  <c r="F29" i="6"/>
  <c r="I57" i="5"/>
  <c r="J57" i="5" s="1"/>
  <c r="I58" i="5"/>
  <c r="J58" i="5" s="1"/>
  <c r="H61" i="5"/>
  <c r="H62" i="5"/>
  <c r="A34" i="5"/>
  <c r="B33" i="5"/>
  <c r="F30" i="3"/>
  <c r="G30" i="3" s="1"/>
  <c r="H29" i="3"/>
  <c r="I30" i="3"/>
  <c r="J30" i="3" s="1"/>
  <c r="K29" i="3"/>
  <c r="L29" i="3" s="1"/>
  <c r="C33" i="3"/>
  <c r="A34" i="3"/>
  <c r="B33" i="3"/>
  <c r="I57" i="2"/>
  <c r="J57" i="2" s="1"/>
  <c r="I58" i="2"/>
  <c r="J58" i="2" s="1"/>
  <c r="H66" i="2"/>
  <c r="H65" i="2"/>
  <c r="E31" i="6" l="1"/>
  <c r="F30" i="6"/>
  <c r="B34" i="5"/>
  <c r="A35" i="5"/>
  <c r="H63" i="5"/>
  <c r="H64" i="5"/>
  <c r="I59" i="5"/>
  <c r="J59" i="5" s="1"/>
  <c r="I60" i="5"/>
  <c r="J60" i="5" s="1"/>
  <c r="F31" i="3"/>
  <c r="G31" i="3" s="1"/>
  <c r="H30" i="3"/>
  <c r="I31" i="3"/>
  <c r="J31" i="3" s="1"/>
  <c r="K30" i="3"/>
  <c r="L30" i="3" s="1"/>
  <c r="A35" i="3"/>
  <c r="B34" i="3"/>
  <c r="C34" i="3"/>
  <c r="I59" i="2"/>
  <c r="J59" i="2" s="1"/>
  <c r="I60" i="2"/>
  <c r="J60" i="2" s="1"/>
  <c r="H68" i="2"/>
  <c r="H67" i="2"/>
  <c r="E32" i="6" l="1"/>
  <c r="F31" i="6"/>
  <c r="I62" i="5"/>
  <c r="J62" i="5" s="1"/>
  <c r="I61" i="5"/>
  <c r="J61" i="5" s="1"/>
  <c r="H66" i="5"/>
  <c r="H65" i="5"/>
  <c r="B35" i="5"/>
  <c r="A36" i="5"/>
  <c r="H31" i="3"/>
  <c r="I32" i="3"/>
  <c r="J32" i="3" s="1"/>
  <c r="F32" i="3"/>
  <c r="G32" i="3" s="1"/>
  <c r="K31" i="3"/>
  <c r="L31" i="3" s="1"/>
  <c r="A36" i="3"/>
  <c r="B35" i="3"/>
  <c r="C35" i="3"/>
  <c r="I62" i="2"/>
  <c r="J62" i="2" s="1"/>
  <c r="I61" i="2"/>
  <c r="J61" i="2" s="1"/>
  <c r="H70" i="2"/>
  <c r="H69" i="2"/>
  <c r="E33" i="6" l="1"/>
  <c r="F32" i="6"/>
  <c r="B36" i="5"/>
  <c r="A37" i="5"/>
  <c r="H68" i="5"/>
  <c r="H67" i="5"/>
  <c r="I64" i="5"/>
  <c r="J64" i="5" s="1"/>
  <c r="I63" i="5"/>
  <c r="J63" i="5" s="1"/>
  <c r="F33" i="3"/>
  <c r="G33" i="3" s="1"/>
  <c r="H32" i="3"/>
  <c r="I33" i="3"/>
  <c r="J33" i="3" s="1"/>
  <c r="K32" i="3"/>
  <c r="L32" i="3" s="1"/>
  <c r="B36" i="3"/>
  <c r="A37" i="3"/>
  <c r="C36" i="3"/>
  <c r="I64" i="2"/>
  <c r="J64" i="2" s="1"/>
  <c r="I63" i="2"/>
  <c r="J63" i="2" s="1"/>
  <c r="H72" i="2"/>
  <c r="H71" i="2"/>
  <c r="E34" i="6" l="1"/>
  <c r="F33" i="6"/>
  <c r="I66" i="5"/>
  <c r="J66" i="5" s="1"/>
  <c r="I65" i="5"/>
  <c r="J65" i="5" s="1"/>
  <c r="H69" i="5"/>
  <c r="H70" i="5"/>
  <c r="B37" i="5"/>
  <c r="A38" i="5"/>
  <c r="I34" i="3"/>
  <c r="J34" i="3" s="1"/>
  <c r="H33" i="3"/>
  <c r="F34" i="3"/>
  <c r="G34" i="3" s="1"/>
  <c r="K33" i="3"/>
  <c r="L33" i="3" s="1"/>
  <c r="C37" i="3"/>
  <c r="A38" i="3"/>
  <c r="B37" i="3"/>
  <c r="I65" i="2"/>
  <c r="J65" i="2" s="1"/>
  <c r="I66" i="2"/>
  <c r="J66" i="2" s="1"/>
  <c r="H73" i="2"/>
  <c r="H74" i="2"/>
  <c r="E35" i="6" l="1"/>
  <c r="F34" i="6"/>
  <c r="B38" i="5"/>
  <c r="A39" i="5"/>
  <c r="H72" i="5"/>
  <c r="H71" i="5"/>
  <c r="I68" i="5"/>
  <c r="J68" i="5" s="1"/>
  <c r="I67" i="5"/>
  <c r="J67" i="5" s="1"/>
  <c r="I35" i="3"/>
  <c r="J35" i="3" s="1"/>
  <c r="F35" i="3"/>
  <c r="G35" i="3" s="1"/>
  <c r="H34" i="3"/>
  <c r="K34" i="3"/>
  <c r="A39" i="3"/>
  <c r="B38" i="3"/>
  <c r="C38" i="3"/>
  <c r="I68" i="2"/>
  <c r="J68" i="2" s="1"/>
  <c r="I67" i="2"/>
  <c r="J67" i="2" s="1"/>
  <c r="H76" i="2"/>
  <c r="H75" i="2"/>
  <c r="E36" i="6" l="1"/>
  <c r="F35" i="6"/>
  <c r="I69" i="5"/>
  <c r="J69" i="5" s="1"/>
  <c r="I70" i="5"/>
  <c r="J70" i="5" s="1"/>
  <c r="H73" i="5"/>
  <c r="H74" i="5"/>
  <c r="B39" i="5"/>
  <c r="A40" i="5"/>
  <c r="F36" i="3"/>
  <c r="G36" i="3" s="1"/>
  <c r="K35" i="3"/>
  <c r="L35" i="3" s="1"/>
  <c r="I36" i="3"/>
  <c r="J36" i="3" s="1"/>
  <c r="H35" i="3"/>
  <c r="L34" i="3"/>
  <c r="A40" i="3"/>
  <c r="B39" i="3"/>
  <c r="C39" i="3"/>
  <c r="I70" i="2"/>
  <c r="J70" i="2" s="1"/>
  <c r="I69" i="2"/>
  <c r="J69" i="2" s="1"/>
  <c r="H78" i="2"/>
  <c r="H77" i="2"/>
  <c r="E37" i="6" l="1"/>
  <c r="F36" i="6"/>
  <c r="A41" i="5"/>
  <c r="B40" i="5"/>
  <c r="H75" i="5"/>
  <c r="H76" i="5"/>
  <c r="I71" i="5"/>
  <c r="J71" i="5" s="1"/>
  <c r="I72" i="5"/>
  <c r="J72" i="5" s="1"/>
  <c r="H36" i="3"/>
  <c r="K36" i="3"/>
  <c r="L36" i="3" s="1"/>
  <c r="I37" i="3"/>
  <c r="J37" i="3" s="1"/>
  <c r="F37" i="3"/>
  <c r="G37" i="3" s="1"/>
  <c r="B40" i="3"/>
  <c r="A41" i="3"/>
  <c r="C40" i="3"/>
  <c r="I71" i="2"/>
  <c r="J71" i="2" s="1"/>
  <c r="I72" i="2"/>
  <c r="J72" i="2" s="1"/>
  <c r="H80" i="2"/>
  <c r="H79" i="2"/>
  <c r="E38" i="6" l="1"/>
  <c r="F37" i="6"/>
  <c r="I74" i="5"/>
  <c r="J74" i="5" s="1"/>
  <c r="I73" i="5"/>
  <c r="J73" i="5" s="1"/>
  <c r="H78" i="5"/>
  <c r="H77" i="5"/>
  <c r="A42" i="5"/>
  <c r="B41" i="5"/>
  <c r="H37" i="3"/>
  <c r="I38" i="3"/>
  <c r="J38" i="3" s="1"/>
  <c r="F38" i="3"/>
  <c r="G38" i="3" s="1"/>
  <c r="K37" i="3"/>
  <c r="L37" i="3" s="1"/>
  <c r="C41" i="3"/>
  <c r="A42" i="3"/>
  <c r="B41" i="3"/>
  <c r="I74" i="2"/>
  <c r="J74" i="2" s="1"/>
  <c r="I73" i="2"/>
  <c r="J73" i="2" s="1"/>
  <c r="H82" i="2"/>
  <c r="H81" i="2"/>
  <c r="E39" i="6" l="1"/>
  <c r="F38" i="6"/>
  <c r="A43" i="5"/>
  <c r="B42" i="5"/>
  <c r="H80" i="5"/>
  <c r="H79" i="5"/>
  <c r="I76" i="5"/>
  <c r="J76" i="5" s="1"/>
  <c r="I75" i="5"/>
  <c r="J75" i="5" s="1"/>
  <c r="F39" i="3"/>
  <c r="G39" i="3" s="1"/>
  <c r="K38" i="3"/>
  <c r="L38" i="3" s="1"/>
  <c r="I39" i="3"/>
  <c r="J39" i="3" s="1"/>
  <c r="H38" i="3"/>
  <c r="A43" i="3"/>
  <c r="B42" i="3"/>
  <c r="C42" i="3"/>
  <c r="I75" i="2"/>
  <c r="J75" i="2" s="1"/>
  <c r="I76" i="2"/>
  <c r="J76" i="2" s="1"/>
  <c r="H84" i="2"/>
  <c r="H83" i="2"/>
  <c r="E40" i="6" l="1"/>
  <c r="F39" i="6"/>
  <c r="I78" i="5"/>
  <c r="J78" i="5" s="1"/>
  <c r="I77" i="5"/>
  <c r="J77" i="5" s="1"/>
  <c r="H81" i="5"/>
  <c r="H82" i="5"/>
  <c r="A44" i="5"/>
  <c r="B43" i="5"/>
  <c r="H39" i="3"/>
  <c r="K39" i="3"/>
  <c r="L39" i="3" s="1"/>
  <c r="I40" i="3"/>
  <c r="J40" i="3" s="1"/>
  <c r="F40" i="3"/>
  <c r="G40" i="3" s="1"/>
  <c r="A44" i="3"/>
  <c r="B43" i="3"/>
  <c r="C43" i="3"/>
  <c r="I77" i="2"/>
  <c r="J77" i="2" s="1"/>
  <c r="I78" i="2"/>
  <c r="J78" i="2" s="1"/>
  <c r="H85" i="2"/>
  <c r="H86" i="2"/>
  <c r="E41" i="6" l="1"/>
  <c r="F40" i="6"/>
  <c r="A45" i="5"/>
  <c r="B44" i="5"/>
  <c r="H84" i="5"/>
  <c r="H83" i="5"/>
  <c r="I80" i="5"/>
  <c r="J80" i="5" s="1"/>
  <c r="I79" i="5"/>
  <c r="J79" i="5" s="1"/>
  <c r="I41" i="3"/>
  <c r="J41" i="3" s="1"/>
  <c r="K40" i="3"/>
  <c r="L40" i="3" s="1"/>
  <c r="H40" i="3"/>
  <c r="F41" i="3"/>
  <c r="G41" i="3" s="1"/>
  <c r="B44" i="3"/>
  <c r="A45" i="3"/>
  <c r="C44" i="3"/>
  <c r="I80" i="2"/>
  <c r="J80" i="2" s="1"/>
  <c r="I79" i="2"/>
  <c r="J79" i="2" s="1"/>
  <c r="H88" i="2"/>
  <c r="H87" i="2"/>
  <c r="E42" i="6" l="1"/>
  <c r="F41" i="6"/>
  <c r="A46" i="5"/>
  <c r="B45" i="5"/>
  <c r="H85" i="5"/>
  <c r="H86" i="5"/>
  <c r="I81" i="5"/>
  <c r="J81" i="5" s="1"/>
  <c r="I82" i="5"/>
  <c r="J82" i="5" s="1"/>
  <c r="K41" i="3"/>
  <c r="L41" i="3" s="1"/>
  <c r="I42" i="3"/>
  <c r="J42" i="3" s="1"/>
  <c r="H41" i="3"/>
  <c r="F42" i="3"/>
  <c r="G42" i="3" s="1"/>
  <c r="C45" i="3"/>
  <c r="A46" i="3"/>
  <c r="B45" i="3"/>
  <c r="I81" i="2"/>
  <c r="J81" i="2" s="1"/>
  <c r="I82" i="2"/>
  <c r="J82" i="2" s="1"/>
  <c r="H90" i="2"/>
  <c r="H89" i="2"/>
  <c r="E43" i="6" l="1"/>
  <c r="F42" i="6"/>
  <c r="I83" i="5"/>
  <c r="J83" i="5" s="1"/>
  <c r="I84" i="5"/>
  <c r="J84" i="5" s="1"/>
  <c r="H87" i="5"/>
  <c r="H88" i="5"/>
  <c r="B46" i="5"/>
  <c r="A47" i="5"/>
  <c r="K42" i="3"/>
  <c r="L42" i="3" s="1"/>
  <c r="F43" i="3"/>
  <c r="G43" i="3" s="1"/>
  <c r="H42" i="3"/>
  <c r="I43" i="3"/>
  <c r="J43" i="3" s="1"/>
  <c r="A47" i="3"/>
  <c r="B46" i="3"/>
  <c r="C46" i="3"/>
  <c r="I83" i="2"/>
  <c r="J83" i="2" s="1"/>
  <c r="I84" i="2"/>
  <c r="J84" i="2" s="1"/>
  <c r="H92" i="2"/>
  <c r="H91" i="2"/>
  <c r="E44" i="6" l="1"/>
  <c r="F43" i="6"/>
  <c r="H90" i="5"/>
  <c r="H89" i="5"/>
  <c r="B47" i="5"/>
  <c r="A48" i="5"/>
  <c r="I86" i="5"/>
  <c r="J86" i="5" s="1"/>
  <c r="I85" i="5"/>
  <c r="J85" i="5" s="1"/>
  <c r="K43" i="3"/>
  <c r="L43" i="3" s="1"/>
  <c r="H43" i="3"/>
  <c r="I44" i="3"/>
  <c r="J44" i="3" s="1"/>
  <c r="F44" i="3"/>
  <c r="G44" i="3" s="1"/>
  <c r="A48" i="3"/>
  <c r="B47" i="3"/>
  <c r="C47" i="3"/>
  <c r="I86" i="2"/>
  <c r="J86" i="2" s="1"/>
  <c r="I85" i="2"/>
  <c r="J85" i="2" s="1"/>
  <c r="H94" i="2"/>
  <c r="H93" i="2"/>
  <c r="E45" i="6" l="1"/>
  <c r="F44" i="6"/>
  <c r="I88" i="5"/>
  <c r="J88" i="5" s="1"/>
  <c r="I87" i="5"/>
  <c r="J87" i="5" s="1"/>
  <c r="B48" i="5"/>
  <c r="A49" i="5"/>
  <c r="H92" i="5"/>
  <c r="H91" i="5"/>
  <c r="K44" i="3"/>
  <c r="L44" i="3" s="1"/>
  <c r="F45" i="3"/>
  <c r="G45" i="3" s="1"/>
  <c r="H44" i="3"/>
  <c r="I45" i="3"/>
  <c r="J45" i="3" s="1"/>
  <c r="B48" i="3"/>
  <c r="A49" i="3"/>
  <c r="C48" i="3"/>
  <c r="I87" i="2"/>
  <c r="J87" i="2" s="1"/>
  <c r="I88" i="2"/>
  <c r="J88" i="2" s="1"/>
  <c r="H96" i="2"/>
  <c r="H95" i="2"/>
  <c r="E46" i="6" l="1"/>
  <c r="F45" i="6"/>
  <c r="H93" i="5"/>
  <c r="H94" i="5"/>
  <c r="B49" i="5"/>
  <c r="A50" i="5"/>
  <c r="I90" i="5"/>
  <c r="J90" i="5" s="1"/>
  <c r="I89" i="5"/>
  <c r="J89" i="5" s="1"/>
  <c r="K45" i="3"/>
  <c r="L45" i="3" s="1"/>
  <c r="H45" i="3"/>
  <c r="F46" i="3"/>
  <c r="G46" i="3" s="1"/>
  <c r="I46" i="3"/>
  <c r="J46" i="3" s="1"/>
  <c r="C49" i="3"/>
  <c r="A50" i="3"/>
  <c r="B49" i="3"/>
  <c r="I89" i="2"/>
  <c r="J89" i="2" s="1"/>
  <c r="I90" i="2"/>
  <c r="J90" i="2" s="1"/>
  <c r="H97" i="2"/>
  <c r="H98" i="2"/>
  <c r="E47" i="6" l="1"/>
  <c r="F46" i="6"/>
  <c r="B50" i="5"/>
  <c r="A51" i="5"/>
  <c r="I92" i="5"/>
  <c r="J92" i="5" s="1"/>
  <c r="I91" i="5"/>
  <c r="J91" i="5" s="1"/>
  <c r="H96" i="5"/>
  <c r="H95" i="5"/>
  <c r="K46" i="3"/>
  <c r="L46" i="3" s="1"/>
  <c r="F47" i="3"/>
  <c r="G47" i="3" s="1"/>
  <c r="H46" i="3"/>
  <c r="I47" i="3"/>
  <c r="J47" i="3" s="1"/>
  <c r="A51" i="3"/>
  <c r="B50" i="3"/>
  <c r="C50" i="3"/>
  <c r="I92" i="2"/>
  <c r="J92" i="2" s="1"/>
  <c r="I91" i="2"/>
  <c r="J91" i="2" s="1"/>
  <c r="H100" i="2"/>
  <c r="H99" i="2"/>
  <c r="E48" i="6" l="1"/>
  <c r="F47" i="6"/>
  <c r="H97" i="5"/>
  <c r="H98" i="5"/>
  <c r="I93" i="5"/>
  <c r="J93" i="5" s="1"/>
  <c r="I94" i="5"/>
  <c r="J94" i="5" s="1"/>
  <c r="B51" i="5"/>
  <c r="A52" i="5"/>
  <c r="K47" i="3"/>
  <c r="L47" i="3" s="1"/>
  <c r="H47" i="3"/>
  <c r="I48" i="3"/>
  <c r="J48" i="3" s="1"/>
  <c r="F48" i="3"/>
  <c r="G48" i="3" s="1"/>
  <c r="A52" i="3"/>
  <c r="B51" i="3"/>
  <c r="C51" i="3"/>
  <c r="I93" i="2"/>
  <c r="J93" i="2" s="1"/>
  <c r="I94" i="2"/>
  <c r="J94" i="2" s="1"/>
  <c r="H102" i="2"/>
  <c r="H101" i="2"/>
  <c r="E49" i="6" l="1"/>
  <c r="F48" i="6"/>
  <c r="A53" i="5"/>
  <c r="B52" i="5"/>
  <c r="I95" i="5"/>
  <c r="J95" i="5" s="1"/>
  <c r="I96" i="5"/>
  <c r="J96" i="5" s="1"/>
  <c r="H99" i="5"/>
  <c r="H100" i="5"/>
  <c r="I49" i="3"/>
  <c r="J49" i="3" s="1"/>
  <c r="K48" i="3"/>
  <c r="L48" i="3" s="1"/>
  <c r="H48" i="3"/>
  <c r="F49" i="3"/>
  <c r="G49" i="3" s="1"/>
  <c r="B52" i="3"/>
  <c r="A53" i="3"/>
  <c r="C52" i="3"/>
  <c r="I95" i="2"/>
  <c r="J95" i="2" s="1"/>
  <c r="I96" i="2"/>
  <c r="J96" i="2" s="1"/>
  <c r="H104" i="2"/>
  <c r="H103" i="2"/>
  <c r="E50" i="6" l="1"/>
  <c r="F49" i="6"/>
  <c r="H102" i="5"/>
  <c r="H101" i="5"/>
  <c r="I98" i="5"/>
  <c r="J98" i="5" s="1"/>
  <c r="I97" i="5"/>
  <c r="J97" i="5" s="1"/>
  <c r="A54" i="5"/>
  <c r="B53" i="5"/>
  <c r="K49" i="3"/>
  <c r="L49" i="3" s="1"/>
  <c r="H49" i="3"/>
  <c r="F50" i="3"/>
  <c r="G50" i="3" s="1"/>
  <c r="I50" i="3"/>
  <c r="J50" i="3" s="1"/>
  <c r="C53" i="3"/>
  <c r="A54" i="3"/>
  <c r="B53" i="3"/>
  <c r="I98" i="2"/>
  <c r="J98" i="2" s="1"/>
  <c r="I97" i="2"/>
  <c r="J97" i="2" s="1"/>
  <c r="H106" i="2"/>
  <c r="H105" i="2"/>
  <c r="E51" i="6" l="1"/>
  <c r="F50" i="6"/>
  <c r="I100" i="5"/>
  <c r="J100" i="5" s="1"/>
  <c r="I99" i="5"/>
  <c r="J99" i="5" s="1"/>
  <c r="A55" i="5"/>
  <c r="B54" i="5"/>
  <c r="H103" i="5"/>
  <c r="H104" i="5"/>
  <c r="K50" i="3"/>
  <c r="L50" i="3" s="1"/>
  <c r="F51" i="3"/>
  <c r="G51" i="3" s="1"/>
  <c r="H50" i="3"/>
  <c r="I51" i="3"/>
  <c r="J51" i="3" s="1"/>
  <c r="A55" i="3"/>
  <c r="B54" i="3"/>
  <c r="C54" i="3"/>
  <c r="I100" i="2"/>
  <c r="J100" i="2" s="1"/>
  <c r="I99" i="2"/>
  <c r="J99" i="2" s="1"/>
  <c r="H108" i="2"/>
  <c r="H107" i="2"/>
  <c r="E52" i="6" l="1"/>
  <c r="F51" i="6"/>
  <c r="H105" i="5"/>
  <c r="H106" i="5"/>
  <c r="A56" i="5"/>
  <c r="B55" i="5"/>
  <c r="I102" i="5"/>
  <c r="J102" i="5" s="1"/>
  <c r="I101" i="5"/>
  <c r="J101" i="5" s="1"/>
  <c r="K51" i="3"/>
  <c r="L51" i="3" s="1"/>
  <c r="H51" i="3"/>
  <c r="I52" i="3"/>
  <c r="J52" i="3" s="1"/>
  <c r="F52" i="3"/>
  <c r="G52" i="3" s="1"/>
  <c r="A56" i="3"/>
  <c r="B55" i="3"/>
  <c r="C55" i="3"/>
  <c r="I102" i="2"/>
  <c r="J102" i="2" s="1"/>
  <c r="I101" i="2"/>
  <c r="J101" i="2" s="1"/>
  <c r="H109" i="2"/>
  <c r="H110" i="2"/>
  <c r="E53" i="6" l="1"/>
  <c r="F52" i="6"/>
  <c r="I104" i="5"/>
  <c r="J104" i="5" s="1"/>
  <c r="I103" i="5"/>
  <c r="J103" i="5" s="1"/>
  <c r="A57" i="5"/>
  <c r="B56" i="5"/>
  <c r="H108" i="5"/>
  <c r="H107" i="5"/>
  <c r="F53" i="3"/>
  <c r="G53" i="3" s="1"/>
  <c r="K52" i="3"/>
  <c r="L52" i="3" s="1"/>
  <c r="I53" i="3"/>
  <c r="J53" i="3" s="1"/>
  <c r="H52" i="3"/>
  <c r="B56" i="3"/>
  <c r="A57" i="3"/>
  <c r="C56" i="3"/>
  <c r="I104" i="2"/>
  <c r="J104" i="2" s="1"/>
  <c r="I103" i="2"/>
  <c r="J103" i="2" s="1"/>
  <c r="H112" i="2"/>
  <c r="H111" i="2"/>
  <c r="E54" i="6" l="1"/>
  <c r="F53" i="6"/>
  <c r="I54" i="3"/>
  <c r="J54" i="3" s="1"/>
  <c r="H109" i="5"/>
  <c r="H110" i="5"/>
  <c r="A58" i="5"/>
  <c r="B57" i="5"/>
  <c r="I105" i="5"/>
  <c r="J105" i="5" s="1"/>
  <c r="I106" i="5"/>
  <c r="J106" i="5" s="1"/>
  <c r="H53" i="3"/>
  <c r="K53" i="3"/>
  <c r="L53" i="3" s="1"/>
  <c r="F54" i="3"/>
  <c r="G54" i="3" s="1"/>
  <c r="C57" i="3"/>
  <c r="A58" i="3"/>
  <c r="B57" i="3"/>
  <c r="I105" i="2"/>
  <c r="J105" i="2" s="1"/>
  <c r="I106" i="2"/>
  <c r="J106" i="2" s="1"/>
  <c r="H114" i="2"/>
  <c r="H113" i="2"/>
  <c r="E55" i="6" l="1"/>
  <c r="F54" i="6"/>
  <c r="F55" i="3"/>
  <c r="G55" i="3" s="1"/>
  <c r="I107" i="5"/>
  <c r="J107" i="5" s="1"/>
  <c r="I108" i="5"/>
  <c r="J108" i="5" s="1"/>
  <c r="B58" i="5"/>
  <c r="A59" i="5"/>
  <c r="H112" i="5"/>
  <c r="H111" i="5"/>
  <c r="I55" i="3"/>
  <c r="J55" i="3" s="1"/>
  <c r="K54" i="3"/>
  <c r="L54" i="3" s="1"/>
  <c r="H54" i="3"/>
  <c r="A59" i="3"/>
  <c r="B58" i="3"/>
  <c r="C58" i="3"/>
  <c r="I107" i="2"/>
  <c r="J107" i="2" s="1"/>
  <c r="I108" i="2"/>
  <c r="J108" i="2" s="1"/>
  <c r="H116" i="2"/>
  <c r="H115" i="2"/>
  <c r="E56" i="6" l="1"/>
  <c r="F55" i="6"/>
  <c r="H55" i="3"/>
  <c r="H114" i="5"/>
  <c r="H113" i="5"/>
  <c r="B59" i="5"/>
  <c r="A60" i="5"/>
  <c r="I110" i="5"/>
  <c r="J110" i="5" s="1"/>
  <c r="I109" i="5"/>
  <c r="J109" i="5" s="1"/>
  <c r="K55" i="3"/>
  <c r="L55" i="3" s="1"/>
  <c r="F56" i="3"/>
  <c r="G56" i="3" s="1"/>
  <c r="I56" i="3"/>
  <c r="J56" i="3" s="1"/>
  <c r="A60" i="3"/>
  <c r="B59" i="3"/>
  <c r="C59" i="3"/>
  <c r="I110" i="2"/>
  <c r="J110" i="2" s="1"/>
  <c r="I109" i="2"/>
  <c r="J109" i="2" s="1"/>
  <c r="H118" i="2"/>
  <c r="H117" i="2"/>
  <c r="E57" i="6" l="1"/>
  <c r="F56" i="6"/>
  <c r="B60" i="5"/>
  <c r="A61" i="5"/>
  <c r="I112" i="5"/>
  <c r="J112" i="5" s="1"/>
  <c r="I111" i="5"/>
  <c r="J111" i="5" s="1"/>
  <c r="H115" i="5"/>
  <c r="H116" i="5"/>
  <c r="K56" i="3"/>
  <c r="L56" i="3" s="1"/>
  <c r="F57" i="3"/>
  <c r="G57" i="3" s="1"/>
  <c r="I57" i="3"/>
  <c r="J57" i="3" s="1"/>
  <c r="H56" i="3"/>
  <c r="B60" i="3"/>
  <c r="A61" i="3"/>
  <c r="C60" i="3"/>
  <c r="I111" i="2"/>
  <c r="J111" i="2" s="1"/>
  <c r="I112" i="2"/>
  <c r="J112" i="2" s="1"/>
  <c r="H120" i="2"/>
  <c r="H119" i="2"/>
  <c r="E58" i="6" l="1"/>
  <c r="F57" i="6"/>
  <c r="H117" i="5"/>
  <c r="H118" i="5"/>
  <c r="I113" i="5"/>
  <c r="J113" i="5" s="1"/>
  <c r="I114" i="5"/>
  <c r="J114" i="5" s="1"/>
  <c r="B61" i="5"/>
  <c r="A62" i="5"/>
  <c r="H57" i="3"/>
  <c r="K57" i="3"/>
  <c r="L57" i="3" s="1"/>
  <c r="F58" i="3"/>
  <c r="G58" i="3" s="1"/>
  <c r="I58" i="3"/>
  <c r="J58" i="3" s="1"/>
  <c r="C61" i="3"/>
  <c r="A62" i="3"/>
  <c r="B61" i="3"/>
  <c r="I113" i="2"/>
  <c r="J113" i="2" s="1"/>
  <c r="I114" i="2"/>
  <c r="J114" i="2" s="1"/>
  <c r="H121" i="2"/>
  <c r="H122" i="2"/>
  <c r="E59" i="6" l="1"/>
  <c r="F58" i="6"/>
  <c r="A63" i="5"/>
  <c r="B62" i="5"/>
  <c r="I116" i="5"/>
  <c r="J116" i="5" s="1"/>
  <c r="I115" i="5"/>
  <c r="J115" i="5" s="1"/>
  <c r="H119" i="5"/>
  <c r="H120" i="5"/>
  <c r="K58" i="3"/>
  <c r="L58" i="3" s="1"/>
  <c r="F59" i="3"/>
  <c r="G59" i="3" s="1"/>
  <c r="H58" i="3"/>
  <c r="I59" i="3"/>
  <c r="J59" i="3" s="1"/>
  <c r="A63" i="3"/>
  <c r="B62" i="3"/>
  <c r="C62" i="3"/>
  <c r="I116" i="2"/>
  <c r="J116" i="2" s="1"/>
  <c r="I115" i="2"/>
  <c r="J115" i="2" s="1"/>
  <c r="H124" i="2"/>
  <c r="H123" i="2"/>
  <c r="E60" i="6" l="1"/>
  <c r="F59" i="6"/>
  <c r="H121" i="5"/>
  <c r="H122" i="5"/>
  <c r="I117" i="5"/>
  <c r="J117" i="5" s="1"/>
  <c r="I118" i="5"/>
  <c r="J118" i="5" s="1"/>
  <c r="B63" i="5"/>
  <c r="A64" i="5"/>
  <c r="F60" i="3"/>
  <c r="G60" i="3" s="1"/>
  <c r="H59" i="3"/>
  <c r="I60" i="3"/>
  <c r="J60" i="3" s="1"/>
  <c r="K59" i="3"/>
  <c r="L59" i="3" s="1"/>
  <c r="A64" i="3"/>
  <c r="B63" i="3"/>
  <c r="C63" i="3"/>
  <c r="I117" i="2"/>
  <c r="J117" i="2" s="1"/>
  <c r="I118" i="2"/>
  <c r="J118" i="2" s="1"/>
  <c r="H126" i="2"/>
  <c r="H125" i="2"/>
  <c r="E61" i="6" l="1"/>
  <c r="F60" i="6"/>
  <c r="A65" i="5"/>
  <c r="B64" i="5"/>
  <c r="I119" i="5"/>
  <c r="J119" i="5" s="1"/>
  <c r="I120" i="5"/>
  <c r="J120" i="5" s="1"/>
  <c r="H124" i="5"/>
  <c r="H123" i="5"/>
  <c r="F61" i="3"/>
  <c r="G61" i="3" s="1"/>
  <c r="H60" i="3"/>
  <c r="I61" i="3"/>
  <c r="J61" i="3" s="1"/>
  <c r="K60" i="3"/>
  <c r="L60" i="3" s="1"/>
  <c r="B64" i="3"/>
  <c r="A65" i="3"/>
  <c r="C64" i="3"/>
  <c r="I119" i="2"/>
  <c r="J119" i="2" s="1"/>
  <c r="I120" i="2"/>
  <c r="J120" i="2" s="1"/>
  <c r="H128" i="2"/>
  <c r="H127" i="2"/>
  <c r="E62" i="6" l="1"/>
  <c r="F61" i="6"/>
  <c r="H61" i="3"/>
  <c r="I62" i="3"/>
  <c r="J62" i="3" s="1"/>
  <c r="I122" i="5"/>
  <c r="J122" i="5" s="1"/>
  <c r="I121" i="5"/>
  <c r="J121" i="5" s="1"/>
  <c r="H125" i="5"/>
  <c r="H126" i="5"/>
  <c r="A66" i="5"/>
  <c r="B65" i="5"/>
  <c r="F62" i="3"/>
  <c r="G62" i="3" s="1"/>
  <c r="K61" i="3"/>
  <c r="L61" i="3" s="1"/>
  <c r="C65" i="3"/>
  <c r="A66" i="3"/>
  <c r="B65" i="3"/>
  <c r="I122" i="2"/>
  <c r="J122" i="2" s="1"/>
  <c r="I121" i="2"/>
  <c r="J121" i="2" s="1"/>
  <c r="H130" i="2"/>
  <c r="H129" i="2"/>
  <c r="E63" i="6" l="1"/>
  <c r="F62" i="6"/>
  <c r="F63" i="3"/>
  <c r="G63" i="3" s="1"/>
  <c r="H62" i="3"/>
  <c r="I63" i="3"/>
  <c r="J63" i="3" s="1"/>
  <c r="A67" i="5"/>
  <c r="B66" i="5"/>
  <c r="H127" i="5"/>
  <c r="H128" i="5"/>
  <c r="I124" i="5"/>
  <c r="J124" i="5" s="1"/>
  <c r="I123" i="5"/>
  <c r="J123" i="5" s="1"/>
  <c r="K62" i="3"/>
  <c r="L62" i="3" s="1"/>
  <c r="A67" i="3"/>
  <c r="B66" i="3"/>
  <c r="C66" i="3"/>
  <c r="I123" i="2"/>
  <c r="J123" i="2" s="1"/>
  <c r="I124" i="2"/>
  <c r="J124" i="2" s="1"/>
  <c r="H132" i="2"/>
  <c r="H131" i="2"/>
  <c r="E64" i="6" l="1"/>
  <c r="F63" i="6"/>
  <c r="I64" i="3"/>
  <c r="J64" i="3" s="1"/>
  <c r="H63" i="3"/>
  <c r="F64" i="3"/>
  <c r="G64" i="3" s="1"/>
  <c r="I126" i="5"/>
  <c r="J126" i="5" s="1"/>
  <c r="I125" i="5"/>
  <c r="J125" i="5" s="1"/>
  <c r="H129" i="5"/>
  <c r="H130" i="5"/>
  <c r="A68" i="5"/>
  <c r="B67" i="5"/>
  <c r="K63" i="3"/>
  <c r="A68" i="3"/>
  <c r="B67" i="3"/>
  <c r="C67" i="3"/>
  <c r="I125" i="2"/>
  <c r="J125" i="2" s="1"/>
  <c r="I126" i="2"/>
  <c r="J126" i="2" s="1"/>
  <c r="H133" i="2"/>
  <c r="H134" i="2"/>
  <c r="E65" i="6" l="1"/>
  <c r="F64" i="6"/>
  <c r="K64" i="3"/>
  <c r="L64" i="3" s="1"/>
  <c r="H64" i="3"/>
  <c r="F65" i="3"/>
  <c r="G65" i="3" s="1"/>
  <c r="I65" i="3"/>
  <c r="J65" i="3" s="1"/>
  <c r="H131" i="5"/>
  <c r="H132" i="5"/>
  <c r="A69" i="5"/>
  <c r="B68" i="5"/>
  <c r="I127" i="5"/>
  <c r="J127" i="5" s="1"/>
  <c r="I128" i="5"/>
  <c r="J128" i="5" s="1"/>
  <c r="L63" i="3"/>
  <c r="B68" i="3"/>
  <c r="A69" i="3"/>
  <c r="C68" i="3"/>
  <c r="I128" i="2"/>
  <c r="J128" i="2" s="1"/>
  <c r="I127" i="2"/>
  <c r="J127" i="2" s="1"/>
  <c r="H136" i="2"/>
  <c r="H135" i="2"/>
  <c r="E66" i="6" l="1"/>
  <c r="F65" i="6"/>
  <c r="H65" i="3"/>
  <c r="I66" i="3"/>
  <c r="J66" i="3" s="1"/>
  <c r="K65" i="3"/>
  <c r="L65" i="3" s="1"/>
  <c r="F66" i="3"/>
  <c r="G66" i="3" s="1"/>
  <c r="I130" i="5"/>
  <c r="J130" i="5" s="1"/>
  <c r="I129" i="5"/>
  <c r="J129" i="5" s="1"/>
  <c r="A70" i="5"/>
  <c r="B69" i="5"/>
  <c r="H134" i="5"/>
  <c r="H133" i="5"/>
  <c r="C69" i="3"/>
  <c r="A70" i="3"/>
  <c r="B69" i="3"/>
  <c r="I130" i="2"/>
  <c r="J130" i="2" s="1"/>
  <c r="I129" i="2"/>
  <c r="J129" i="2" s="1"/>
  <c r="H138" i="2"/>
  <c r="H137" i="2"/>
  <c r="E67" i="6" l="1"/>
  <c r="F66" i="6"/>
  <c r="H66" i="3"/>
  <c r="K66" i="3"/>
  <c r="L66" i="3" s="1"/>
  <c r="F67" i="3"/>
  <c r="G67" i="3" s="1"/>
  <c r="I67" i="3"/>
  <c r="J67" i="3" s="1"/>
  <c r="H135" i="5"/>
  <c r="H136" i="5"/>
  <c r="B70" i="5"/>
  <c r="A71" i="5"/>
  <c r="I132" i="5"/>
  <c r="J132" i="5" s="1"/>
  <c r="I131" i="5"/>
  <c r="J131" i="5" s="1"/>
  <c r="A71" i="3"/>
  <c r="B70" i="3"/>
  <c r="C70" i="3"/>
  <c r="I131" i="2"/>
  <c r="J131" i="2" s="1"/>
  <c r="I132" i="2"/>
  <c r="J132" i="2" s="1"/>
  <c r="H140" i="2"/>
  <c r="H139" i="2"/>
  <c r="E68" i="6" l="1"/>
  <c r="F67" i="6"/>
  <c r="K67" i="3"/>
  <c r="L67" i="3" s="1"/>
  <c r="H67" i="3"/>
  <c r="I68" i="3"/>
  <c r="J68" i="3" s="1"/>
  <c r="F68" i="3"/>
  <c r="G68" i="3" s="1"/>
  <c r="I134" i="5"/>
  <c r="J134" i="5" s="1"/>
  <c r="I133" i="5"/>
  <c r="J133" i="5" s="1"/>
  <c r="B71" i="5"/>
  <c r="A72" i="5"/>
  <c r="H137" i="5"/>
  <c r="H138" i="5"/>
  <c r="A72" i="3"/>
  <c r="B71" i="3"/>
  <c r="C71" i="3"/>
  <c r="I134" i="2"/>
  <c r="J134" i="2" s="1"/>
  <c r="I133" i="2"/>
  <c r="J133" i="2" s="1"/>
  <c r="H142" i="2"/>
  <c r="H141" i="2"/>
  <c r="E69" i="6" l="1"/>
  <c r="F68" i="6"/>
  <c r="K68" i="3"/>
  <c r="L68" i="3" s="1"/>
  <c r="F69" i="3"/>
  <c r="G69" i="3" s="1"/>
  <c r="H68" i="3"/>
  <c r="I69" i="3"/>
  <c r="J69" i="3" s="1"/>
  <c r="B72" i="5"/>
  <c r="A73" i="5"/>
  <c r="H139" i="5"/>
  <c r="H140" i="5"/>
  <c r="I136" i="5"/>
  <c r="J136" i="5" s="1"/>
  <c r="I135" i="5"/>
  <c r="J135" i="5" s="1"/>
  <c r="B72" i="3"/>
  <c r="A73" i="3"/>
  <c r="C72" i="3"/>
  <c r="I135" i="2"/>
  <c r="J135" i="2" s="1"/>
  <c r="I136" i="2"/>
  <c r="J136" i="2" s="1"/>
  <c r="H144" i="2"/>
  <c r="H143" i="2"/>
  <c r="E70" i="6" l="1"/>
  <c r="F69" i="6"/>
  <c r="H69" i="3"/>
  <c r="I70" i="3"/>
  <c r="J70" i="3" s="1"/>
  <c r="F70" i="3"/>
  <c r="G70" i="3" s="1"/>
  <c r="K69" i="3"/>
  <c r="L69" i="3" s="1"/>
  <c r="I138" i="5"/>
  <c r="J138" i="5" s="1"/>
  <c r="I137" i="5"/>
  <c r="J137" i="5" s="1"/>
  <c r="H142" i="5"/>
  <c r="H141" i="5"/>
  <c r="B73" i="5"/>
  <c r="A74" i="5"/>
  <c r="C73" i="3"/>
  <c r="A74" i="3"/>
  <c r="B73" i="3"/>
  <c r="I137" i="2"/>
  <c r="J137" i="2" s="1"/>
  <c r="I138" i="2"/>
  <c r="J138" i="2" s="1"/>
  <c r="H145" i="2"/>
  <c r="H146" i="2"/>
  <c r="E71" i="6" l="1"/>
  <c r="F70" i="6"/>
  <c r="H70" i="3"/>
  <c r="I71" i="3"/>
  <c r="J71" i="3" s="1"/>
  <c r="F71" i="3"/>
  <c r="G71" i="3" s="1"/>
  <c r="K70" i="3"/>
  <c r="L70" i="3" s="1"/>
  <c r="B74" i="5"/>
  <c r="A75" i="5"/>
  <c r="H143" i="5"/>
  <c r="H144" i="5"/>
  <c r="I139" i="5"/>
  <c r="J139" i="5" s="1"/>
  <c r="I140" i="5"/>
  <c r="J140" i="5" s="1"/>
  <c r="A75" i="3"/>
  <c r="B74" i="3"/>
  <c r="C74" i="3"/>
  <c r="I140" i="2"/>
  <c r="J140" i="2" s="1"/>
  <c r="I139" i="2"/>
  <c r="J139" i="2" s="1"/>
  <c r="H148" i="2"/>
  <c r="H147" i="2"/>
  <c r="E72" i="6" l="1"/>
  <c r="F71" i="6"/>
  <c r="H71" i="3"/>
  <c r="F72" i="3"/>
  <c r="G72" i="3" s="1"/>
  <c r="I72" i="3"/>
  <c r="J72" i="3" s="1"/>
  <c r="K71" i="3"/>
  <c r="L71" i="3" s="1"/>
  <c r="I142" i="5"/>
  <c r="J142" i="5" s="1"/>
  <c r="I141" i="5"/>
  <c r="J141" i="5" s="1"/>
  <c r="H146" i="5"/>
  <c r="H145" i="5"/>
  <c r="B75" i="5"/>
  <c r="A76" i="5"/>
  <c r="A76" i="3"/>
  <c r="B75" i="3"/>
  <c r="C75" i="3"/>
  <c r="I141" i="2"/>
  <c r="J141" i="2" s="1"/>
  <c r="I142" i="2"/>
  <c r="J142" i="2" s="1"/>
  <c r="H150" i="2"/>
  <c r="H149" i="2"/>
  <c r="E73" i="6" l="1"/>
  <c r="F72" i="6"/>
  <c r="H72" i="3"/>
  <c r="K72" i="3"/>
  <c r="L72" i="3" s="1"/>
  <c r="F73" i="3"/>
  <c r="G73" i="3" s="1"/>
  <c r="I73" i="3"/>
  <c r="J73" i="3" s="1"/>
  <c r="A77" i="5"/>
  <c r="B76" i="5"/>
  <c r="H147" i="5"/>
  <c r="H148" i="5"/>
  <c r="I144" i="5"/>
  <c r="J144" i="5" s="1"/>
  <c r="I143" i="5"/>
  <c r="J143" i="5" s="1"/>
  <c r="B76" i="3"/>
  <c r="A77" i="3"/>
  <c r="C76" i="3"/>
  <c r="I143" i="2"/>
  <c r="J143" i="2" s="1"/>
  <c r="I144" i="2"/>
  <c r="J144" i="2" s="1"/>
  <c r="H152" i="2"/>
  <c r="H151" i="2"/>
  <c r="E74" i="6" l="1"/>
  <c r="F73" i="6"/>
  <c r="H73" i="3"/>
  <c r="K73" i="3"/>
  <c r="L73" i="3" s="1"/>
  <c r="F74" i="3"/>
  <c r="G74" i="3" s="1"/>
  <c r="I74" i="3"/>
  <c r="J74" i="3" s="1"/>
  <c r="I146" i="5"/>
  <c r="J146" i="5" s="1"/>
  <c r="I145" i="5"/>
  <c r="J145" i="5" s="1"/>
  <c r="H149" i="5"/>
  <c r="H150" i="5"/>
  <c r="A78" i="5"/>
  <c r="B77" i="5"/>
  <c r="C77" i="3"/>
  <c r="A78" i="3"/>
  <c r="B77" i="3"/>
  <c r="I146" i="2"/>
  <c r="J146" i="2" s="1"/>
  <c r="I145" i="2"/>
  <c r="J145" i="2" s="1"/>
  <c r="H154" i="2"/>
  <c r="H153" i="2"/>
  <c r="E75" i="6" l="1"/>
  <c r="F74" i="6"/>
  <c r="H74" i="3"/>
  <c r="F75" i="3"/>
  <c r="G75" i="3" s="1"/>
  <c r="K74" i="3"/>
  <c r="L74" i="3" s="1"/>
  <c r="I75" i="3"/>
  <c r="J75" i="3" s="1"/>
  <c r="A79" i="5"/>
  <c r="B78" i="5"/>
  <c r="H151" i="5"/>
  <c r="H152" i="5"/>
  <c r="I148" i="5"/>
  <c r="J148" i="5" s="1"/>
  <c r="I147" i="5"/>
  <c r="J147" i="5" s="1"/>
  <c r="A79" i="3"/>
  <c r="B78" i="3"/>
  <c r="C78" i="3"/>
  <c r="I147" i="2"/>
  <c r="J147" i="2" s="1"/>
  <c r="I148" i="2"/>
  <c r="J148" i="2" s="1"/>
  <c r="H156" i="2"/>
  <c r="H155" i="2"/>
  <c r="E76" i="6" l="1"/>
  <c r="F75" i="6"/>
  <c r="H75" i="3"/>
  <c r="K75" i="3"/>
  <c r="L75" i="3" s="1"/>
  <c r="I76" i="3"/>
  <c r="J76" i="3" s="1"/>
  <c r="F76" i="3"/>
  <c r="G76" i="3" s="1"/>
  <c r="I150" i="5"/>
  <c r="J150" i="5" s="1"/>
  <c r="I149" i="5"/>
  <c r="J149" i="5" s="1"/>
  <c r="H154" i="5"/>
  <c r="H153" i="5"/>
  <c r="A80" i="5"/>
  <c r="B79" i="5"/>
  <c r="A80" i="3"/>
  <c r="B79" i="3"/>
  <c r="C79" i="3"/>
  <c r="I149" i="2"/>
  <c r="J149" i="2" s="1"/>
  <c r="I150" i="2"/>
  <c r="J150" i="2" s="1"/>
  <c r="H157" i="2"/>
  <c r="H158" i="2"/>
  <c r="E77" i="6" l="1"/>
  <c r="F76" i="6"/>
  <c r="K76" i="3"/>
  <c r="L76" i="3" s="1"/>
  <c r="F77" i="3"/>
  <c r="G77" i="3" s="1"/>
  <c r="H76" i="3"/>
  <c r="I77" i="3"/>
  <c r="J77" i="3" s="1"/>
  <c r="A81" i="5"/>
  <c r="B80" i="5"/>
  <c r="H155" i="5"/>
  <c r="H156" i="5"/>
  <c r="I151" i="5"/>
  <c r="J151" i="5" s="1"/>
  <c r="I152" i="5"/>
  <c r="J152" i="5" s="1"/>
  <c r="B80" i="3"/>
  <c r="A81" i="3"/>
  <c r="C80" i="3"/>
  <c r="I152" i="2"/>
  <c r="J152" i="2" s="1"/>
  <c r="I151" i="2"/>
  <c r="J151" i="2" s="1"/>
  <c r="H160" i="2"/>
  <c r="H159" i="2"/>
  <c r="E78" i="6" l="1"/>
  <c r="F77" i="6"/>
  <c r="H77" i="3"/>
  <c r="I78" i="3"/>
  <c r="J78" i="3" s="1"/>
  <c r="F78" i="3"/>
  <c r="G78" i="3" s="1"/>
  <c r="K77" i="3"/>
  <c r="L77" i="3" s="1"/>
  <c r="I154" i="5"/>
  <c r="J154" i="5" s="1"/>
  <c r="I153" i="5"/>
  <c r="J153" i="5" s="1"/>
  <c r="H158" i="5"/>
  <c r="H157" i="5"/>
  <c r="A82" i="5"/>
  <c r="B81" i="5"/>
  <c r="C81" i="3"/>
  <c r="A82" i="3"/>
  <c r="B81" i="3"/>
  <c r="I153" i="2"/>
  <c r="J153" i="2" s="1"/>
  <c r="I154" i="2"/>
  <c r="J154" i="2" s="1"/>
  <c r="H162" i="2"/>
  <c r="H161" i="2"/>
  <c r="E79" i="6" l="1"/>
  <c r="F78" i="6"/>
  <c r="K78" i="3"/>
  <c r="L78" i="3" s="1"/>
  <c r="F79" i="3"/>
  <c r="G79" i="3" s="1"/>
  <c r="I79" i="3"/>
  <c r="J79" i="3" s="1"/>
  <c r="H78" i="3"/>
  <c r="H160" i="5"/>
  <c r="H159" i="5"/>
  <c r="B82" i="5"/>
  <c r="A83" i="5"/>
  <c r="I155" i="5"/>
  <c r="J155" i="5" s="1"/>
  <c r="I156" i="5"/>
  <c r="J156" i="5" s="1"/>
  <c r="A83" i="3"/>
  <c r="B82" i="3"/>
  <c r="C82" i="3"/>
  <c r="I155" i="2"/>
  <c r="J155" i="2" s="1"/>
  <c r="I156" i="2"/>
  <c r="J156" i="2" s="1"/>
  <c r="H164" i="2"/>
  <c r="H163" i="2"/>
  <c r="E80" i="6" l="1"/>
  <c r="F79" i="6"/>
  <c r="H79" i="3"/>
  <c r="F80" i="3"/>
  <c r="G80" i="3" s="1"/>
  <c r="I80" i="3"/>
  <c r="J80" i="3" s="1"/>
  <c r="K79" i="3"/>
  <c r="L79" i="3" s="1"/>
  <c r="B83" i="5"/>
  <c r="A84" i="5"/>
  <c r="I158" i="5"/>
  <c r="J158" i="5" s="1"/>
  <c r="I157" i="5"/>
  <c r="J157" i="5" s="1"/>
  <c r="H161" i="5"/>
  <c r="H162" i="5"/>
  <c r="A84" i="3"/>
  <c r="B83" i="3"/>
  <c r="C83" i="3"/>
  <c r="I158" i="2"/>
  <c r="J158" i="2" s="1"/>
  <c r="I157" i="2"/>
  <c r="J157" i="2" s="1"/>
  <c r="H166" i="2"/>
  <c r="H165" i="2"/>
  <c r="E81" i="6" l="1"/>
  <c r="F80" i="6"/>
  <c r="H80" i="3"/>
  <c r="I81" i="3"/>
  <c r="J81" i="3" s="1"/>
  <c r="K80" i="3"/>
  <c r="L80" i="3" s="1"/>
  <c r="F81" i="3"/>
  <c r="G81" i="3" s="1"/>
  <c r="H163" i="5"/>
  <c r="H164" i="5"/>
  <c r="I160" i="5"/>
  <c r="J160" i="5" s="1"/>
  <c r="I159" i="5"/>
  <c r="J159" i="5" s="1"/>
  <c r="B84" i="5"/>
  <c r="A85" i="5"/>
  <c r="B84" i="3"/>
  <c r="A85" i="3"/>
  <c r="C84" i="3"/>
  <c r="I159" i="2"/>
  <c r="J159" i="2" s="1"/>
  <c r="I160" i="2"/>
  <c r="J160" i="2" s="1"/>
  <c r="H168" i="2"/>
  <c r="H167" i="2"/>
  <c r="E82" i="6" l="1"/>
  <c r="F81" i="6"/>
  <c r="H81" i="3"/>
  <c r="K81" i="3"/>
  <c r="L81" i="3" s="1"/>
  <c r="I82" i="3"/>
  <c r="J82" i="3" s="1"/>
  <c r="F82" i="3"/>
  <c r="G82" i="3" s="1"/>
  <c r="B85" i="5"/>
  <c r="A86" i="5"/>
  <c r="H166" i="5"/>
  <c r="H165" i="5"/>
  <c r="I162" i="5"/>
  <c r="J162" i="5" s="1"/>
  <c r="I161" i="5"/>
  <c r="J161" i="5" s="1"/>
  <c r="C85" i="3"/>
  <c r="A86" i="3"/>
  <c r="B85" i="3"/>
  <c r="I161" i="2"/>
  <c r="J161" i="2" s="1"/>
  <c r="I162" i="2"/>
  <c r="J162" i="2" s="1"/>
  <c r="H169" i="2"/>
  <c r="H170" i="2"/>
  <c r="E83" i="6" l="1"/>
  <c r="F82" i="6"/>
  <c r="H82" i="3"/>
  <c r="F83" i="3"/>
  <c r="G83" i="3" s="1"/>
  <c r="K82" i="3"/>
  <c r="L82" i="3" s="1"/>
  <c r="I83" i="3"/>
  <c r="J83" i="3" s="1"/>
  <c r="I163" i="5"/>
  <c r="J163" i="5" s="1"/>
  <c r="I164" i="5"/>
  <c r="J164" i="5" s="1"/>
  <c r="H167" i="5"/>
  <c r="H168" i="5"/>
  <c r="B86" i="5"/>
  <c r="A87" i="5"/>
  <c r="A87" i="3"/>
  <c r="B86" i="3"/>
  <c r="C86" i="3"/>
  <c r="I164" i="2"/>
  <c r="J164" i="2" s="1"/>
  <c r="I163" i="2"/>
  <c r="J163" i="2" s="1"/>
  <c r="H172" i="2"/>
  <c r="H171" i="2"/>
  <c r="E84" i="6" l="1"/>
  <c r="F83" i="6"/>
  <c r="I84" i="3"/>
  <c r="J84" i="3" s="1"/>
  <c r="H83" i="3"/>
  <c r="F84" i="3"/>
  <c r="G84" i="3" s="1"/>
  <c r="K83" i="3"/>
  <c r="L83" i="3" s="1"/>
  <c r="B87" i="5"/>
  <c r="A88" i="5"/>
  <c r="H170" i="5"/>
  <c r="H169" i="5"/>
  <c r="I166" i="5"/>
  <c r="J166" i="5" s="1"/>
  <c r="I165" i="5"/>
  <c r="J165" i="5" s="1"/>
  <c r="A88" i="3"/>
  <c r="B87" i="3"/>
  <c r="C87" i="3"/>
  <c r="I165" i="2"/>
  <c r="J165" i="2" s="1"/>
  <c r="I166" i="2"/>
  <c r="J166" i="2" s="1"/>
  <c r="H174" i="2"/>
  <c r="H173" i="2"/>
  <c r="E85" i="6" l="1"/>
  <c r="F84" i="6"/>
  <c r="F85" i="3"/>
  <c r="G85" i="3" s="1"/>
  <c r="H84" i="3"/>
  <c r="I85" i="3"/>
  <c r="J85" i="3" s="1"/>
  <c r="K84" i="3"/>
  <c r="L84" i="3" s="1"/>
  <c r="I167" i="5"/>
  <c r="J167" i="5" s="1"/>
  <c r="I168" i="5"/>
  <c r="J168" i="5" s="1"/>
  <c r="H172" i="5"/>
  <c r="H171" i="5"/>
  <c r="A89" i="5"/>
  <c r="B88" i="5"/>
  <c r="B88" i="3"/>
  <c r="A89" i="3"/>
  <c r="C88" i="3"/>
  <c r="I167" i="2"/>
  <c r="J167" i="2" s="1"/>
  <c r="I168" i="2"/>
  <c r="J168" i="2" s="1"/>
  <c r="H176" i="2"/>
  <c r="H175" i="2"/>
  <c r="E86" i="6" l="1"/>
  <c r="F85" i="6"/>
  <c r="K85" i="3"/>
  <c r="L85" i="3" s="1"/>
  <c r="H85" i="3"/>
  <c r="F86" i="3"/>
  <c r="G86" i="3" s="1"/>
  <c r="I86" i="3"/>
  <c r="J86" i="3" s="1"/>
  <c r="H173" i="5"/>
  <c r="H174" i="5"/>
  <c r="A90" i="5"/>
  <c r="B89" i="5"/>
  <c r="I170" i="5"/>
  <c r="J170" i="5" s="1"/>
  <c r="I169" i="5"/>
  <c r="J169" i="5" s="1"/>
  <c r="C89" i="3"/>
  <c r="A90" i="3"/>
  <c r="B89" i="3"/>
  <c r="I170" i="2"/>
  <c r="J170" i="2" s="1"/>
  <c r="I169" i="2"/>
  <c r="J169" i="2" s="1"/>
  <c r="H178" i="2"/>
  <c r="H177" i="2"/>
  <c r="E87" i="6" l="1"/>
  <c r="F86" i="6"/>
  <c r="K86" i="3"/>
  <c r="L86" i="3" s="1"/>
  <c r="H86" i="3"/>
  <c r="F87" i="3"/>
  <c r="G87" i="3" s="1"/>
  <c r="I87" i="3"/>
  <c r="J87" i="3" s="1"/>
  <c r="I172" i="5"/>
  <c r="J172" i="5" s="1"/>
  <c r="I171" i="5"/>
  <c r="J171" i="5" s="1"/>
  <c r="A91" i="5"/>
  <c r="B90" i="5"/>
  <c r="H175" i="5"/>
  <c r="H176" i="5"/>
  <c r="A91" i="3"/>
  <c r="B90" i="3"/>
  <c r="C90" i="3"/>
  <c r="I171" i="2"/>
  <c r="J171" i="2" s="1"/>
  <c r="I172" i="2"/>
  <c r="J172" i="2" s="1"/>
  <c r="H180" i="2"/>
  <c r="H179" i="2"/>
  <c r="E88" i="6" l="1"/>
  <c r="F87" i="6"/>
  <c r="I88" i="3"/>
  <c r="J88" i="3" s="1"/>
  <c r="K87" i="3"/>
  <c r="L87" i="3" s="1"/>
  <c r="F88" i="3"/>
  <c r="G88" i="3" s="1"/>
  <c r="H87" i="3"/>
  <c r="H178" i="5"/>
  <c r="H177" i="5"/>
  <c r="A92" i="5"/>
  <c r="B91" i="5"/>
  <c r="I174" i="5"/>
  <c r="J174" i="5" s="1"/>
  <c r="I173" i="5"/>
  <c r="J173" i="5" s="1"/>
  <c r="A92" i="3"/>
  <c r="B91" i="3"/>
  <c r="C91" i="3"/>
  <c r="I173" i="2"/>
  <c r="J173" i="2" s="1"/>
  <c r="I174" i="2"/>
  <c r="J174" i="2" s="1"/>
  <c r="H181" i="2"/>
  <c r="H182" i="2"/>
  <c r="E89" i="6" l="1"/>
  <c r="F88" i="6"/>
  <c r="I89" i="3"/>
  <c r="J89" i="3" s="1"/>
  <c r="K88" i="3"/>
  <c r="L88" i="3" s="1"/>
  <c r="F89" i="3"/>
  <c r="G89" i="3" s="1"/>
  <c r="H88" i="3"/>
  <c r="I175" i="5"/>
  <c r="J175" i="5" s="1"/>
  <c r="I176" i="5"/>
  <c r="J176" i="5" s="1"/>
  <c r="A93" i="5"/>
  <c r="B92" i="5"/>
  <c r="H179" i="5"/>
  <c r="H180" i="5"/>
  <c r="B92" i="3"/>
  <c r="A93" i="3"/>
  <c r="C92" i="3"/>
  <c r="I176" i="2"/>
  <c r="J176" i="2" s="1"/>
  <c r="I175" i="2"/>
  <c r="J175" i="2" s="1"/>
  <c r="H184" i="2"/>
  <c r="H183" i="2"/>
  <c r="E90" i="6" l="1"/>
  <c r="F89" i="6"/>
  <c r="K89" i="3"/>
  <c r="L89" i="3" s="1"/>
  <c r="I90" i="3"/>
  <c r="J90" i="3" s="1"/>
  <c r="H89" i="3"/>
  <c r="F90" i="3"/>
  <c r="G90" i="3" s="1"/>
  <c r="H182" i="5"/>
  <c r="H181" i="5"/>
  <c r="A94" i="5"/>
  <c r="B93" i="5"/>
  <c r="I178" i="5"/>
  <c r="J178" i="5" s="1"/>
  <c r="I177" i="5"/>
  <c r="J177" i="5" s="1"/>
  <c r="C93" i="3"/>
  <c r="A94" i="3"/>
  <c r="B93" i="3"/>
  <c r="I177" i="2"/>
  <c r="J177" i="2" s="1"/>
  <c r="I178" i="2"/>
  <c r="J178" i="2" s="1"/>
  <c r="H186" i="2"/>
  <c r="H185" i="2"/>
  <c r="E91" i="6" l="1"/>
  <c r="F90" i="6"/>
  <c r="I91" i="3"/>
  <c r="J91" i="3" s="1"/>
  <c r="K90" i="3"/>
  <c r="L90" i="3" s="1"/>
  <c r="H90" i="3"/>
  <c r="F91" i="3"/>
  <c r="G91" i="3" s="1"/>
  <c r="H184" i="5"/>
  <c r="H183" i="5"/>
  <c r="I179" i="5"/>
  <c r="J179" i="5" s="1"/>
  <c r="I180" i="5"/>
  <c r="J180" i="5" s="1"/>
  <c r="B94" i="5"/>
  <c r="A95" i="5"/>
  <c r="A95" i="3"/>
  <c r="B94" i="3"/>
  <c r="C94" i="3"/>
  <c r="I179" i="2"/>
  <c r="J179" i="2" s="1"/>
  <c r="I180" i="2"/>
  <c r="J180" i="2" s="1"/>
  <c r="H188" i="2"/>
  <c r="H187" i="2"/>
  <c r="E92" i="6" l="1"/>
  <c r="F91" i="6"/>
  <c r="F92" i="3"/>
  <c r="G92" i="3" s="1"/>
  <c r="K91" i="3"/>
  <c r="L91" i="3" s="1"/>
  <c r="H91" i="3"/>
  <c r="I92" i="3"/>
  <c r="J92" i="3" s="1"/>
  <c r="I182" i="5"/>
  <c r="J182" i="5" s="1"/>
  <c r="I181" i="5"/>
  <c r="J181" i="5" s="1"/>
  <c r="B95" i="5"/>
  <c r="A96" i="5"/>
  <c r="H185" i="5"/>
  <c r="H186" i="5"/>
  <c r="A96" i="3"/>
  <c r="B95" i="3"/>
  <c r="C95" i="3"/>
  <c r="I182" i="2"/>
  <c r="J182" i="2" s="1"/>
  <c r="I181" i="2"/>
  <c r="J181" i="2" s="1"/>
  <c r="H190" i="2"/>
  <c r="H189" i="2"/>
  <c r="E93" i="6" l="1"/>
  <c r="F92" i="6"/>
  <c r="H92" i="3"/>
  <c r="F93" i="3"/>
  <c r="G93" i="3" s="1"/>
  <c r="K92" i="3"/>
  <c r="L92" i="3" s="1"/>
  <c r="I93" i="3"/>
  <c r="J93" i="3" s="1"/>
  <c r="H187" i="5"/>
  <c r="H188" i="5"/>
  <c r="I184" i="5"/>
  <c r="J184" i="5" s="1"/>
  <c r="I183" i="5"/>
  <c r="J183" i="5" s="1"/>
  <c r="B96" i="5"/>
  <c r="A97" i="5"/>
  <c r="B96" i="3"/>
  <c r="A97" i="3"/>
  <c r="C96" i="3"/>
  <c r="I183" i="2"/>
  <c r="J183" i="2" s="1"/>
  <c r="I184" i="2"/>
  <c r="J184" i="2" s="1"/>
  <c r="H192" i="2"/>
  <c r="H191" i="2"/>
  <c r="E94" i="6" l="1"/>
  <c r="F93" i="6"/>
  <c r="F94" i="3"/>
  <c r="G94" i="3" s="1"/>
  <c r="H93" i="3"/>
  <c r="I94" i="3"/>
  <c r="J94" i="3" s="1"/>
  <c r="K93" i="3"/>
  <c r="L93" i="3" s="1"/>
  <c r="H190" i="5"/>
  <c r="H189" i="5"/>
  <c r="B97" i="5"/>
  <c r="A98" i="5"/>
  <c r="I186" i="5"/>
  <c r="J186" i="5" s="1"/>
  <c r="I185" i="5"/>
  <c r="J185" i="5" s="1"/>
  <c r="C97" i="3"/>
  <c r="A98" i="3"/>
  <c r="B97" i="3"/>
  <c r="I185" i="2"/>
  <c r="J185" i="2" s="1"/>
  <c r="I186" i="2"/>
  <c r="J186" i="2" s="1"/>
  <c r="H193" i="2"/>
  <c r="H194" i="2"/>
  <c r="E95" i="6" l="1"/>
  <c r="F94" i="6"/>
  <c r="K94" i="3"/>
  <c r="L94" i="3" s="1"/>
  <c r="F95" i="3"/>
  <c r="G95" i="3" s="1"/>
  <c r="I95" i="3"/>
  <c r="J95" i="3" s="1"/>
  <c r="H94" i="3"/>
  <c r="I187" i="5"/>
  <c r="J187" i="5" s="1"/>
  <c r="I188" i="5"/>
  <c r="J188" i="5" s="1"/>
  <c r="A99" i="5"/>
  <c r="B98" i="5"/>
  <c r="H191" i="5"/>
  <c r="H192" i="5"/>
  <c r="A99" i="3"/>
  <c r="B98" i="3"/>
  <c r="C98" i="3"/>
  <c r="I188" i="2"/>
  <c r="J188" i="2" s="1"/>
  <c r="I187" i="2"/>
  <c r="J187" i="2" s="1"/>
  <c r="H196" i="2"/>
  <c r="H195" i="2"/>
  <c r="E96" i="6" l="1"/>
  <c r="F95" i="6"/>
  <c r="H95" i="3"/>
  <c r="F96" i="3"/>
  <c r="G96" i="3" s="1"/>
  <c r="K95" i="3"/>
  <c r="L95" i="3" s="1"/>
  <c r="I96" i="3"/>
  <c r="J96" i="3" s="1"/>
  <c r="H194" i="5"/>
  <c r="H193" i="5"/>
  <c r="B99" i="5"/>
  <c r="A100" i="5"/>
  <c r="I190" i="5"/>
  <c r="J190" i="5" s="1"/>
  <c r="I189" i="5"/>
  <c r="J189" i="5" s="1"/>
  <c r="A100" i="3"/>
  <c r="B99" i="3"/>
  <c r="C99" i="3"/>
  <c r="I189" i="2"/>
  <c r="J189" i="2" s="1"/>
  <c r="I190" i="2"/>
  <c r="J190" i="2" s="1"/>
  <c r="H198" i="2"/>
  <c r="H197" i="2"/>
  <c r="E97" i="6" l="1"/>
  <c r="F96" i="6"/>
  <c r="F97" i="3"/>
  <c r="G97" i="3" s="1"/>
  <c r="H96" i="3"/>
  <c r="I97" i="3"/>
  <c r="J97" i="3" s="1"/>
  <c r="K96" i="3"/>
  <c r="L96" i="3" s="1"/>
  <c r="I191" i="5"/>
  <c r="J191" i="5" s="1"/>
  <c r="I192" i="5"/>
  <c r="J192" i="5" s="1"/>
  <c r="A101" i="5"/>
  <c r="B100" i="5"/>
  <c r="H196" i="5"/>
  <c r="H195" i="5"/>
  <c r="B100" i="3"/>
  <c r="A101" i="3"/>
  <c r="C100" i="3"/>
  <c r="I191" i="2"/>
  <c r="J191" i="2" s="1"/>
  <c r="I192" i="2"/>
  <c r="J192" i="2" s="1"/>
  <c r="H200" i="2"/>
  <c r="H199" i="2"/>
  <c r="E98" i="6" l="1"/>
  <c r="F97" i="6"/>
  <c r="F98" i="3"/>
  <c r="G98" i="3" s="1"/>
  <c r="H97" i="3"/>
  <c r="K97" i="3"/>
  <c r="L97" i="3" s="1"/>
  <c r="I98" i="3"/>
  <c r="J98" i="3" s="1"/>
  <c r="H197" i="5"/>
  <c r="H198" i="5"/>
  <c r="A102" i="5"/>
  <c r="B101" i="5"/>
  <c r="I194" i="5"/>
  <c r="J194" i="5" s="1"/>
  <c r="I193" i="5"/>
  <c r="J193" i="5" s="1"/>
  <c r="C101" i="3"/>
  <c r="B101" i="3"/>
  <c r="A102" i="3"/>
  <c r="I194" i="2"/>
  <c r="J194" i="2" s="1"/>
  <c r="I193" i="2"/>
  <c r="J193" i="2" s="1"/>
  <c r="H202" i="2"/>
  <c r="H201" i="2"/>
  <c r="E99" i="6" l="1"/>
  <c r="F98" i="6"/>
  <c r="H98" i="3"/>
  <c r="K98" i="3"/>
  <c r="L98" i="3" s="1"/>
  <c r="I99" i="3"/>
  <c r="J99" i="3" s="1"/>
  <c r="F99" i="3"/>
  <c r="G99" i="3" s="1"/>
  <c r="H199" i="5"/>
  <c r="H200" i="5"/>
  <c r="I196" i="5"/>
  <c r="J196" i="5" s="1"/>
  <c r="I195" i="5"/>
  <c r="J195" i="5" s="1"/>
  <c r="A103" i="5"/>
  <c r="B102" i="5"/>
  <c r="A103" i="3"/>
  <c r="B102" i="3"/>
  <c r="C102" i="3"/>
  <c r="I195" i="2"/>
  <c r="J195" i="2" s="1"/>
  <c r="I196" i="2"/>
  <c r="J196" i="2" s="1"/>
  <c r="H204" i="2"/>
  <c r="H203" i="2"/>
  <c r="E100" i="6" l="1"/>
  <c r="F99" i="6"/>
  <c r="H99" i="3"/>
  <c r="K99" i="3"/>
  <c r="L99" i="3" s="1"/>
  <c r="I100" i="3"/>
  <c r="J100" i="3" s="1"/>
  <c r="F100" i="3"/>
  <c r="G100" i="3" s="1"/>
  <c r="A104" i="5"/>
  <c r="B103" i="5"/>
  <c r="I198" i="5"/>
  <c r="J198" i="5" s="1"/>
  <c r="I197" i="5"/>
  <c r="J197" i="5" s="1"/>
  <c r="H202" i="5"/>
  <c r="H201" i="5"/>
  <c r="A104" i="3"/>
  <c r="B103" i="3"/>
  <c r="C103" i="3"/>
  <c r="I197" i="2"/>
  <c r="J197" i="2" s="1"/>
  <c r="I198" i="2"/>
  <c r="J198" i="2" s="1"/>
  <c r="H205" i="2"/>
  <c r="H206" i="2"/>
  <c r="E101" i="6" l="1"/>
  <c r="F100" i="6"/>
  <c r="H100" i="3"/>
  <c r="F101" i="3"/>
  <c r="G101" i="3" s="1"/>
  <c r="I101" i="3"/>
  <c r="J101" i="3" s="1"/>
  <c r="K100" i="3"/>
  <c r="L100" i="3" s="1"/>
  <c r="H203" i="5"/>
  <c r="H204" i="5"/>
  <c r="I199" i="5"/>
  <c r="J199" i="5" s="1"/>
  <c r="I200" i="5"/>
  <c r="J200" i="5" s="1"/>
  <c r="A105" i="5"/>
  <c r="B104" i="5"/>
  <c r="B104" i="3"/>
  <c r="A105" i="3"/>
  <c r="C104" i="3"/>
  <c r="I200" i="2"/>
  <c r="J200" i="2" s="1"/>
  <c r="I199" i="2"/>
  <c r="J199" i="2" s="1"/>
  <c r="H208" i="2"/>
  <c r="H207" i="2"/>
  <c r="E102" i="6" l="1"/>
  <c r="F101" i="6"/>
  <c r="H101" i="3"/>
  <c r="F102" i="3"/>
  <c r="G102" i="3" s="1"/>
  <c r="I102" i="3"/>
  <c r="J102" i="3" s="1"/>
  <c r="K101" i="3"/>
  <c r="L101" i="3" s="1"/>
  <c r="I202" i="5"/>
  <c r="J202" i="5" s="1"/>
  <c r="I201" i="5"/>
  <c r="J201" i="5" s="1"/>
  <c r="A106" i="5"/>
  <c r="B105" i="5"/>
  <c r="H206" i="5"/>
  <c r="H205" i="5"/>
  <c r="C105" i="3"/>
  <c r="B105" i="3"/>
  <c r="A106" i="3"/>
  <c r="I201" i="2"/>
  <c r="J201" i="2" s="1"/>
  <c r="I202" i="2"/>
  <c r="J202" i="2" s="1"/>
  <c r="H210" i="2"/>
  <c r="H209" i="2"/>
  <c r="E103" i="6" l="1"/>
  <c r="F102" i="6"/>
  <c r="F103" i="3"/>
  <c r="G103" i="3" s="1"/>
  <c r="I103" i="3"/>
  <c r="J103" i="3" s="1"/>
  <c r="H102" i="3"/>
  <c r="K102" i="3"/>
  <c r="L102" i="3" s="1"/>
  <c r="H207" i="5"/>
  <c r="H208" i="5"/>
  <c r="B106" i="5"/>
  <c r="A107" i="5"/>
  <c r="B107" i="5" s="1"/>
  <c r="I203" i="5"/>
  <c r="J203" i="5" s="1"/>
  <c r="I204" i="5"/>
  <c r="J204" i="5" s="1"/>
  <c r="A107" i="3"/>
  <c r="B106" i="3"/>
  <c r="C106" i="3"/>
  <c r="I203" i="2"/>
  <c r="J203" i="2" s="1"/>
  <c r="I204" i="2"/>
  <c r="J204" i="2" s="1"/>
  <c r="H212" i="2"/>
  <c r="H211" i="2"/>
  <c r="E104" i="6" l="1"/>
  <c r="F103" i="6"/>
  <c r="H103" i="3"/>
  <c r="K103" i="3"/>
  <c r="L103" i="3" s="1"/>
  <c r="F104" i="3"/>
  <c r="G104" i="3" s="1"/>
  <c r="I104" i="3"/>
  <c r="J104" i="3" s="1"/>
  <c r="I206" i="5"/>
  <c r="J206" i="5" s="1"/>
  <c r="I205" i="5"/>
  <c r="J205" i="5" s="1"/>
  <c r="H210" i="5"/>
  <c r="H209" i="5"/>
  <c r="A108" i="3"/>
  <c r="B107" i="3"/>
  <c r="C107" i="3"/>
  <c r="I206" i="2"/>
  <c r="J206" i="2" s="1"/>
  <c r="I205" i="2"/>
  <c r="J205" i="2" s="1"/>
  <c r="H214" i="2"/>
  <c r="H213" i="2"/>
  <c r="E105" i="6" l="1"/>
  <c r="F104" i="6"/>
  <c r="K104" i="3"/>
  <c r="L104" i="3" s="1"/>
  <c r="F105" i="3"/>
  <c r="G105" i="3" s="1"/>
  <c r="I105" i="3"/>
  <c r="J105" i="3" s="1"/>
  <c r="H104" i="3"/>
  <c r="I208" i="5"/>
  <c r="J208" i="5" s="1"/>
  <c r="I207" i="5"/>
  <c r="J207" i="5" s="1"/>
  <c r="H211" i="5"/>
  <c r="H212" i="5"/>
  <c r="B108" i="3"/>
  <c r="C108" i="3"/>
  <c r="A109" i="3"/>
  <c r="I207" i="2"/>
  <c r="J207" i="2" s="1"/>
  <c r="I208" i="2"/>
  <c r="J208" i="2" s="1"/>
  <c r="H216" i="2"/>
  <c r="H215" i="2"/>
  <c r="E106" i="6" l="1"/>
  <c r="F105" i="6"/>
  <c r="K105" i="3"/>
  <c r="L105" i="3" s="1"/>
  <c r="H105" i="3"/>
  <c r="I106" i="3"/>
  <c r="J106" i="3" s="1"/>
  <c r="F106" i="3"/>
  <c r="G106" i="3" s="1"/>
  <c r="H214" i="5"/>
  <c r="H213" i="5"/>
  <c r="I210" i="5"/>
  <c r="J210" i="5" s="1"/>
  <c r="I209" i="5"/>
  <c r="J209" i="5" s="1"/>
  <c r="C109" i="3"/>
  <c r="A110" i="3"/>
  <c r="B109" i="3"/>
  <c r="I209" i="2"/>
  <c r="J209" i="2" s="1"/>
  <c r="I210" i="2"/>
  <c r="J210" i="2" s="1"/>
  <c r="H217" i="2"/>
  <c r="H218" i="2"/>
  <c r="E107" i="6" l="1"/>
  <c r="F106" i="6"/>
  <c r="H106" i="3"/>
  <c r="F107" i="3"/>
  <c r="G107" i="3" s="1"/>
  <c r="I107" i="3"/>
  <c r="J107" i="3" s="1"/>
  <c r="K106" i="3"/>
  <c r="L106" i="3" s="1"/>
  <c r="I212" i="5"/>
  <c r="J212" i="5" s="1"/>
  <c r="I211" i="5"/>
  <c r="J211" i="5" s="1"/>
  <c r="H215" i="5"/>
  <c r="H216" i="5"/>
  <c r="B110" i="3"/>
  <c r="C110" i="3"/>
  <c r="A111" i="3"/>
  <c r="I212" i="2"/>
  <c r="J212" i="2" s="1"/>
  <c r="I211" i="2"/>
  <c r="J211" i="2" s="1"/>
  <c r="H220" i="2"/>
  <c r="H219" i="2"/>
  <c r="E108" i="6" l="1"/>
  <c r="F107" i="6"/>
  <c r="H107" i="3"/>
  <c r="K107" i="3"/>
  <c r="L107" i="3" s="1"/>
  <c r="I108" i="3"/>
  <c r="J108" i="3" s="1"/>
  <c r="F108" i="3"/>
  <c r="G108" i="3" s="1"/>
  <c r="I214" i="5"/>
  <c r="J214" i="5" s="1"/>
  <c r="I213" i="5"/>
  <c r="J213" i="5" s="1"/>
  <c r="H218" i="5"/>
  <c r="H217" i="5"/>
  <c r="C111" i="3"/>
  <c r="A112" i="3"/>
  <c r="B111" i="3"/>
  <c r="I213" i="2"/>
  <c r="J213" i="2" s="1"/>
  <c r="I214" i="2"/>
  <c r="J214" i="2" s="1"/>
  <c r="H222" i="2"/>
  <c r="H221" i="2"/>
  <c r="E109" i="6" l="1"/>
  <c r="F108" i="6"/>
  <c r="K108" i="3"/>
  <c r="L108" i="3" s="1"/>
  <c r="F109" i="3"/>
  <c r="G109" i="3" s="1"/>
  <c r="H108" i="3"/>
  <c r="I109" i="3"/>
  <c r="J109" i="3" s="1"/>
  <c r="H219" i="5"/>
  <c r="H220" i="5"/>
  <c r="I216" i="5"/>
  <c r="J216" i="5" s="1"/>
  <c r="I215" i="5"/>
  <c r="J215" i="5" s="1"/>
  <c r="A113" i="3"/>
  <c r="B112" i="3"/>
  <c r="C112" i="3"/>
  <c r="I215" i="2"/>
  <c r="J215" i="2" s="1"/>
  <c r="I216" i="2"/>
  <c r="J216" i="2" s="1"/>
  <c r="H224" i="2"/>
  <c r="H223" i="2"/>
  <c r="E110" i="6" l="1"/>
  <c r="F109" i="6"/>
  <c r="H109" i="3"/>
  <c r="F110" i="3"/>
  <c r="G110" i="3" s="1"/>
  <c r="K109" i="3"/>
  <c r="L109" i="3" s="1"/>
  <c r="I110" i="3"/>
  <c r="J110" i="3" s="1"/>
  <c r="I218" i="5"/>
  <c r="J218" i="5" s="1"/>
  <c r="I217" i="5"/>
  <c r="J217" i="5" s="1"/>
  <c r="H222" i="5"/>
  <c r="H221" i="5"/>
  <c r="C113" i="3"/>
  <c r="B113" i="3"/>
  <c r="A114" i="3"/>
  <c r="I218" i="2"/>
  <c r="J218" i="2" s="1"/>
  <c r="I217" i="2"/>
  <c r="J217" i="2" s="1"/>
  <c r="H226" i="2"/>
  <c r="H225" i="2"/>
  <c r="E111" i="6" l="1"/>
  <c r="F110" i="6"/>
  <c r="K110" i="3"/>
  <c r="L110" i="3" s="1"/>
  <c r="H110" i="3"/>
  <c r="I111" i="3"/>
  <c r="J111" i="3" s="1"/>
  <c r="F111" i="3"/>
  <c r="G111" i="3" s="1"/>
  <c r="H223" i="5"/>
  <c r="H224" i="5"/>
  <c r="I220" i="5"/>
  <c r="J220" i="5" s="1"/>
  <c r="I219" i="5"/>
  <c r="J219" i="5" s="1"/>
  <c r="A115" i="3"/>
  <c r="C114" i="3"/>
  <c r="B114" i="3"/>
  <c r="I220" i="2"/>
  <c r="J220" i="2" s="1"/>
  <c r="I219" i="2"/>
  <c r="J219" i="2" s="1"/>
  <c r="H228" i="2"/>
  <c r="H227" i="2"/>
  <c r="E112" i="6" l="1"/>
  <c r="F111" i="6"/>
  <c r="K111" i="3"/>
  <c r="L111" i="3" s="1"/>
  <c r="F112" i="3"/>
  <c r="G112" i="3" s="1"/>
  <c r="H111" i="3"/>
  <c r="I112" i="3"/>
  <c r="J112" i="3" s="1"/>
  <c r="I222" i="5"/>
  <c r="J222" i="5" s="1"/>
  <c r="I221" i="5"/>
  <c r="J221" i="5" s="1"/>
  <c r="H226" i="5"/>
  <c r="H225" i="5"/>
  <c r="A116" i="3"/>
  <c r="B115" i="3"/>
  <c r="C115" i="3"/>
  <c r="I222" i="2"/>
  <c r="J222" i="2" s="1"/>
  <c r="I221" i="2"/>
  <c r="J221" i="2" s="1"/>
  <c r="H229" i="2"/>
  <c r="H230" i="2"/>
  <c r="E113" i="6" l="1"/>
  <c r="F112" i="6"/>
  <c r="K112" i="3"/>
  <c r="L112" i="3" s="1"/>
  <c r="H112" i="3"/>
  <c r="I113" i="3"/>
  <c r="J113" i="3" s="1"/>
  <c r="F113" i="3"/>
  <c r="G113" i="3" s="1"/>
  <c r="H227" i="5"/>
  <c r="H228" i="5"/>
  <c r="I224" i="5"/>
  <c r="J224" i="5" s="1"/>
  <c r="I223" i="5"/>
  <c r="J223" i="5" s="1"/>
  <c r="B116" i="3"/>
  <c r="C116" i="3"/>
  <c r="A117" i="3"/>
  <c r="I224" i="2"/>
  <c r="J224" i="2" s="1"/>
  <c r="I223" i="2"/>
  <c r="J223" i="2" s="1"/>
  <c r="H232" i="2"/>
  <c r="H231" i="2"/>
  <c r="E114" i="6" l="1"/>
  <c r="F113" i="6"/>
  <c r="H113" i="3"/>
  <c r="K113" i="3"/>
  <c r="L113" i="3" s="1"/>
  <c r="I114" i="3"/>
  <c r="J114" i="3" s="1"/>
  <c r="F114" i="3"/>
  <c r="G114" i="3" s="1"/>
  <c r="I226" i="5"/>
  <c r="J226" i="5" s="1"/>
  <c r="I225" i="5"/>
  <c r="J225" i="5" s="1"/>
  <c r="H230" i="5"/>
  <c r="H229" i="5"/>
  <c r="C117" i="3"/>
  <c r="A118" i="3"/>
  <c r="B117" i="3"/>
  <c r="I225" i="2"/>
  <c r="J225" i="2" s="1"/>
  <c r="I226" i="2"/>
  <c r="J226" i="2" s="1"/>
  <c r="H234" i="2"/>
  <c r="H233" i="2"/>
  <c r="E115" i="6" l="1"/>
  <c r="F114" i="6"/>
  <c r="H114" i="3"/>
  <c r="K114" i="3"/>
  <c r="L114" i="3" s="1"/>
  <c r="I115" i="3"/>
  <c r="J115" i="3" s="1"/>
  <c r="F115" i="3"/>
  <c r="G115" i="3" s="1"/>
  <c r="H231" i="5"/>
  <c r="H232" i="5"/>
  <c r="I228" i="5"/>
  <c r="J228" i="5" s="1"/>
  <c r="I227" i="5"/>
  <c r="J227" i="5" s="1"/>
  <c r="A119" i="3"/>
  <c r="B118" i="3"/>
  <c r="C118" i="3"/>
  <c r="I227" i="2"/>
  <c r="J227" i="2" s="1"/>
  <c r="I228" i="2"/>
  <c r="J228" i="2" s="1"/>
  <c r="H236" i="2"/>
  <c r="H235" i="2"/>
  <c r="E116" i="6" l="1"/>
  <c r="F115" i="6"/>
  <c r="F116" i="3"/>
  <c r="G116" i="3" s="1"/>
  <c r="K115" i="3"/>
  <c r="L115" i="3" s="1"/>
  <c r="I116" i="3"/>
  <c r="J116" i="3" s="1"/>
  <c r="H115" i="3"/>
  <c r="I230" i="5"/>
  <c r="J230" i="5" s="1"/>
  <c r="I229" i="5"/>
  <c r="J229" i="5" s="1"/>
  <c r="H234" i="5"/>
  <c r="H233" i="5"/>
  <c r="B119" i="3"/>
  <c r="C119" i="3"/>
  <c r="A120" i="3"/>
  <c r="I229" i="2"/>
  <c r="J229" i="2" s="1"/>
  <c r="I230" i="2"/>
  <c r="J230" i="2" s="1"/>
  <c r="H238" i="2"/>
  <c r="H237" i="2"/>
  <c r="E117" i="6" l="1"/>
  <c r="F116" i="6"/>
  <c r="H116" i="3"/>
  <c r="I117" i="3"/>
  <c r="J117" i="3" s="1"/>
  <c r="K116" i="3"/>
  <c r="L116" i="3" s="1"/>
  <c r="F117" i="3"/>
  <c r="G117" i="3" s="1"/>
  <c r="H235" i="5"/>
  <c r="H236" i="5"/>
  <c r="I232" i="5"/>
  <c r="J232" i="5" s="1"/>
  <c r="I231" i="5"/>
  <c r="J231" i="5" s="1"/>
  <c r="A121" i="3"/>
  <c r="B120" i="3"/>
  <c r="C120" i="3"/>
  <c r="I231" i="2"/>
  <c r="J231" i="2" s="1"/>
  <c r="I232" i="2"/>
  <c r="J232" i="2" s="1"/>
  <c r="H240" i="2"/>
  <c r="H239" i="2"/>
  <c r="E118" i="6" l="1"/>
  <c r="F117" i="6"/>
  <c r="H117" i="3"/>
  <c r="K117" i="3"/>
  <c r="L117" i="3" s="1"/>
  <c r="I118" i="3"/>
  <c r="J118" i="3" s="1"/>
  <c r="F118" i="3"/>
  <c r="G118" i="3" s="1"/>
  <c r="I234" i="5"/>
  <c r="J234" i="5" s="1"/>
  <c r="I233" i="5"/>
  <c r="J233" i="5" s="1"/>
  <c r="H238" i="5"/>
  <c r="H237" i="5"/>
  <c r="A122" i="3"/>
  <c r="B121" i="3"/>
  <c r="C121" i="3"/>
  <c r="I234" i="2"/>
  <c r="J234" i="2" s="1"/>
  <c r="I233" i="2"/>
  <c r="J233" i="2" s="1"/>
  <c r="H241" i="2"/>
  <c r="H242" i="2"/>
  <c r="E119" i="6" l="1"/>
  <c r="F118" i="6"/>
  <c r="H118" i="3"/>
  <c r="I119" i="3"/>
  <c r="J119" i="3" s="1"/>
  <c r="K118" i="3"/>
  <c r="L118" i="3" s="1"/>
  <c r="F119" i="3"/>
  <c r="G119" i="3" s="1"/>
  <c r="H239" i="5"/>
  <c r="H240" i="5"/>
  <c r="I236" i="5"/>
  <c r="J236" i="5" s="1"/>
  <c r="I235" i="5"/>
  <c r="J235" i="5" s="1"/>
  <c r="A123" i="3"/>
  <c r="B122" i="3"/>
  <c r="C122" i="3"/>
  <c r="I236" i="2"/>
  <c r="J236" i="2" s="1"/>
  <c r="I235" i="2"/>
  <c r="J235" i="2" s="1"/>
  <c r="H244" i="2"/>
  <c r="H243" i="2"/>
  <c r="E120" i="6" l="1"/>
  <c r="F119" i="6"/>
  <c r="I120" i="3"/>
  <c r="J120" i="3" s="1"/>
  <c r="F120" i="3"/>
  <c r="G120" i="3" s="1"/>
  <c r="H119" i="3"/>
  <c r="K119" i="3"/>
  <c r="L119" i="3" s="1"/>
  <c r="I238" i="5"/>
  <c r="J238" i="5" s="1"/>
  <c r="I237" i="5"/>
  <c r="J237" i="5" s="1"/>
  <c r="H242" i="5"/>
  <c r="H241" i="5"/>
  <c r="B123" i="3"/>
  <c r="C123" i="3"/>
  <c r="A124" i="3"/>
  <c r="I237" i="2"/>
  <c r="J237" i="2" s="1"/>
  <c r="I238" i="2"/>
  <c r="J238" i="2" s="1"/>
  <c r="H246" i="2"/>
  <c r="H245" i="2"/>
  <c r="E121" i="6" l="1"/>
  <c r="F120" i="6"/>
  <c r="H120" i="3"/>
  <c r="I121" i="3"/>
  <c r="J121" i="3" s="1"/>
  <c r="F121" i="3"/>
  <c r="G121" i="3" s="1"/>
  <c r="K120" i="3"/>
  <c r="L120" i="3" s="1"/>
  <c r="H243" i="5"/>
  <c r="H244" i="5"/>
  <c r="I240" i="5"/>
  <c r="J240" i="5" s="1"/>
  <c r="I239" i="5"/>
  <c r="J239" i="5" s="1"/>
  <c r="A125" i="3"/>
  <c r="B124" i="3"/>
  <c r="C124" i="3"/>
  <c r="I240" i="2"/>
  <c r="J240" i="2" s="1"/>
  <c r="I239" i="2"/>
  <c r="J239" i="2" s="1"/>
  <c r="H248" i="2"/>
  <c r="H247" i="2"/>
  <c r="E122" i="6" l="1"/>
  <c r="F121" i="6"/>
  <c r="F122" i="3"/>
  <c r="G122" i="3" s="1"/>
  <c r="H121" i="3"/>
  <c r="I122" i="3"/>
  <c r="J122" i="3" s="1"/>
  <c r="K121" i="3"/>
  <c r="I242" i="5"/>
  <c r="J242" i="5" s="1"/>
  <c r="I241" i="5"/>
  <c r="J241" i="5" s="1"/>
  <c r="H246" i="5"/>
  <c r="H245" i="5"/>
  <c r="A126" i="3"/>
  <c r="B125" i="3"/>
  <c r="C125" i="3"/>
  <c r="I241" i="2"/>
  <c r="J241" i="2" s="1"/>
  <c r="I242" i="2"/>
  <c r="J242" i="2" s="1"/>
  <c r="H250" i="2"/>
  <c r="H249" i="2"/>
  <c r="E123" i="6" l="1"/>
  <c r="F122" i="6"/>
  <c r="I123" i="3"/>
  <c r="J123" i="3" s="1"/>
  <c r="H122" i="3"/>
  <c r="F123" i="3"/>
  <c r="G123" i="3" s="1"/>
  <c r="K122" i="3"/>
  <c r="L122" i="3" s="1"/>
  <c r="L121" i="3"/>
  <c r="I244" i="5"/>
  <c r="J244" i="5" s="1"/>
  <c r="I243" i="5"/>
  <c r="J243" i="5" s="1"/>
  <c r="H247" i="5"/>
  <c r="H248" i="5"/>
  <c r="A127" i="3"/>
  <c r="B126" i="3"/>
  <c r="C126" i="3"/>
  <c r="I243" i="2"/>
  <c r="J243" i="2" s="1"/>
  <c r="I244" i="2"/>
  <c r="J244" i="2" s="1"/>
  <c r="H252" i="2"/>
  <c r="H251" i="2"/>
  <c r="E124" i="6" l="1"/>
  <c r="F123" i="6"/>
  <c r="I124" i="3"/>
  <c r="J124" i="3" s="1"/>
  <c r="F124" i="3"/>
  <c r="G124" i="3" s="1"/>
  <c r="K123" i="3"/>
  <c r="L123" i="3" s="1"/>
  <c r="H123" i="3"/>
  <c r="H250" i="5"/>
  <c r="H249" i="5"/>
  <c r="I246" i="5"/>
  <c r="J246" i="5" s="1"/>
  <c r="I245" i="5"/>
  <c r="J245" i="5" s="1"/>
  <c r="B127" i="3"/>
  <c r="C127" i="3"/>
  <c r="A128" i="3"/>
  <c r="I246" i="2"/>
  <c r="J246" i="2" s="1"/>
  <c r="I245" i="2"/>
  <c r="J245" i="2" s="1"/>
  <c r="H253" i="2"/>
  <c r="H254" i="2"/>
  <c r="E125" i="6" l="1"/>
  <c r="F124" i="6"/>
  <c r="F125" i="3"/>
  <c r="G125" i="3" s="1"/>
  <c r="I125" i="3"/>
  <c r="J125" i="3" s="1"/>
  <c r="H124" i="3"/>
  <c r="K124" i="3"/>
  <c r="L124" i="3" s="1"/>
  <c r="I248" i="5"/>
  <c r="J248" i="5" s="1"/>
  <c r="I247" i="5"/>
  <c r="J247" i="5" s="1"/>
  <c r="H251" i="5"/>
  <c r="H252" i="5"/>
  <c r="A129" i="3"/>
  <c r="B128" i="3"/>
  <c r="C128" i="3"/>
  <c r="I247" i="2"/>
  <c r="J247" i="2" s="1"/>
  <c r="I248" i="2"/>
  <c r="J248" i="2" s="1"/>
  <c r="H256" i="2"/>
  <c r="H255" i="2"/>
  <c r="E126" i="6" l="1"/>
  <c r="F125" i="6"/>
  <c r="H125" i="3"/>
  <c r="F126" i="3"/>
  <c r="G126" i="3" s="1"/>
  <c r="I126" i="3"/>
  <c r="J126" i="3" s="1"/>
  <c r="K125" i="3"/>
  <c r="L125" i="3" s="1"/>
  <c r="H254" i="5"/>
  <c r="H253" i="5"/>
  <c r="I250" i="5"/>
  <c r="J250" i="5" s="1"/>
  <c r="I249" i="5"/>
  <c r="J249" i="5" s="1"/>
  <c r="A130" i="3"/>
  <c r="B129" i="3"/>
  <c r="C129" i="3"/>
  <c r="I249" i="2"/>
  <c r="J249" i="2" s="1"/>
  <c r="I250" i="2"/>
  <c r="J250" i="2" s="1"/>
  <c r="H258" i="2"/>
  <c r="H257" i="2"/>
  <c r="E127" i="6" l="1"/>
  <c r="F126" i="6"/>
  <c r="H126" i="3"/>
  <c r="I127" i="3"/>
  <c r="J127" i="3" s="1"/>
  <c r="F127" i="3"/>
  <c r="G127" i="3" s="1"/>
  <c r="K126" i="3"/>
  <c r="L126" i="3" s="1"/>
  <c r="I252" i="5"/>
  <c r="J252" i="5" s="1"/>
  <c r="I251" i="5"/>
  <c r="J251" i="5" s="1"/>
  <c r="H255" i="5"/>
  <c r="H256" i="5"/>
  <c r="A131" i="3"/>
  <c r="B130" i="3"/>
  <c r="C130" i="3"/>
  <c r="I252" i="2"/>
  <c r="J252" i="2" s="1"/>
  <c r="I251" i="2"/>
  <c r="J251" i="2" s="1"/>
  <c r="H260" i="2"/>
  <c r="H259" i="2"/>
  <c r="E128" i="6" l="1"/>
  <c r="F127" i="6"/>
  <c r="H127" i="3"/>
  <c r="F128" i="3"/>
  <c r="G128" i="3" s="1"/>
  <c r="I128" i="3"/>
  <c r="J128" i="3" s="1"/>
  <c r="K127" i="3"/>
  <c r="L127" i="3" s="1"/>
  <c r="H258" i="5"/>
  <c r="H257" i="5"/>
  <c r="I254" i="5"/>
  <c r="J254" i="5" s="1"/>
  <c r="I253" i="5"/>
  <c r="J253" i="5" s="1"/>
  <c r="B131" i="3"/>
  <c r="C131" i="3"/>
  <c r="A132" i="3"/>
  <c r="I254" i="2"/>
  <c r="J254" i="2" s="1"/>
  <c r="I253" i="2"/>
  <c r="J253" i="2" s="1"/>
  <c r="H262" i="2"/>
  <c r="H261" i="2"/>
  <c r="E129" i="6" l="1"/>
  <c r="F128" i="6"/>
  <c r="H128" i="3"/>
  <c r="I129" i="3"/>
  <c r="J129" i="3" s="1"/>
  <c r="F129" i="3"/>
  <c r="G129" i="3" s="1"/>
  <c r="K128" i="3"/>
  <c r="L128" i="3" s="1"/>
  <c r="I256" i="5"/>
  <c r="J256" i="5" s="1"/>
  <c r="I255" i="5"/>
  <c r="J255" i="5" s="1"/>
  <c r="H259" i="5"/>
  <c r="H260" i="5"/>
  <c r="A133" i="3"/>
  <c r="B132" i="3"/>
  <c r="C132" i="3"/>
  <c r="I256" i="2"/>
  <c r="J256" i="2" s="1"/>
  <c r="I255" i="2"/>
  <c r="J255" i="2" s="1"/>
  <c r="H264" i="2"/>
  <c r="H263" i="2"/>
  <c r="E130" i="6" l="1"/>
  <c r="F129" i="6"/>
  <c r="F130" i="3"/>
  <c r="G130" i="3" s="1"/>
  <c r="H129" i="3"/>
  <c r="I130" i="3"/>
  <c r="J130" i="3" s="1"/>
  <c r="K129" i="3"/>
  <c r="L129" i="3" s="1"/>
  <c r="H262" i="5"/>
  <c r="H261" i="5"/>
  <c r="I258" i="5"/>
  <c r="J258" i="5" s="1"/>
  <c r="I257" i="5"/>
  <c r="J257" i="5" s="1"/>
  <c r="A134" i="3"/>
  <c r="B133" i="3"/>
  <c r="C133" i="3"/>
  <c r="I258" i="2"/>
  <c r="J258" i="2" s="1"/>
  <c r="I257" i="2"/>
  <c r="J257" i="2" s="1"/>
  <c r="H265" i="2"/>
  <c r="H266" i="2"/>
  <c r="E131" i="6" l="1"/>
  <c r="F130" i="6"/>
  <c r="F131" i="3"/>
  <c r="G131" i="3" s="1"/>
  <c r="H130" i="3"/>
  <c r="K130" i="3"/>
  <c r="L130" i="3" s="1"/>
  <c r="I131" i="3"/>
  <c r="J131" i="3" s="1"/>
  <c r="I260" i="5"/>
  <c r="J260" i="5" s="1"/>
  <c r="I259" i="5"/>
  <c r="J259" i="5" s="1"/>
  <c r="H263" i="5"/>
  <c r="H264" i="5"/>
  <c r="A135" i="3"/>
  <c r="B134" i="3"/>
  <c r="C134" i="3"/>
  <c r="I259" i="2"/>
  <c r="J259" i="2" s="1"/>
  <c r="I260" i="2"/>
  <c r="J260" i="2" s="1"/>
  <c r="H268" i="2"/>
  <c r="H267" i="2"/>
  <c r="E132" i="6" l="1"/>
  <c r="F131" i="6"/>
  <c r="K131" i="3"/>
  <c r="L131" i="3" s="1"/>
  <c r="H131" i="3"/>
  <c r="I132" i="3"/>
  <c r="J132" i="3" s="1"/>
  <c r="F132" i="3"/>
  <c r="G132" i="3" s="1"/>
  <c r="H266" i="5"/>
  <c r="H265" i="5"/>
  <c r="I262" i="5"/>
  <c r="J262" i="5" s="1"/>
  <c r="I261" i="5"/>
  <c r="J261" i="5" s="1"/>
  <c r="B135" i="3"/>
  <c r="C135" i="3"/>
  <c r="A136" i="3"/>
  <c r="I261" i="2"/>
  <c r="J261" i="2" s="1"/>
  <c r="I262" i="2"/>
  <c r="J262" i="2" s="1"/>
  <c r="H270" i="2"/>
  <c r="H269" i="2"/>
  <c r="E133" i="6" l="1"/>
  <c r="F132" i="6"/>
  <c r="K132" i="3"/>
  <c r="L132" i="3" s="1"/>
  <c r="H132" i="3"/>
  <c r="F133" i="3"/>
  <c r="G133" i="3" s="1"/>
  <c r="I133" i="3"/>
  <c r="J133" i="3" s="1"/>
  <c r="H267" i="5"/>
  <c r="H268" i="5"/>
  <c r="I264" i="5"/>
  <c r="J264" i="5" s="1"/>
  <c r="I263" i="5"/>
  <c r="J263" i="5" s="1"/>
  <c r="A137" i="3"/>
  <c r="B136" i="3"/>
  <c r="C136" i="3"/>
  <c r="I264" i="2"/>
  <c r="J264" i="2" s="1"/>
  <c r="I263" i="2"/>
  <c r="J263" i="2" s="1"/>
  <c r="H272" i="2"/>
  <c r="H271" i="2"/>
  <c r="E134" i="6" l="1"/>
  <c r="F133" i="6"/>
  <c r="K133" i="3"/>
  <c r="L133" i="3" s="1"/>
  <c r="H133" i="3"/>
  <c r="I134" i="3"/>
  <c r="J134" i="3" s="1"/>
  <c r="F134" i="3"/>
  <c r="G134" i="3" s="1"/>
  <c r="I266" i="5"/>
  <c r="J266" i="5" s="1"/>
  <c r="I265" i="5"/>
  <c r="J265" i="5" s="1"/>
  <c r="H270" i="5"/>
  <c r="H269" i="5"/>
  <c r="A138" i="3"/>
  <c r="B137" i="3"/>
  <c r="C137" i="3"/>
  <c r="I266" i="2"/>
  <c r="J266" i="2" s="1"/>
  <c r="I265" i="2"/>
  <c r="J265" i="2" s="1"/>
  <c r="H274" i="2"/>
  <c r="H273" i="2"/>
  <c r="E135" i="6" l="1"/>
  <c r="F134" i="6"/>
  <c r="K134" i="3"/>
  <c r="L134" i="3" s="1"/>
  <c r="F135" i="3"/>
  <c r="G135" i="3" s="1"/>
  <c r="H134" i="3"/>
  <c r="I135" i="3"/>
  <c r="J135" i="3" s="1"/>
  <c r="H271" i="5"/>
  <c r="H272" i="5"/>
  <c r="I268" i="5"/>
  <c r="J268" i="5" s="1"/>
  <c r="I267" i="5"/>
  <c r="J267" i="5" s="1"/>
  <c r="A139" i="3"/>
  <c r="B138" i="3"/>
  <c r="C138" i="3"/>
  <c r="I267" i="2"/>
  <c r="J267" i="2" s="1"/>
  <c r="I268" i="2"/>
  <c r="J268" i="2" s="1"/>
  <c r="H276" i="2"/>
  <c r="H275" i="2"/>
  <c r="E136" i="6" l="1"/>
  <c r="F135" i="6"/>
  <c r="H135" i="3"/>
  <c r="I136" i="3"/>
  <c r="J136" i="3" s="1"/>
  <c r="K135" i="3"/>
  <c r="L135" i="3" s="1"/>
  <c r="F136" i="3"/>
  <c r="G136" i="3" s="1"/>
  <c r="I270" i="5"/>
  <c r="J270" i="5" s="1"/>
  <c r="I269" i="5"/>
  <c r="J269" i="5" s="1"/>
  <c r="H274" i="5"/>
  <c r="H273" i="5"/>
  <c r="B139" i="3"/>
  <c r="C139" i="3"/>
  <c r="A140" i="3"/>
  <c r="I270" i="2"/>
  <c r="J270" i="2" s="1"/>
  <c r="I269" i="2"/>
  <c r="J269" i="2" s="1"/>
  <c r="H277" i="2"/>
  <c r="H278" i="2"/>
  <c r="E137" i="6" l="1"/>
  <c r="F136" i="6"/>
  <c r="H136" i="3"/>
  <c r="K136" i="3"/>
  <c r="L136" i="3" s="1"/>
  <c r="F137" i="3"/>
  <c r="G137" i="3" s="1"/>
  <c r="I137" i="3"/>
  <c r="J137" i="3" s="1"/>
  <c r="H275" i="5"/>
  <c r="H276" i="5"/>
  <c r="I272" i="5"/>
  <c r="J272" i="5" s="1"/>
  <c r="I271" i="5"/>
  <c r="J271" i="5" s="1"/>
  <c r="A141" i="3"/>
  <c r="B140" i="3"/>
  <c r="C140" i="3"/>
  <c r="I272" i="2"/>
  <c r="J272" i="2" s="1"/>
  <c r="I271" i="2"/>
  <c r="J271" i="2" s="1"/>
  <c r="H280" i="2"/>
  <c r="H279" i="2"/>
  <c r="E138" i="6" l="1"/>
  <c r="F137" i="6"/>
  <c r="H137" i="3"/>
  <c r="F138" i="3"/>
  <c r="G138" i="3" s="1"/>
  <c r="I138" i="3"/>
  <c r="J138" i="3" s="1"/>
  <c r="K137" i="3"/>
  <c r="L137" i="3" s="1"/>
  <c r="H278" i="5"/>
  <c r="H277" i="5"/>
  <c r="I274" i="5"/>
  <c r="J274" i="5" s="1"/>
  <c r="I273" i="5"/>
  <c r="J273" i="5" s="1"/>
  <c r="A142" i="3"/>
  <c r="B141" i="3"/>
  <c r="C141" i="3"/>
  <c r="I273" i="2"/>
  <c r="J273" i="2" s="1"/>
  <c r="I274" i="2"/>
  <c r="J274" i="2" s="1"/>
  <c r="H282" i="2"/>
  <c r="H281" i="2"/>
  <c r="E139" i="6" l="1"/>
  <c r="F138" i="6"/>
  <c r="H138" i="3"/>
  <c r="F139" i="3"/>
  <c r="G139" i="3" s="1"/>
  <c r="I139" i="3"/>
  <c r="J139" i="3" s="1"/>
  <c r="K138" i="3"/>
  <c r="L138" i="3" s="1"/>
  <c r="H279" i="5"/>
  <c r="H280" i="5"/>
  <c r="I276" i="5"/>
  <c r="J276" i="5" s="1"/>
  <c r="I275" i="5"/>
  <c r="J275" i="5" s="1"/>
  <c r="A143" i="3"/>
  <c r="B142" i="3"/>
  <c r="C142" i="3"/>
  <c r="I275" i="2"/>
  <c r="J275" i="2" s="1"/>
  <c r="I276" i="2"/>
  <c r="J276" i="2" s="1"/>
  <c r="H284" i="2"/>
  <c r="H283" i="2"/>
  <c r="E140" i="6" l="1"/>
  <c r="F139" i="6"/>
  <c r="H139" i="3"/>
  <c r="I140" i="3"/>
  <c r="J140" i="3" s="1"/>
  <c r="F140" i="3"/>
  <c r="G140" i="3" s="1"/>
  <c r="K139" i="3"/>
  <c r="L139" i="3" s="1"/>
  <c r="I278" i="5"/>
  <c r="J278" i="5" s="1"/>
  <c r="I277" i="5"/>
  <c r="J277" i="5" s="1"/>
  <c r="H282" i="5"/>
  <c r="H281" i="5"/>
  <c r="B143" i="3"/>
  <c r="C143" i="3"/>
  <c r="A144" i="3"/>
  <c r="I278" i="2"/>
  <c r="J278" i="2" s="1"/>
  <c r="I277" i="2"/>
  <c r="J277" i="2" s="1"/>
  <c r="H286" i="2"/>
  <c r="H285" i="2"/>
  <c r="E141" i="6" l="1"/>
  <c r="F140" i="6"/>
  <c r="I141" i="3"/>
  <c r="J141" i="3" s="1"/>
  <c r="F141" i="3"/>
  <c r="G141" i="3" s="1"/>
  <c r="H140" i="3"/>
  <c r="K140" i="3"/>
  <c r="L140" i="3" s="1"/>
  <c r="H283" i="5"/>
  <c r="H284" i="5"/>
  <c r="I280" i="5"/>
  <c r="J280" i="5" s="1"/>
  <c r="I279" i="5"/>
  <c r="J279" i="5" s="1"/>
  <c r="A145" i="3"/>
  <c r="B144" i="3"/>
  <c r="C144" i="3"/>
  <c r="I280" i="2"/>
  <c r="J280" i="2" s="1"/>
  <c r="I279" i="2"/>
  <c r="J279" i="2" s="1"/>
  <c r="H288" i="2"/>
  <c r="H287" i="2"/>
  <c r="E142" i="6" l="1"/>
  <c r="F141" i="6"/>
  <c r="I142" i="3"/>
  <c r="J142" i="3" s="1"/>
  <c r="F142" i="3"/>
  <c r="G142" i="3" s="1"/>
  <c r="H141" i="3"/>
  <c r="K141" i="3"/>
  <c r="I282" i="5"/>
  <c r="J282" i="5" s="1"/>
  <c r="I281" i="5"/>
  <c r="J281" i="5" s="1"/>
  <c r="H286" i="5"/>
  <c r="H285" i="5"/>
  <c r="A146" i="3"/>
  <c r="B145" i="3"/>
  <c r="C145" i="3"/>
  <c r="I282" i="2"/>
  <c r="J282" i="2" s="1"/>
  <c r="I281" i="2"/>
  <c r="J281" i="2" s="1"/>
  <c r="H289" i="2"/>
  <c r="H290" i="2"/>
  <c r="E143" i="6" l="1"/>
  <c r="F142" i="6"/>
  <c r="F143" i="3"/>
  <c r="G143" i="3" s="1"/>
  <c r="K142" i="3"/>
  <c r="L142" i="3" s="1"/>
  <c r="I143" i="3"/>
  <c r="J143" i="3" s="1"/>
  <c r="H142" i="3"/>
  <c r="L141" i="3"/>
  <c r="H287" i="5"/>
  <c r="H288" i="5"/>
  <c r="I284" i="5"/>
  <c r="J284" i="5" s="1"/>
  <c r="I283" i="5"/>
  <c r="J283" i="5" s="1"/>
  <c r="A147" i="3"/>
  <c r="B146" i="3"/>
  <c r="C146" i="3"/>
  <c r="I283" i="2"/>
  <c r="J283" i="2" s="1"/>
  <c r="I284" i="2"/>
  <c r="J284" i="2" s="1"/>
  <c r="H292" i="2"/>
  <c r="H291" i="2"/>
  <c r="E144" i="6" l="1"/>
  <c r="F143" i="6"/>
  <c r="H143" i="3"/>
  <c r="F144" i="3"/>
  <c r="G144" i="3" s="1"/>
  <c r="I144" i="3"/>
  <c r="J144" i="3" s="1"/>
  <c r="K143" i="3"/>
  <c r="L143" i="3" s="1"/>
  <c r="I286" i="5"/>
  <c r="J286" i="5" s="1"/>
  <c r="I285" i="5"/>
  <c r="J285" i="5" s="1"/>
  <c r="H290" i="5"/>
  <c r="H289" i="5"/>
  <c r="B147" i="3"/>
  <c r="C147" i="3"/>
  <c r="A148" i="3"/>
  <c r="I285" i="2"/>
  <c r="J285" i="2" s="1"/>
  <c r="I286" i="2"/>
  <c r="J286" i="2" s="1"/>
  <c r="H294" i="2"/>
  <c r="H293" i="2"/>
  <c r="I145" i="3" l="1"/>
  <c r="J145" i="3" s="1"/>
  <c r="E145" i="6"/>
  <c r="F144" i="6"/>
  <c r="H144" i="3"/>
  <c r="F145" i="3"/>
  <c r="G145" i="3" s="1"/>
  <c r="K144" i="3"/>
  <c r="L144" i="3" s="1"/>
  <c r="H291" i="5"/>
  <c r="H292" i="5"/>
  <c r="I288" i="5"/>
  <c r="J288" i="5" s="1"/>
  <c r="I287" i="5"/>
  <c r="J287" i="5" s="1"/>
  <c r="A149" i="3"/>
  <c r="B148" i="3"/>
  <c r="C148" i="3"/>
  <c r="I288" i="2"/>
  <c r="J288" i="2" s="1"/>
  <c r="I287" i="2"/>
  <c r="J287" i="2" s="1"/>
  <c r="H296" i="2"/>
  <c r="H295" i="2"/>
  <c r="E146" i="6" l="1"/>
  <c r="F145" i="6"/>
  <c r="H145" i="3"/>
  <c r="K145" i="3"/>
  <c r="L145" i="3" s="1"/>
  <c r="F146" i="3"/>
  <c r="G146" i="3" s="1"/>
  <c r="I146" i="3"/>
  <c r="J146" i="3" s="1"/>
  <c r="I290" i="5"/>
  <c r="J290" i="5" s="1"/>
  <c r="I289" i="5"/>
  <c r="J289" i="5" s="1"/>
  <c r="H294" i="5"/>
  <c r="H293" i="5"/>
  <c r="A150" i="3"/>
  <c r="B149" i="3"/>
  <c r="C149" i="3"/>
  <c r="I290" i="2"/>
  <c r="J290" i="2" s="1"/>
  <c r="I289" i="2"/>
  <c r="J289" i="2" s="1"/>
  <c r="H298" i="2"/>
  <c r="H297" i="2"/>
  <c r="E147" i="6" l="1"/>
  <c r="F146" i="6"/>
  <c r="K146" i="3"/>
  <c r="L146" i="3" s="1"/>
  <c r="I147" i="3"/>
  <c r="J147" i="3" s="1"/>
  <c r="K147" i="3" s="1"/>
  <c r="L147" i="3" s="1"/>
  <c r="F147" i="3"/>
  <c r="G147" i="3" s="1"/>
  <c r="H146" i="3"/>
  <c r="H295" i="5"/>
  <c r="H296" i="5"/>
  <c r="I292" i="5"/>
  <c r="J292" i="5" s="1"/>
  <c r="I291" i="5"/>
  <c r="J291" i="5" s="1"/>
  <c r="A151" i="3"/>
  <c r="B150" i="3"/>
  <c r="C150" i="3"/>
  <c r="I291" i="2"/>
  <c r="J291" i="2" s="1"/>
  <c r="I292" i="2"/>
  <c r="J292" i="2" s="1"/>
  <c r="H300" i="2"/>
  <c r="H299" i="2"/>
  <c r="E148" i="6" l="1"/>
  <c r="F147" i="6"/>
  <c r="F148" i="3"/>
  <c r="G148" i="3" s="1"/>
  <c r="I148" i="3"/>
  <c r="J148" i="3" s="1"/>
  <c r="H147" i="3"/>
  <c r="I294" i="5"/>
  <c r="J294" i="5" s="1"/>
  <c r="I293" i="5"/>
  <c r="J293" i="5" s="1"/>
  <c r="H298" i="5"/>
  <c r="H297" i="5"/>
  <c r="B151" i="3"/>
  <c r="C151" i="3"/>
  <c r="A152" i="3"/>
  <c r="I294" i="2"/>
  <c r="J294" i="2" s="1"/>
  <c r="I293" i="2"/>
  <c r="J293" i="2" s="1"/>
  <c r="H301" i="2"/>
  <c r="H302" i="2"/>
  <c r="E149" i="6" l="1"/>
  <c r="F148" i="6"/>
  <c r="H148" i="3"/>
  <c r="I149" i="3"/>
  <c r="J149" i="3" s="1"/>
  <c r="K148" i="3"/>
  <c r="L148" i="3" s="1"/>
  <c r="F149" i="3"/>
  <c r="G149" i="3" s="1"/>
  <c r="H299" i="5"/>
  <c r="H300" i="5"/>
  <c r="I296" i="5"/>
  <c r="J296" i="5" s="1"/>
  <c r="I295" i="5"/>
  <c r="J295" i="5" s="1"/>
  <c r="A153" i="3"/>
  <c r="B152" i="3"/>
  <c r="C152" i="3"/>
  <c r="I296" i="2"/>
  <c r="J296" i="2" s="1"/>
  <c r="I295" i="2"/>
  <c r="J295" i="2" s="1"/>
  <c r="H304" i="2"/>
  <c r="H303" i="2"/>
  <c r="E150" i="6" l="1"/>
  <c r="F149" i="6"/>
  <c r="K149" i="3"/>
  <c r="L149" i="3" s="1"/>
  <c r="F150" i="3"/>
  <c r="G150" i="3" s="1"/>
  <c r="H149" i="3"/>
  <c r="I150" i="3"/>
  <c r="J150" i="3" s="1"/>
  <c r="I298" i="5"/>
  <c r="J298" i="5" s="1"/>
  <c r="I297" i="5"/>
  <c r="J297" i="5" s="1"/>
  <c r="H302" i="5"/>
  <c r="H301" i="5"/>
  <c r="A154" i="3"/>
  <c r="B153" i="3"/>
  <c r="C153" i="3"/>
  <c r="I297" i="2"/>
  <c r="J297" i="2" s="1"/>
  <c r="I298" i="2"/>
  <c r="J298" i="2" s="1"/>
  <c r="H306" i="2"/>
  <c r="H305" i="2"/>
  <c r="E151" i="6" l="1"/>
  <c r="F150" i="6"/>
  <c r="K150" i="3"/>
  <c r="L150" i="3" s="1"/>
  <c r="H150" i="3"/>
  <c r="I151" i="3"/>
  <c r="J151" i="3" s="1"/>
  <c r="F151" i="3"/>
  <c r="G151" i="3" s="1"/>
  <c r="H151" i="3" s="1"/>
  <c r="H303" i="5"/>
  <c r="H304" i="5"/>
  <c r="I300" i="5"/>
  <c r="J300" i="5" s="1"/>
  <c r="I299" i="5"/>
  <c r="J299" i="5" s="1"/>
  <c r="A155" i="3"/>
  <c r="B154" i="3"/>
  <c r="C154" i="3"/>
  <c r="I299" i="2"/>
  <c r="J299" i="2" s="1"/>
  <c r="I300" i="2"/>
  <c r="J300" i="2" s="1"/>
  <c r="H308" i="2"/>
  <c r="H307" i="2"/>
  <c r="E152" i="6" l="1"/>
  <c r="F151" i="6"/>
  <c r="K151" i="3"/>
  <c r="L151" i="3" s="1"/>
  <c r="F152" i="3"/>
  <c r="G152" i="3" s="1"/>
  <c r="H152" i="3" s="1"/>
  <c r="I152" i="3"/>
  <c r="J152" i="3" s="1"/>
  <c r="I302" i="5"/>
  <c r="J302" i="5" s="1"/>
  <c r="I301" i="5"/>
  <c r="J301" i="5" s="1"/>
  <c r="H306" i="5"/>
  <c r="H305" i="5"/>
  <c r="B155" i="3"/>
  <c r="C155" i="3"/>
  <c r="A156" i="3"/>
  <c r="I302" i="2"/>
  <c r="J302" i="2" s="1"/>
  <c r="I301" i="2"/>
  <c r="J301" i="2" s="1"/>
  <c r="H310" i="2"/>
  <c r="H309" i="2"/>
  <c r="I153" i="3" l="1"/>
  <c r="J153" i="3" s="1"/>
  <c r="E153" i="6"/>
  <c r="F152" i="6"/>
  <c r="F153" i="3"/>
  <c r="G153" i="3" s="1"/>
  <c r="K152" i="3"/>
  <c r="L152" i="3" s="1"/>
  <c r="H307" i="5"/>
  <c r="H308" i="5"/>
  <c r="I304" i="5"/>
  <c r="J304" i="5" s="1"/>
  <c r="I303" i="5"/>
  <c r="J303" i="5" s="1"/>
  <c r="A157" i="3"/>
  <c r="B156" i="3"/>
  <c r="C156" i="3"/>
  <c r="I303" i="2"/>
  <c r="J303" i="2" s="1"/>
  <c r="I304" i="2"/>
  <c r="J304" i="2" s="1"/>
  <c r="H312" i="2"/>
  <c r="H311" i="2"/>
  <c r="F154" i="3" l="1"/>
  <c r="G154" i="3" s="1"/>
  <c r="E154" i="6"/>
  <c r="F153" i="6"/>
  <c r="H153" i="3"/>
  <c r="I154" i="3"/>
  <c r="J154" i="3" s="1"/>
  <c r="K153" i="3"/>
  <c r="L153" i="3" s="1"/>
  <c r="I306" i="5"/>
  <c r="J306" i="5" s="1"/>
  <c r="I305" i="5"/>
  <c r="J305" i="5" s="1"/>
  <c r="H310" i="5"/>
  <c r="H309" i="5"/>
  <c r="A158" i="3"/>
  <c r="B157" i="3"/>
  <c r="C157" i="3"/>
  <c r="I306" i="2"/>
  <c r="J306" i="2" s="1"/>
  <c r="I305" i="2"/>
  <c r="J305" i="2" s="1"/>
  <c r="H313" i="2"/>
  <c r="H314" i="2"/>
  <c r="F155" i="3" l="1"/>
  <c r="G155" i="3" s="1"/>
  <c r="H154" i="3"/>
  <c r="H155" i="3" s="1"/>
  <c r="E155" i="6"/>
  <c r="F154" i="6"/>
  <c r="K154" i="3"/>
  <c r="L154" i="3" s="1"/>
  <c r="I155" i="3"/>
  <c r="J155" i="3" s="1"/>
  <c r="K155" i="3" s="1"/>
  <c r="L155" i="3" s="1"/>
  <c r="H311" i="5"/>
  <c r="H312" i="5"/>
  <c r="I308" i="5"/>
  <c r="J308" i="5" s="1"/>
  <c r="I307" i="5"/>
  <c r="J307" i="5" s="1"/>
  <c r="A159" i="3"/>
  <c r="B158" i="3"/>
  <c r="C158" i="3"/>
  <c r="I307" i="2"/>
  <c r="J307" i="2" s="1"/>
  <c r="I308" i="2"/>
  <c r="J308" i="2" s="1"/>
  <c r="H316" i="2"/>
  <c r="H315" i="2"/>
  <c r="I156" i="3" l="1"/>
  <c r="J156" i="3" s="1"/>
  <c r="F156" i="3"/>
  <c r="G156" i="3" s="1"/>
  <c r="E156" i="6"/>
  <c r="F155" i="6"/>
  <c r="I310" i="5"/>
  <c r="J310" i="5" s="1"/>
  <c r="I309" i="5"/>
  <c r="J309" i="5" s="1"/>
  <c r="H314" i="5"/>
  <c r="H313" i="5"/>
  <c r="B159" i="3"/>
  <c r="C159" i="3"/>
  <c r="A160" i="3"/>
  <c r="K156" i="3"/>
  <c r="L156" i="3" s="1"/>
  <c r="I309" i="2"/>
  <c r="J309" i="2" s="1"/>
  <c r="I310" i="2"/>
  <c r="J310" i="2" s="1"/>
  <c r="H318" i="2"/>
  <c r="H317" i="2"/>
  <c r="I157" i="3" l="1"/>
  <c r="J157" i="3" s="1"/>
  <c r="H156" i="3"/>
  <c r="F157" i="3"/>
  <c r="G157" i="3" s="1"/>
  <c r="H157" i="3" s="1"/>
  <c r="E157" i="6"/>
  <c r="F156" i="6"/>
  <c r="H315" i="5"/>
  <c r="H316" i="5"/>
  <c r="I312" i="5"/>
  <c r="J312" i="5" s="1"/>
  <c r="I311" i="5"/>
  <c r="J311" i="5" s="1"/>
  <c r="K157" i="3"/>
  <c r="A161" i="3"/>
  <c r="B160" i="3"/>
  <c r="C160" i="3"/>
  <c r="I312" i="2"/>
  <c r="J312" i="2" s="1"/>
  <c r="I311" i="2"/>
  <c r="J311" i="2" s="1"/>
  <c r="H320" i="2"/>
  <c r="H319" i="2"/>
  <c r="F158" i="3" l="1"/>
  <c r="G158" i="3" s="1"/>
  <c r="I158" i="3"/>
  <c r="J158" i="3" s="1"/>
  <c r="E158" i="6"/>
  <c r="F157" i="6"/>
  <c r="I314" i="5"/>
  <c r="J314" i="5" s="1"/>
  <c r="I313" i="5"/>
  <c r="J313" i="5" s="1"/>
  <c r="H318" i="5"/>
  <c r="H317" i="5"/>
  <c r="H158" i="3"/>
  <c r="K158" i="3"/>
  <c r="L158" i="3" s="1"/>
  <c r="L157" i="3"/>
  <c r="F159" i="3"/>
  <c r="G159" i="3" s="1"/>
  <c r="A162" i="3"/>
  <c r="B161" i="3"/>
  <c r="C161" i="3"/>
  <c r="I314" i="2"/>
  <c r="J314" i="2" s="1"/>
  <c r="I313" i="2"/>
  <c r="J313" i="2" s="1"/>
  <c r="H322" i="2"/>
  <c r="H321" i="2"/>
  <c r="I159" i="3" l="1"/>
  <c r="J159" i="3" s="1"/>
  <c r="E159" i="6"/>
  <c r="F158" i="6"/>
  <c r="H319" i="5"/>
  <c r="H320" i="5"/>
  <c r="I316" i="5"/>
  <c r="J316" i="5" s="1"/>
  <c r="I315" i="5"/>
  <c r="J315" i="5" s="1"/>
  <c r="H159" i="3"/>
  <c r="K159" i="3"/>
  <c r="L159" i="3" s="1"/>
  <c r="F160" i="3"/>
  <c r="G160" i="3" s="1"/>
  <c r="I160" i="3"/>
  <c r="J160" i="3" s="1"/>
  <c r="A163" i="3"/>
  <c r="B162" i="3"/>
  <c r="C162" i="3"/>
  <c r="I315" i="2"/>
  <c r="J315" i="2" s="1"/>
  <c r="I316" i="2"/>
  <c r="J316" i="2" s="1"/>
  <c r="H324" i="2"/>
  <c r="H323" i="2"/>
  <c r="E160" i="6" l="1"/>
  <c r="F159" i="6"/>
  <c r="I318" i="5"/>
  <c r="J318" i="5" s="1"/>
  <c r="I317" i="5"/>
  <c r="J317" i="5" s="1"/>
  <c r="H322" i="5"/>
  <c r="H321" i="5"/>
  <c r="I161" i="3"/>
  <c r="J161" i="3" s="1"/>
  <c r="F161" i="3"/>
  <c r="G161" i="3" s="1"/>
  <c r="H160" i="3"/>
  <c r="B163" i="3"/>
  <c r="C163" i="3"/>
  <c r="A164" i="3"/>
  <c r="K160" i="3"/>
  <c r="L160" i="3" s="1"/>
  <c r="I318" i="2"/>
  <c r="J318" i="2" s="1"/>
  <c r="I317" i="2"/>
  <c r="J317" i="2" s="1"/>
  <c r="H325" i="2"/>
  <c r="H326" i="2"/>
  <c r="E161" i="6" l="1"/>
  <c r="F160" i="6"/>
  <c r="H323" i="5"/>
  <c r="H324" i="5"/>
  <c r="I320" i="5"/>
  <c r="J320" i="5" s="1"/>
  <c r="I319" i="5"/>
  <c r="J319" i="5" s="1"/>
  <c r="F162" i="3"/>
  <c r="G162" i="3" s="1"/>
  <c r="I162" i="3"/>
  <c r="J162" i="3" s="1"/>
  <c r="A165" i="3"/>
  <c r="B164" i="3"/>
  <c r="C164" i="3"/>
  <c r="K161" i="3"/>
  <c r="L161" i="3" s="1"/>
  <c r="H161" i="3"/>
  <c r="I320" i="2"/>
  <c r="J320" i="2" s="1"/>
  <c r="I319" i="2"/>
  <c r="J319" i="2" s="1"/>
  <c r="H328" i="2"/>
  <c r="H327" i="2"/>
  <c r="E162" i="6" l="1"/>
  <c r="F161" i="6"/>
  <c r="I322" i="5"/>
  <c r="J322" i="5" s="1"/>
  <c r="I321" i="5"/>
  <c r="J321" i="5" s="1"/>
  <c r="H326" i="5"/>
  <c r="H325" i="5"/>
  <c r="H162" i="3"/>
  <c r="K162" i="3"/>
  <c r="L162" i="3" s="1"/>
  <c r="A166" i="3"/>
  <c r="B165" i="3"/>
  <c r="C165" i="3"/>
  <c r="F163" i="3"/>
  <c r="G163" i="3" s="1"/>
  <c r="I163" i="3"/>
  <c r="J163" i="3" s="1"/>
  <c r="I321" i="2"/>
  <c r="J321" i="2" s="1"/>
  <c r="I322" i="2"/>
  <c r="J322" i="2" s="1"/>
  <c r="H330" i="2"/>
  <c r="H329" i="2"/>
  <c r="E163" i="6" l="1"/>
  <c r="F162" i="6"/>
  <c r="H327" i="5"/>
  <c r="H328" i="5"/>
  <c r="I324" i="5"/>
  <c r="J324" i="5" s="1"/>
  <c r="I323" i="5"/>
  <c r="J323" i="5" s="1"/>
  <c r="F164" i="3"/>
  <c r="G164" i="3" s="1"/>
  <c r="I164" i="3"/>
  <c r="J164" i="3" s="1"/>
  <c r="H163" i="3"/>
  <c r="A167" i="3"/>
  <c r="B166" i="3"/>
  <c r="C166" i="3"/>
  <c r="K163" i="3"/>
  <c r="L163" i="3" s="1"/>
  <c r="I323" i="2"/>
  <c r="J323" i="2" s="1"/>
  <c r="I324" i="2"/>
  <c r="J324" i="2" s="1"/>
  <c r="H332" i="2"/>
  <c r="H331" i="2"/>
  <c r="E164" i="6" l="1"/>
  <c r="F163" i="6"/>
  <c r="I326" i="5"/>
  <c r="J326" i="5" s="1"/>
  <c r="I325" i="5"/>
  <c r="J325" i="5" s="1"/>
  <c r="H330" i="5"/>
  <c r="H329" i="5"/>
  <c r="H164" i="3"/>
  <c r="K164" i="3"/>
  <c r="L164" i="3" s="1"/>
  <c r="I165" i="3"/>
  <c r="J165" i="3" s="1"/>
  <c r="F165" i="3"/>
  <c r="G165" i="3" s="1"/>
  <c r="B167" i="3"/>
  <c r="C167" i="3"/>
  <c r="A168" i="3"/>
  <c r="I326" i="2"/>
  <c r="J326" i="2" s="1"/>
  <c r="I325" i="2"/>
  <c r="J325" i="2" s="1"/>
  <c r="H334" i="2"/>
  <c r="H333" i="2"/>
  <c r="E165" i="6" l="1"/>
  <c r="F164" i="6"/>
  <c r="H331" i="5"/>
  <c r="H332" i="5"/>
  <c r="I328" i="5"/>
  <c r="J328" i="5" s="1"/>
  <c r="I327" i="5"/>
  <c r="J327" i="5" s="1"/>
  <c r="F166" i="3"/>
  <c r="G166" i="3" s="1"/>
  <c r="I166" i="3"/>
  <c r="J166" i="3" s="1"/>
  <c r="H165" i="3"/>
  <c r="A169" i="3"/>
  <c r="B168" i="3"/>
  <c r="C168" i="3"/>
  <c r="K165" i="3"/>
  <c r="I327" i="2"/>
  <c r="J327" i="2" s="1"/>
  <c r="I328" i="2"/>
  <c r="J328" i="2" s="1"/>
  <c r="H336" i="2"/>
  <c r="H335" i="2"/>
  <c r="E166" i="6" l="1"/>
  <c r="F165" i="6"/>
  <c r="I330" i="5"/>
  <c r="J330" i="5" s="1"/>
  <c r="I329" i="5"/>
  <c r="J329" i="5" s="1"/>
  <c r="H334" i="5"/>
  <c r="H333" i="5"/>
  <c r="H166" i="3"/>
  <c r="K166" i="3"/>
  <c r="L166" i="3" s="1"/>
  <c r="L165" i="3"/>
  <c r="A170" i="3"/>
  <c r="B169" i="3"/>
  <c r="C169" i="3"/>
  <c r="F167" i="3"/>
  <c r="G167" i="3" s="1"/>
  <c r="I167" i="3"/>
  <c r="J167" i="3" s="1"/>
  <c r="I330" i="2"/>
  <c r="J330" i="2" s="1"/>
  <c r="I329" i="2"/>
  <c r="J329" i="2" s="1"/>
  <c r="H337" i="2"/>
  <c r="H338" i="2"/>
  <c r="E167" i="6" l="1"/>
  <c r="F166" i="6"/>
  <c r="H335" i="5"/>
  <c r="H336" i="5"/>
  <c r="I332" i="5"/>
  <c r="J332" i="5" s="1"/>
  <c r="I331" i="5"/>
  <c r="J331" i="5" s="1"/>
  <c r="K167" i="3"/>
  <c r="L167" i="3" s="1"/>
  <c r="F168" i="3"/>
  <c r="G168" i="3" s="1"/>
  <c r="I168" i="3"/>
  <c r="J168" i="3" s="1"/>
  <c r="H167" i="3"/>
  <c r="A171" i="3"/>
  <c r="B170" i="3"/>
  <c r="C170" i="3"/>
  <c r="I331" i="2"/>
  <c r="J331" i="2" s="1"/>
  <c r="I332" i="2"/>
  <c r="J332" i="2" s="1"/>
  <c r="H340" i="2"/>
  <c r="H339" i="2"/>
  <c r="E168" i="6" l="1"/>
  <c r="F167" i="6"/>
  <c r="I334" i="5"/>
  <c r="J334" i="5" s="1"/>
  <c r="I333" i="5"/>
  <c r="J333" i="5" s="1"/>
  <c r="H338" i="5"/>
  <c r="H337" i="5"/>
  <c r="I169" i="3"/>
  <c r="J169" i="3" s="1"/>
  <c r="F169" i="3"/>
  <c r="G169" i="3" s="1"/>
  <c r="B171" i="3"/>
  <c r="A172" i="3"/>
  <c r="C171" i="3"/>
  <c r="H168" i="3"/>
  <c r="K168" i="3"/>
  <c r="L168" i="3" s="1"/>
  <c r="I333" i="2"/>
  <c r="J333" i="2" s="1"/>
  <c r="I334" i="2"/>
  <c r="J334" i="2" s="1"/>
  <c r="H342" i="2"/>
  <c r="H341" i="2"/>
  <c r="E169" i="6" l="1"/>
  <c r="F168" i="6"/>
  <c r="H339" i="5"/>
  <c r="H340" i="5"/>
  <c r="I336" i="5"/>
  <c r="J336" i="5" s="1"/>
  <c r="I335" i="5"/>
  <c r="J335" i="5" s="1"/>
  <c r="F170" i="3"/>
  <c r="G170" i="3" s="1"/>
  <c r="I170" i="3"/>
  <c r="J170" i="3" s="1"/>
  <c r="H169" i="3"/>
  <c r="K169" i="3"/>
  <c r="L169" i="3" s="1"/>
  <c r="A173" i="3"/>
  <c r="B172" i="3"/>
  <c r="C172" i="3"/>
  <c r="I335" i="2"/>
  <c r="J335" i="2" s="1"/>
  <c r="I336" i="2"/>
  <c r="J336" i="2" s="1"/>
  <c r="H344" i="2"/>
  <c r="H343" i="2"/>
  <c r="E170" i="6" l="1"/>
  <c r="F169" i="6"/>
  <c r="I338" i="5"/>
  <c r="J338" i="5" s="1"/>
  <c r="I337" i="5"/>
  <c r="J337" i="5" s="1"/>
  <c r="H342" i="5"/>
  <c r="H341" i="5"/>
  <c r="H170" i="3"/>
  <c r="A174" i="3"/>
  <c r="B173" i="3"/>
  <c r="C173" i="3"/>
  <c r="K170" i="3"/>
  <c r="L170" i="3" s="1"/>
  <c r="F171" i="3"/>
  <c r="G171" i="3" s="1"/>
  <c r="I171" i="3"/>
  <c r="J171" i="3" s="1"/>
  <c r="I337" i="2"/>
  <c r="J337" i="2" s="1"/>
  <c r="I338" i="2"/>
  <c r="J338" i="2" s="1"/>
  <c r="H346" i="2"/>
  <c r="H345" i="2"/>
  <c r="E171" i="6" l="1"/>
  <c r="F170" i="6"/>
  <c r="H343" i="5"/>
  <c r="H344" i="5"/>
  <c r="I340" i="5"/>
  <c r="J340" i="5" s="1"/>
  <c r="I339" i="5"/>
  <c r="J339" i="5" s="1"/>
  <c r="F172" i="3"/>
  <c r="G172" i="3" s="1"/>
  <c r="I172" i="3"/>
  <c r="J172" i="3" s="1"/>
  <c r="H171" i="3"/>
  <c r="K171" i="3"/>
  <c r="L171" i="3" s="1"/>
  <c r="A175" i="3"/>
  <c r="B174" i="3"/>
  <c r="C174" i="3"/>
  <c r="I339" i="2"/>
  <c r="J339" i="2" s="1"/>
  <c r="I340" i="2"/>
  <c r="J340" i="2" s="1"/>
  <c r="H348" i="2"/>
  <c r="H347" i="2"/>
  <c r="E172" i="6" l="1"/>
  <c r="F171" i="6"/>
  <c r="I342" i="5"/>
  <c r="J342" i="5" s="1"/>
  <c r="I341" i="5"/>
  <c r="J341" i="5" s="1"/>
  <c r="H346" i="5"/>
  <c r="H345" i="5"/>
  <c r="H172" i="3"/>
  <c r="K172" i="3"/>
  <c r="L172" i="3" s="1"/>
  <c r="B175" i="3"/>
  <c r="A176" i="3"/>
  <c r="C175" i="3"/>
  <c r="I173" i="3"/>
  <c r="J173" i="3" s="1"/>
  <c r="F173" i="3"/>
  <c r="G173" i="3" s="1"/>
  <c r="I342" i="2"/>
  <c r="J342" i="2" s="1"/>
  <c r="I341" i="2"/>
  <c r="J341" i="2" s="1"/>
  <c r="H349" i="2"/>
  <c r="H350" i="2"/>
  <c r="E173" i="6" l="1"/>
  <c r="F172" i="6"/>
  <c r="H347" i="5"/>
  <c r="H348" i="5"/>
  <c r="I344" i="5"/>
  <c r="J344" i="5" s="1"/>
  <c r="I343" i="5"/>
  <c r="J343" i="5" s="1"/>
  <c r="F174" i="3"/>
  <c r="G174" i="3" s="1"/>
  <c r="I174" i="3"/>
  <c r="J174" i="3" s="1"/>
  <c r="H173" i="3"/>
  <c r="A177" i="3"/>
  <c r="B176" i="3"/>
  <c r="C176" i="3"/>
  <c r="K173" i="3"/>
  <c r="I344" i="2"/>
  <c r="J344" i="2" s="1"/>
  <c r="I343" i="2"/>
  <c r="J343" i="2" s="1"/>
  <c r="H352" i="2"/>
  <c r="H351" i="2"/>
  <c r="E174" i="6" l="1"/>
  <c r="F173" i="6"/>
  <c r="I346" i="5"/>
  <c r="J346" i="5" s="1"/>
  <c r="I345" i="5"/>
  <c r="J345" i="5" s="1"/>
  <c r="H350" i="5"/>
  <c r="H349" i="5"/>
  <c r="H174" i="3"/>
  <c r="K174" i="3"/>
  <c r="L174" i="3" s="1"/>
  <c r="L173" i="3"/>
  <c r="A178" i="3"/>
  <c r="B177" i="3"/>
  <c r="C177" i="3"/>
  <c r="F175" i="3"/>
  <c r="G175" i="3" s="1"/>
  <c r="I175" i="3"/>
  <c r="J175" i="3" s="1"/>
  <c r="I345" i="2"/>
  <c r="J345" i="2" s="1"/>
  <c r="I346" i="2"/>
  <c r="J346" i="2" s="1"/>
  <c r="H354" i="2"/>
  <c r="H353" i="2"/>
  <c r="E175" i="6" l="1"/>
  <c r="F174" i="6"/>
  <c r="H351" i="5"/>
  <c r="H352" i="5"/>
  <c r="I348" i="5"/>
  <c r="J348" i="5" s="1"/>
  <c r="I347" i="5"/>
  <c r="J347" i="5" s="1"/>
  <c r="K175" i="3"/>
  <c r="L175" i="3" s="1"/>
  <c r="F176" i="3"/>
  <c r="G176" i="3" s="1"/>
  <c r="I176" i="3"/>
  <c r="J176" i="3" s="1"/>
  <c r="H175" i="3"/>
  <c r="A179" i="3"/>
  <c r="C178" i="3"/>
  <c r="B178" i="3"/>
  <c r="I347" i="2"/>
  <c r="J347" i="2" s="1"/>
  <c r="I348" i="2"/>
  <c r="J348" i="2" s="1"/>
  <c r="H356" i="2"/>
  <c r="H355" i="2"/>
  <c r="E176" i="6" l="1"/>
  <c r="F175" i="6"/>
  <c r="I350" i="5"/>
  <c r="J350" i="5" s="1"/>
  <c r="I349" i="5"/>
  <c r="J349" i="5" s="1"/>
  <c r="H354" i="5"/>
  <c r="H353" i="5"/>
  <c r="H176" i="3"/>
  <c r="B179" i="3"/>
  <c r="C179" i="3"/>
  <c r="A180" i="3"/>
  <c r="I177" i="3"/>
  <c r="J177" i="3" s="1"/>
  <c r="F177" i="3"/>
  <c r="G177" i="3" s="1"/>
  <c r="K176" i="3"/>
  <c r="L176" i="3" s="1"/>
  <c r="I350" i="2"/>
  <c r="J350" i="2" s="1"/>
  <c r="I349" i="2"/>
  <c r="J349" i="2" s="1"/>
  <c r="H358" i="2"/>
  <c r="H357" i="2"/>
  <c r="E177" i="6" l="1"/>
  <c r="F176" i="6"/>
  <c r="H355" i="5"/>
  <c r="H356" i="5"/>
  <c r="I352" i="5"/>
  <c r="J352" i="5" s="1"/>
  <c r="I351" i="5"/>
  <c r="J351" i="5" s="1"/>
  <c r="F178" i="3"/>
  <c r="G178" i="3" s="1"/>
  <c r="I178" i="3"/>
  <c r="J178" i="3" s="1"/>
  <c r="H177" i="3"/>
  <c r="A181" i="3"/>
  <c r="B180" i="3"/>
  <c r="C180" i="3"/>
  <c r="K177" i="3"/>
  <c r="I351" i="2"/>
  <c r="J351" i="2" s="1"/>
  <c r="I352" i="2"/>
  <c r="J352" i="2" s="1"/>
  <c r="H360" i="2"/>
  <c r="H359" i="2"/>
  <c r="E178" i="6" l="1"/>
  <c r="F177" i="6"/>
  <c r="I354" i="5"/>
  <c r="J354" i="5" s="1"/>
  <c r="I353" i="5"/>
  <c r="J353" i="5" s="1"/>
  <c r="H358" i="5"/>
  <c r="H357" i="5"/>
  <c r="H178" i="3"/>
  <c r="K178" i="3"/>
  <c r="L178" i="3" s="1"/>
  <c r="L177" i="3"/>
  <c r="A182" i="3"/>
  <c r="B181" i="3"/>
  <c r="C181" i="3"/>
  <c r="F179" i="3"/>
  <c r="G179" i="3" s="1"/>
  <c r="I179" i="3"/>
  <c r="J179" i="3" s="1"/>
  <c r="I354" i="2"/>
  <c r="J354" i="2" s="1"/>
  <c r="I353" i="2"/>
  <c r="J353" i="2" s="1"/>
  <c r="H361" i="2"/>
  <c r="H362" i="2"/>
  <c r="E179" i="6" l="1"/>
  <c r="F178" i="6"/>
  <c r="H359" i="5"/>
  <c r="H360" i="5"/>
  <c r="I356" i="5"/>
  <c r="J356" i="5" s="1"/>
  <c r="I355" i="5"/>
  <c r="J355" i="5" s="1"/>
  <c r="K179" i="3"/>
  <c r="L179" i="3" s="1"/>
  <c r="F180" i="3"/>
  <c r="G180" i="3" s="1"/>
  <c r="I180" i="3"/>
  <c r="J180" i="3" s="1"/>
  <c r="H179" i="3"/>
  <c r="A183" i="3"/>
  <c r="B182" i="3"/>
  <c r="C182" i="3"/>
  <c r="I355" i="2"/>
  <c r="J355" i="2" s="1"/>
  <c r="I356" i="2"/>
  <c r="J356" i="2" s="1"/>
  <c r="H364" i="2"/>
  <c r="H363" i="2"/>
  <c r="E180" i="6" l="1"/>
  <c r="F179" i="6"/>
  <c r="I358" i="5"/>
  <c r="J358" i="5" s="1"/>
  <c r="I357" i="5"/>
  <c r="J357" i="5" s="1"/>
  <c r="H362" i="5"/>
  <c r="H361" i="5"/>
  <c r="H180" i="3"/>
  <c r="B183" i="3"/>
  <c r="C183" i="3"/>
  <c r="A184" i="3"/>
  <c r="I181" i="3"/>
  <c r="J181" i="3" s="1"/>
  <c r="F181" i="3"/>
  <c r="G181" i="3" s="1"/>
  <c r="K180" i="3"/>
  <c r="L180" i="3" s="1"/>
  <c r="I357" i="2"/>
  <c r="J357" i="2" s="1"/>
  <c r="I358" i="2"/>
  <c r="J358" i="2" s="1"/>
  <c r="H366" i="2"/>
  <c r="H365" i="2"/>
  <c r="E181" i="6" l="1"/>
  <c r="F180" i="6"/>
  <c r="H363" i="5"/>
  <c r="H364" i="5"/>
  <c r="I360" i="5"/>
  <c r="J360" i="5" s="1"/>
  <c r="I359" i="5"/>
  <c r="J359" i="5" s="1"/>
  <c r="F182" i="3"/>
  <c r="G182" i="3" s="1"/>
  <c r="I182" i="3"/>
  <c r="J182" i="3" s="1"/>
  <c r="H181" i="3"/>
  <c r="A185" i="3"/>
  <c r="C184" i="3"/>
  <c r="B184" i="3"/>
  <c r="K181" i="3"/>
  <c r="I360" i="2"/>
  <c r="J360" i="2" s="1"/>
  <c r="I359" i="2"/>
  <c r="J359" i="2" s="1"/>
  <c r="H368" i="2"/>
  <c r="H367" i="2"/>
  <c r="E182" i="6" l="1"/>
  <c r="F181" i="6"/>
  <c r="I362" i="5"/>
  <c r="J362" i="5" s="1"/>
  <c r="I361" i="5"/>
  <c r="J361" i="5" s="1"/>
  <c r="H366" i="5"/>
  <c r="H365" i="5"/>
  <c r="H182" i="3"/>
  <c r="K182" i="3"/>
  <c r="L182" i="3" s="1"/>
  <c r="L181" i="3"/>
  <c r="A186" i="3"/>
  <c r="B185" i="3"/>
  <c r="C185" i="3"/>
  <c r="F183" i="3"/>
  <c r="G183" i="3" s="1"/>
  <c r="I183" i="3"/>
  <c r="J183" i="3" s="1"/>
  <c r="I362" i="2"/>
  <c r="J362" i="2" s="1"/>
  <c r="I361" i="2"/>
  <c r="J361" i="2" s="1"/>
  <c r="H370" i="2"/>
  <c r="H369" i="2"/>
  <c r="E183" i="6" l="1"/>
  <c r="F182" i="6"/>
  <c r="H367" i="5"/>
  <c r="H368" i="5"/>
  <c r="I364" i="5"/>
  <c r="J364" i="5" s="1"/>
  <c r="I363" i="5"/>
  <c r="J363" i="5" s="1"/>
  <c r="K183" i="3"/>
  <c r="L183" i="3" s="1"/>
  <c r="F184" i="3"/>
  <c r="G184" i="3" s="1"/>
  <c r="I184" i="3"/>
  <c r="J184" i="3" s="1"/>
  <c r="H183" i="3"/>
  <c r="A187" i="3"/>
  <c r="B186" i="3"/>
  <c r="C186" i="3"/>
  <c r="I363" i="2"/>
  <c r="J363" i="2" s="1"/>
  <c r="I364" i="2"/>
  <c r="J364" i="2" s="1"/>
  <c r="H372" i="2"/>
  <c r="H371" i="2"/>
  <c r="E184" i="6" l="1"/>
  <c r="F183" i="6"/>
  <c r="I366" i="5"/>
  <c r="J366" i="5" s="1"/>
  <c r="I365" i="5"/>
  <c r="J365" i="5" s="1"/>
  <c r="H370" i="5"/>
  <c r="H369" i="5"/>
  <c r="I185" i="3"/>
  <c r="J185" i="3" s="1"/>
  <c r="F185" i="3"/>
  <c r="G185" i="3" s="1"/>
  <c r="H184" i="3"/>
  <c r="B187" i="3"/>
  <c r="C187" i="3"/>
  <c r="A188" i="3"/>
  <c r="K184" i="3"/>
  <c r="L184" i="3" s="1"/>
  <c r="I366" i="2"/>
  <c r="J366" i="2" s="1"/>
  <c r="I365" i="2"/>
  <c r="J365" i="2" s="1"/>
  <c r="H373" i="2"/>
  <c r="H374" i="2"/>
  <c r="E185" i="6" l="1"/>
  <c r="F184" i="6"/>
  <c r="H371" i="5"/>
  <c r="H372" i="5"/>
  <c r="I368" i="5"/>
  <c r="J368" i="5" s="1"/>
  <c r="I367" i="5"/>
  <c r="J367" i="5" s="1"/>
  <c r="F186" i="3"/>
  <c r="G186" i="3" s="1"/>
  <c r="I186" i="3"/>
  <c r="J186" i="3" s="1"/>
  <c r="K185" i="3"/>
  <c r="A189" i="3"/>
  <c r="C188" i="3"/>
  <c r="B188" i="3"/>
  <c r="H185" i="3"/>
  <c r="I368" i="2"/>
  <c r="J368" i="2" s="1"/>
  <c r="I367" i="2"/>
  <c r="J367" i="2" s="1"/>
  <c r="H376" i="2"/>
  <c r="H375" i="2"/>
  <c r="E186" i="6" l="1"/>
  <c r="F185" i="6"/>
  <c r="I370" i="5"/>
  <c r="J370" i="5" s="1"/>
  <c r="I369" i="5"/>
  <c r="J369" i="5" s="1"/>
  <c r="H374" i="5"/>
  <c r="H373" i="5"/>
  <c r="H186" i="3"/>
  <c r="K186" i="3"/>
  <c r="L186" i="3" s="1"/>
  <c r="L185" i="3"/>
  <c r="A190" i="3"/>
  <c r="B189" i="3"/>
  <c r="C189" i="3"/>
  <c r="F187" i="3"/>
  <c r="G187" i="3" s="1"/>
  <c r="I187" i="3"/>
  <c r="J187" i="3" s="1"/>
  <c r="I369" i="2"/>
  <c r="J369" i="2" s="1"/>
  <c r="I370" i="2"/>
  <c r="J370" i="2" s="1"/>
  <c r="H378" i="2"/>
  <c r="H377" i="2"/>
  <c r="E187" i="6" l="1"/>
  <c r="F186" i="6"/>
  <c r="H375" i="5"/>
  <c r="H376" i="5"/>
  <c r="I372" i="5"/>
  <c r="J372" i="5" s="1"/>
  <c r="I371" i="5"/>
  <c r="J371" i="5" s="1"/>
  <c r="F188" i="3"/>
  <c r="G188" i="3" s="1"/>
  <c r="I188" i="3"/>
  <c r="J188" i="3" s="1"/>
  <c r="H187" i="3"/>
  <c r="K187" i="3"/>
  <c r="A191" i="3"/>
  <c r="B190" i="3"/>
  <c r="C190" i="3"/>
  <c r="I371" i="2"/>
  <c r="J371" i="2" s="1"/>
  <c r="I372" i="2"/>
  <c r="J372" i="2" s="1"/>
  <c r="H380" i="2"/>
  <c r="H379" i="2"/>
  <c r="E188" i="6" l="1"/>
  <c r="F187" i="6"/>
  <c r="I374" i="5"/>
  <c r="J374" i="5" s="1"/>
  <c r="I373" i="5"/>
  <c r="J373" i="5" s="1"/>
  <c r="H378" i="5"/>
  <c r="H377" i="5"/>
  <c r="H188" i="3"/>
  <c r="K188" i="3"/>
  <c r="L188" i="3" s="1"/>
  <c r="L187" i="3"/>
  <c r="B191" i="3"/>
  <c r="C191" i="3"/>
  <c r="A192" i="3"/>
  <c r="I189" i="3"/>
  <c r="J189" i="3" s="1"/>
  <c r="F189" i="3"/>
  <c r="G189" i="3" s="1"/>
  <c r="I374" i="2"/>
  <c r="J374" i="2" s="1"/>
  <c r="I373" i="2"/>
  <c r="J373" i="2" s="1"/>
  <c r="H382" i="2"/>
  <c r="H381" i="2"/>
  <c r="E189" i="6" l="1"/>
  <c r="F188" i="6"/>
  <c r="H379" i="5"/>
  <c r="H380" i="5"/>
  <c r="I376" i="5"/>
  <c r="J376" i="5" s="1"/>
  <c r="I375" i="5"/>
  <c r="J375" i="5" s="1"/>
  <c r="F190" i="3"/>
  <c r="G190" i="3" s="1"/>
  <c r="I190" i="3"/>
  <c r="J190" i="3" s="1"/>
  <c r="H189" i="3"/>
  <c r="K189" i="3"/>
  <c r="A193" i="3"/>
  <c r="C192" i="3"/>
  <c r="B192" i="3"/>
  <c r="I375" i="2"/>
  <c r="J375" i="2" s="1"/>
  <c r="I376" i="2"/>
  <c r="J376" i="2" s="1"/>
  <c r="H384" i="2"/>
  <c r="H383" i="2"/>
  <c r="E190" i="6" l="1"/>
  <c r="F189" i="6"/>
  <c r="I378" i="5"/>
  <c r="J378" i="5" s="1"/>
  <c r="I377" i="5"/>
  <c r="J377" i="5" s="1"/>
  <c r="H382" i="5"/>
  <c r="H381" i="5"/>
  <c r="H190" i="3"/>
  <c r="K190" i="3"/>
  <c r="L190" i="3" s="1"/>
  <c r="L189" i="3"/>
  <c r="A194" i="3"/>
  <c r="B193" i="3"/>
  <c r="C193" i="3"/>
  <c r="F191" i="3"/>
  <c r="G191" i="3" s="1"/>
  <c r="I191" i="3"/>
  <c r="J191" i="3" s="1"/>
  <c r="I378" i="2"/>
  <c r="J378" i="2" s="1"/>
  <c r="I377" i="2"/>
  <c r="J377" i="2" s="1"/>
  <c r="H385" i="2"/>
  <c r="H386" i="2"/>
  <c r="E191" i="6" l="1"/>
  <c r="F190" i="6"/>
  <c r="H191" i="3"/>
  <c r="H383" i="5"/>
  <c r="H384" i="5"/>
  <c r="I380" i="5"/>
  <c r="J380" i="5" s="1"/>
  <c r="I379" i="5"/>
  <c r="J379" i="5" s="1"/>
  <c r="K191" i="3"/>
  <c r="L191" i="3" s="1"/>
  <c r="F192" i="3"/>
  <c r="G192" i="3" s="1"/>
  <c r="I192" i="3"/>
  <c r="J192" i="3" s="1"/>
  <c r="A195" i="3"/>
  <c r="B194" i="3"/>
  <c r="C194" i="3"/>
  <c r="I379" i="2"/>
  <c r="J379" i="2" s="1"/>
  <c r="I380" i="2"/>
  <c r="J380" i="2" s="1"/>
  <c r="H388" i="2"/>
  <c r="H387" i="2"/>
  <c r="E192" i="6" l="1"/>
  <c r="F191" i="6"/>
  <c r="I382" i="5"/>
  <c r="J382" i="5" s="1"/>
  <c r="I381" i="5"/>
  <c r="J381" i="5" s="1"/>
  <c r="H386" i="5"/>
  <c r="H385" i="5"/>
  <c r="I193" i="3"/>
  <c r="J193" i="3" s="1"/>
  <c r="F193" i="3"/>
  <c r="G193" i="3" s="1"/>
  <c r="H192" i="3"/>
  <c r="A196" i="3"/>
  <c r="B195" i="3"/>
  <c r="C195" i="3"/>
  <c r="K192" i="3"/>
  <c r="L192" i="3" s="1"/>
  <c r="I381" i="2"/>
  <c r="J381" i="2" s="1"/>
  <c r="I382" i="2"/>
  <c r="J382" i="2" s="1"/>
  <c r="H390" i="2"/>
  <c r="H389" i="2"/>
  <c r="E193" i="6" l="1"/>
  <c r="F192" i="6"/>
  <c r="H387" i="5"/>
  <c r="H388" i="5"/>
  <c r="I384" i="5"/>
  <c r="J384" i="5" s="1"/>
  <c r="I383" i="5"/>
  <c r="J383" i="5" s="1"/>
  <c r="F194" i="3"/>
  <c r="G194" i="3" s="1"/>
  <c r="I194" i="3"/>
  <c r="J194" i="3" s="1"/>
  <c r="K193" i="3"/>
  <c r="L193" i="3" s="1"/>
  <c r="A197" i="3"/>
  <c r="B196" i="3"/>
  <c r="C196" i="3"/>
  <c r="H193" i="3"/>
  <c r="I384" i="2"/>
  <c r="J384" i="2" s="1"/>
  <c r="I383" i="2"/>
  <c r="J383" i="2" s="1"/>
  <c r="H392" i="2"/>
  <c r="H391" i="2"/>
  <c r="E194" i="6" l="1"/>
  <c r="F193" i="6"/>
  <c r="I386" i="5"/>
  <c r="J386" i="5" s="1"/>
  <c r="I385" i="5"/>
  <c r="J385" i="5" s="1"/>
  <c r="H390" i="5"/>
  <c r="H389" i="5"/>
  <c r="H194" i="3"/>
  <c r="K194" i="3"/>
  <c r="L194" i="3" s="1"/>
  <c r="C197" i="3"/>
  <c r="A198" i="3"/>
  <c r="B197" i="3"/>
  <c r="I195" i="3"/>
  <c r="J195" i="3" s="1"/>
  <c r="F195" i="3"/>
  <c r="G195" i="3" s="1"/>
  <c r="I386" i="2"/>
  <c r="J386" i="2" s="1"/>
  <c r="I385" i="2"/>
  <c r="J385" i="2" s="1"/>
  <c r="H394" i="2"/>
  <c r="H393" i="2"/>
  <c r="E195" i="6" l="1"/>
  <c r="F194" i="6"/>
  <c r="H391" i="5"/>
  <c r="H392" i="5"/>
  <c r="I388" i="5"/>
  <c r="J388" i="5" s="1"/>
  <c r="I387" i="5"/>
  <c r="J387" i="5" s="1"/>
  <c r="F196" i="3"/>
  <c r="G196" i="3" s="1"/>
  <c r="I196" i="3"/>
  <c r="J196" i="3" s="1"/>
  <c r="H195" i="3"/>
  <c r="A199" i="3"/>
  <c r="B198" i="3"/>
  <c r="C198" i="3"/>
  <c r="K195" i="3"/>
  <c r="I387" i="2"/>
  <c r="J387" i="2" s="1"/>
  <c r="I388" i="2"/>
  <c r="J388" i="2" s="1"/>
  <c r="H396" i="2"/>
  <c r="H395" i="2"/>
  <c r="E196" i="6" l="1"/>
  <c r="F195" i="6"/>
  <c r="I390" i="5"/>
  <c r="J390" i="5" s="1"/>
  <c r="I389" i="5"/>
  <c r="J389" i="5" s="1"/>
  <c r="H394" i="5"/>
  <c r="H393" i="5"/>
  <c r="H196" i="3"/>
  <c r="K196" i="3"/>
  <c r="L196" i="3" s="1"/>
  <c r="L195" i="3"/>
  <c r="B199" i="3"/>
  <c r="C199" i="3"/>
  <c r="A200" i="3"/>
  <c r="I197" i="3"/>
  <c r="J197" i="3" s="1"/>
  <c r="F197" i="3"/>
  <c r="G197" i="3" s="1"/>
  <c r="I390" i="2"/>
  <c r="J390" i="2" s="1"/>
  <c r="I389" i="2"/>
  <c r="J389" i="2" s="1"/>
  <c r="H397" i="2"/>
  <c r="H398" i="2"/>
  <c r="E197" i="6" l="1"/>
  <c r="F196" i="6"/>
  <c r="H395" i="5"/>
  <c r="H396" i="5"/>
  <c r="I392" i="5"/>
  <c r="J392" i="5" s="1"/>
  <c r="I391" i="5"/>
  <c r="J391" i="5" s="1"/>
  <c r="I198" i="3"/>
  <c r="J198" i="3" s="1"/>
  <c r="F198" i="3"/>
  <c r="G198" i="3" s="1"/>
  <c r="H197" i="3"/>
  <c r="K197" i="3"/>
  <c r="B200" i="3"/>
  <c r="C200" i="3"/>
  <c r="A201" i="3"/>
  <c r="I392" i="2"/>
  <c r="J392" i="2" s="1"/>
  <c r="I391" i="2"/>
  <c r="J391" i="2" s="1"/>
  <c r="H400" i="2"/>
  <c r="H399" i="2"/>
  <c r="E198" i="6" l="1"/>
  <c r="F197" i="6"/>
  <c r="I394" i="5"/>
  <c r="J394" i="5" s="1"/>
  <c r="I393" i="5"/>
  <c r="J393" i="5" s="1"/>
  <c r="H398" i="5"/>
  <c r="H397" i="5"/>
  <c r="K198" i="3"/>
  <c r="L198" i="3" s="1"/>
  <c r="L197" i="3"/>
  <c r="F199" i="3"/>
  <c r="G199" i="3" s="1"/>
  <c r="I199" i="3"/>
  <c r="J199" i="3" s="1"/>
  <c r="A202" i="3"/>
  <c r="B201" i="3"/>
  <c r="C201" i="3"/>
  <c r="H198" i="3"/>
  <c r="I393" i="2"/>
  <c r="J393" i="2" s="1"/>
  <c r="I394" i="2"/>
  <c r="J394" i="2" s="1"/>
  <c r="H402" i="2"/>
  <c r="H401" i="2"/>
  <c r="E199" i="6" l="1"/>
  <c r="F198" i="6"/>
  <c r="H399" i="5"/>
  <c r="H400" i="5"/>
  <c r="I396" i="5"/>
  <c r="J396" i="5" s="1"/>
  <c r="I395" i="5"/>
  <c r="J395" i="5" s="1"/>
  <c r="K199" i="3"/>
  <c r="L199" i="3" s="1"/>
  <c r="H199" i="3"/>
  <c r="A203" i="3"/>
  <c r="B202" i="3"/>
  <c r="C202" i="3"/>
  <c r="F200" i="3"/>
  <c r="G200" i="3" s="1"/>
  <c r="I200" i="3"/>
  <c r="J200" i="3" s="1"/>
  <c r="I396" i="2"/>
  <c r="J396" i="2" s="1"/>
  <c r="I395" i="2"/>
  <c r="J395" i="2" s="1"/>
  <c r="H404" i="2"/>
  <c r="H403" i="2"/>
  <c r="E200" i="6" l="1"/>
  <c r="F199" i="6"/>
  <c r="I398" i="5"/>
  <c r="J398" i="5" s="1"/>
  <c r="I397" i="5"/>
  <c r="J397" i="5" s="1"/>
  <c r="H402" i="5"/>
  <c r="H401" i="5"/>
  <c r="K200" i="3"/>
  <c r="L200" i="3" s="1"/>
  <c r="I201" i="3"/>
  <c r="J201" i="3" s="1"/>
  <c r="F201" i="3"/>
  <c r="G201" i="3" s="1"/>
  <c r="H200" i="3"/>
  <c r="B203" i="3"/>
  <c r="C203" i="3"/>
  <c r="A204" i="3"/>
  <c r="I398" i="2"/>
  <c r="J398" i="2" s="1"/>
  <c r="I397" i="2"/>
  <c r="J397" i="2" s="1"/>
  <c r="H406" i="2"/>
  <c r="H405" i="2"/>
  <c r="E201" i="6" l="1"/>
  <c r="F200" i="6"/>
  <c r="H403" i="5"/>
  <c r="H404" i="5"/>
  <c r="I400" i="5"/>
  <c r="J400" i="5" s="1"/>
  <c r="I399" i="5"/>
  <c r="J399" i="5" s="1"/>
  <c r="F202" i="3"/>
  <c r="G202" i="3" s="1"/>
  <c r="I202" i="3"/>
  <c r="J202" i="3" s="1"/>
  <c r="B204" i="3"/>
  <c r="C204" i="3"/>
  <c r="A205" i="3"/>
  <c r="H201" i="3"/>
  <c r="K201" i="3"/>
  <c r="I399" i="2"/>
  <c r="J399" i="2" s="1"/>
  <c r="I400" i="2"/>
  <c r="J400" i="2" s="1"/>
  <c r="H408" i="2"/>
  <c r="H407" i="2"/>
  <c r="E202" i="6" l="1"/>
  <c r="F201" i="6"/>
  <c r="I402" i="5"/>
  <c r="J402" i="5" s="1"/>
  <c r="I401" i="5"/>
  <c r="J401" i="5" s="1"/>
  <c r="H406" i="5"/>
  <c r="H405" i="5"/>
  <c r="H202" i="3"/>
  <c r="K202" i="3"/>
  <c r="L202" i="3" s="1"/>
  <c r="L201" i="3"/>
  <c r="A206" i="3"/>
  <c r="B205" i="3"/>
  <c r="C205" i="3"/>
  <c r="F203" i="3"/>
  <c r="G203" i="3" s="1"/>
  <c r="I203" i="3"/>
  <c r="J203" i="3" s="1"/>
  <c r="I402" i="2"/>
  <c r="J402" i="2" s="1"/>
  <c r="I401" i="2"/>
  <c r="J401" i="2" s="1"/>
  <c r="E203" i="6" l="1"/>
  <c r="F202" i="6"/>
  <c r="H408" i="5"/>
  <c r="H407" i="5"/>
  <c r="I404" i="5"/>
  <c r="J404" i="5" s="1"/>
  <c r="I403" i="5"/>
  <c r="J403" i="5" s="1"/>
  <c r="K203" i="3"/>
  <c r="L203" i="3" s="1"/>
  <c r="F204" i="3"/>
  <c r="G204" i="3" s="1"/>
  <c r="I204" i="3"/>
  <c r="J204" i="3" s="1"/>
  <c r="H203" i="3"/>
  <c r="B206" i="3"/>
  <c r="C206" i="3"/>
  <c r="I403" i="2"/>
  <c r="J403" i="2" s="1"/>
  <c r="I404" i="2"/>
  <c r="J404" i="2" s="1"/>
  <c r="E204" i="6" l="1"/>
  <c r="F203" i="6"/>
  <c r="I406" i="5"/>
  <c r="J406" i="5" s="1"/>
  <c r="I405" i="5"/>
  <c r="J405" i="5" s="1"/>
  <c r="H204" i="3"/>
  <c r="I205" i="3"/>
  <c r="J205" i="3" s="1"/>
  <c r="F205" i="3"/>
  <c r="G205" i="3" s="1"/>
  <c r="K204" i="3"/>
  <c r="L204" i="3" s="1"/>
  <c r="I405" i="2"/>
  <c r="J405" i="2" s="1"/>
  <c r="I406" i="2"/>
  <c r="J406" i="2" s="1"/>
  <c r="E205" i="6" l="1"/>
  <c r="F204" i="6"/>
  <c r="I408" i="5"/>
  <c r="J408" i="5" s="1"/>
  <c r="I407" i="5"/>
  <c r="J407" i="5" s="1"/>
  <c r="F206" i="3"/>
  <c r="G206" i="3" s="1"/>
  <c r="I206" i="3"/>
  <c r="J206" i="3" s="1"/>
  <c r="H205" i="3"/>
  <c r="K205" i="3"/>
  <c r="I408" i="2"/>
  <c r="J408" i="2" s="1"/>
  <c r="I407" i="2"/>
  <c r="J407" i="2" s="1"/>
  <c r="E206" i="6" l="1"/>
  <c r="F206" i="6" s="1"/>
  <c r="L3" i="6" s="1"/>
  <c r="F205" i="6"/>
  <c r="H206" i="3"/>
  <c r="K206" i="3"/>
  <c r="L206" i="3" s="1"/>
  <c r="L3" i="3" s="1"/>
  <c r="L205" i="3"/>
  <c r="K3" i="6" l="1"/>
  <c r="J3" i="6"/>
  <c r="I3" i="6"/>
  <c r="H3" i="6"/>
  <c r="G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<sst xmlns="http://schemas.openxmlformats.org/spreadsheetml/2006/main" count="145" uniqueCount="121">
  <si>
    <t>ex6. 전기장</t>
    <phoneticPr fontId="1" type="noConversion"/>
  </si>
  <si>
    <t>Scale(k)</t>
    <phoneticPr fontId="1" type="noConversion"/>
  </si>
  <si>
    <t>x1</t>
    <phoneticPr fontId="1" type="noConversion"/>
  </si>
  <si>
    <t>y1</t>
    <phoneticPr fontId="1" type="noConversion"/>
  </si>
  <si>
    <t>Q1</t>
    <phoneticPr fontId="1" type="noConversion"/>
  </si>
  <si>
    <t>x2</t>
    <phoneticPr fontId="1" type="noConversion"/>
  </si>
  <si>
    <t>y2</t>
    <phoneticPr fontId="1" type="noConversion"/>
  </si>
  <si>
    <t>Q2</t>
    <phoneticPr fontId="1" type="noConversion"/>
  </si>
  <si>
    <t>x0</t>
    <phoneticPr fontId="1" type="noConversion"/>
  </si>
  <si>
    <t>y0</t>
    <phoneticPr fontId="1" type="noConversion"/>
  </si>
  <si>
    <t>Q4</t>
    <phoneticPr fontId="1" type="noConversion"/>
  </si>
  <si>
    <t>y4</t>
    <phoneticPr fontId="1" type="noConversion"/>
  </si>
  <si>
    <t>x4</t>
    <phoneticPr fontId="1" type="noConversion"/>
  </si>
  <si>
    <t>Q3</t>
    <phoneticPr fontId="1" type="noConversion"/>
  </si>
  <si>
    <t>y3</t>
    <phoneticPr fontId="1" type="noConversion"/>
  </si>
  <si>
    <t>x3</t>
    <phoneticPr fontId="1" type="noConversion"/>
  </si>
  <si>
    <t>E(x)1</t>
    <phoneticPr fontId="1" type="noConversion"/>
  </si>
  <si>
    <t>E(y)1</t>
    <phoneticPr fontId="1" type="noConversion"/>
  </si>
  <si>
    <t>E(x)2</t>
    <phoneticPr fontId="1" type="noConversion"/>
  </si>
  <si>
    <t>E(y)2</t>
    <phoneticPr fontId="1" type="noConversion"/>
  </si>
  <si>
    <t>E(x)3</t>
    <phoneticPr fontId="1" type="noConversion"/>
  </si>
  <si>
    <t>E(y)3</t>
    <phoneticPr fontId="1" type="noConversion"/>
  </si>
  <si>
    <t>E(x)4</t>
    <phoneticPr fontId="1" type="noConversion"/>
  </si>
  <si>
    <t>E(y)4</t>
    <phoneticPr fontId="1" type="noConversion"/>
  </si>
  <si>
    <t>SumE(y)</t>
    <phoneticPr fontId="1" type="noConversion"/>
  </si>
  <si>
    <t>SumE(x)</t>
    <phoneticPr fontId="1" type="noConversion"/>
  </si>
  <si>
    <t>Try Scale 10 for monopole, 1000 for dipole, 100000 for quadrupole</t>
    <phoneticPr fontId="1" type="noConversion"/>
  </si>
  <si>
    <t>ex7. Logistic equation &amp; chaos</t>
    <phoneticPr fontId="1" type="noConversion"/>
  </si>
  <si>
    <t>y=x 이용</t>
    <phoneticPr fontId="1" type="noConversion"/>
  </si>
  <si>
    <t>y=ax(1-x)</t>
    <phoneticPr fontId="1" type="noConversion"/>
  </si>
  <si>
    <t>a:1~4.1</t>
    <phoneticPr fontId="1" type="noConversion"/>
  </si>
  <si>
    <t>logistic: 프로세스, 물류, 병참, 수송</t>
    <phoneticPr fontId="1" type="noConversion"/>
  </si>
  <si>
    <t>a</t>
    <phoneticPr fontId="1" type="noConversion"/>
  </si>
  <si>
    <t>x</t>
    <phoneticPr fontId="1" type="noConversion"/>
  </si>
  <si>
    <t>y</t>
    <phoneticPr fontId="1" type="noConversion"/>
  </si>
  <si>
    <t>n</t>
    <phoneticPr fontId="1" type="noConversion"/>
  </si>
  <si>
    <t>p(n)</t>
    <phoneticPr fontId="1" type="noConversion"/>
  </si>
  <si>
    <t>p(n)x</t>
    <phoneticPr fontId="1" type="noConversion"/>
  </si>
  <si>
    <t>p(n)y</t>
    <phoneticPr fontId="1" type="noConversion"/>
  </si>
  <si>
    <t>i.c.</t>
    <phoneticPr fontId="1" type="noConversion"/>
  </si>
  <si>
    <t>p(n+1)=a*p(n)*(1-p(n))</t>
    <phoneticPr fontId="1" type="noConversion"/>
  </si>
  <si>
    <t>y2'</t>
    <phoneticPr fontId="1" type="noConversion"/>
  </si>
  <si>
    <t>y"=-9.8-k/m*(vx^2+vy^2)^(1/2)*vy</t>
    <phoneticPr fontId="1" type="noConversion"/>
  </si>
  <si>
    <t>x2'</t>
    <phoneticPr fontId="1" type="noConversion"/>
  </si>
  <si>
    <t>x2"=-k/m*(vx^2+vy^2)^(1/2)*vx</t>
    <phoneticPr fontId="1" type="noConversion"/>
  </si>
  <si>
    <t>y1=v0sin(th)t-1/2gt^2</t>
    <phoneticPr fontId="1" type="noConversion"/>
  </si>
  <si>
    <t>x1=v0cos(angle)t</t>
    <phoneticPr fontId="1" type="noConversion"/>
  </si>
  <si>
    <t>time</t>
    <phoneticPr fontId="1" type="noConversion"/>
  </si>
  <si>
    <t>angle</t>
    <phoneticPr fontId="1" type="noConversion"/>
  </si>
  <si>
    <t>k/m</t>
    <phoneticPr fontId="1" type="noConversion"/>
  </si>
  <si>
    <t>ma=-mg-kv^2</t>
    <phoneticPr fontId="1" type="noConversion"/>
  </si>
  <si>
    <t>kv^2 is in effect until v reaches to zero</t>
    <phoneticPr fontId="1" type="noConversion"/>
  </si>
  <si>
    <t>v0</t>
    <phoneticPr fontId="1" type="noConversion"/>
  </si>
  <si>
    <t>학습내용: 2변수</t>
    <phoneticPr fontId="1" type="noConversion"/>
  </si>
  <si>
    <t>ex1-2: 중력장 공기저항</t>
    <phoneticPr fontId="1" type="noConversion"/>
  </si>
  <si>
    <t>비행거리</t>
    <phoneticPr fontId="1" type="noConversion"/>
  </si>
  <si>
    <t>ifzero함수</t>
    <phoneticPr fontId="1" type="noConversion"/>
  </si>
  <si>
    <t>ifzero</t>
    <phoneticPr fontId="1" type="noConversion"/>
  </si>
  <si>
    <t>입력자동화, VBA매크로</t>
    <phoneticPr fontId="1" type="noConversion"/>
  </si>
  <si>
    <t>Sub anglechange()</t>
    <phoneticPr fontId="1" type="noConversion"/>
  </si>
  <si>
    <t>Dim I As Integer</t>
    <phoneticPr fontId="1" type="noConversion"/>
  </si>
  <si>
    <t>For I = 6 To 60</t>
    <phoneticPr fontId="1" type="noConversion"/>
  </si>
  <si>
    <t xml:space="preserve">     Cells(i,"S")=Cells(3,"L")</t>
    <phoneticPr fontId="1" type="noConversion"/>
  </si>
  <si>
    <t>Next</t>
    <phoneticPr fontId="1" type="noConversion"/>
  </si>
  <si>
    <t>End Sub</t>
    <phoneticPr fontId="1" type="noConversion"/>
  </si>
  <si>
    <t xml:space="preserve">     Cells(4,"D")=Cells(i,"R")</t>
    <phoneticPr fontId="1" type="noConversion"/>
  </si>
  <si>
    <t>데이터 -&gt; 가상분석 -&gt; 목표값 찾기</t>
    <phoneticPr fontId="1" type="noConversion"/>
  </si>
  <si>
    <t xml:space="preserve">학습내용: </t>
    <phoneticPr fontId="1" type="noConversion"/>
  </si>
  <si>
    <t>p180</t>
    <phoneticPr fontId="1" type="noConversion"/>
  </si>
  <si>
    <t>p181</t>
    <phoneticPr fontId="1" type="noConversion"/>
  </si>
  <si>
    <t>p182</t>
    <phoneticPr fontId="1" type="noConversion"/>
  </si>
  <si>
    <t>p183</t>
    <phoneticPr fontId="1" type="noConversion"/>
  </si>
  <si>
    <t>p184</t>
    <phoneticPr fontId="1" type="noConversion"/>
  </si>
  <si>
    <t>p185</t>
    <phoneticPr fontId="1" type="noConversion"/>
  </si>
  <si>
    <t>p186</t>
    <phoneticPr fontId="1" type="noConversion"/>
  </si>
  <si>
    <t>p187</t>
    <phoneticPr fontId="1" type="noConversion"/>
  </si>
  <si>
    <t>p188</t>
    <phoneticPr fontId="1" type="noConversion"/>
  </si>
  <si>
    <t>p189</t>
    <phoneticPr fontId="1" type="noConversion"/>
  </si>
  <si>
    <t>p190</t>
    <phoneticPr fontId="1" type="noConversion"/>
  </si>
  <si>
    <t>p191</t>
    <phoneticPr fontId="1" type="noConversion"/>
  </si>
  <si>
    <t>p192</t>
    <phoneticPr fontId="1" type="noConversion"/>
  </si>
  <si>
    <t>p193</t>
    <phoneticPr fontId="1" type="noConversion"/>
  </si>
  <si>
    <t>p194</t>
    <phoneticPr fontId="1" type="noConversion"/>
  </si>
  <si>
    <t>p195</t>
    <phoneticPr fontId="1" type="noConversion"/>
  </si>
  <si>
    <t>p196</t>
    <phoneticPr fontId="1" type="noConversion"/>
  </si>
  <si>
    <t>p197</t>
    <phoneticPr fontId="1" type="noConversion"/>
  </si>
  <si>
    <t>p198</t>
    <phoneticPr fontId="1" type="noConversion"/>
  </si>
  <si>
    <t>p199</t>
    <phoneticPr fontId="1" type="noConversion"/>
  </si>
  <si>
    <t>p200</t>
    <phoneticPr fontId="1" type="noConversion"/>
  </si>
  <si>
    <t>currnet a</t>
    <phoneticPr fontId="1" type="noConversion"/>
  </si>
  <si>
    <t>멈추려면 ctrl+break(pause)</t>
    <phoneticPr fontId="1" type="noConversion"/>
  </si>
  <si>
    <t>제일 멀리 가기 위한 각도: 45도는 아닌 것을 확인할 수 있음(공기 저항)</t>
    <phoneticPr fontId="1" type="noConversion"/>
  </si>
  <si>
    <t>주어진 k/m(저항/질량)에 따라 ..</t>
    <phoneticPr fontId="1" type="noConversion"/>
  </si>
  <si>
    <t>alt+f11</t>
    <phoneticPr fontId="1" type="noConversion"/>
  </si>
  <si>
    <t>삽입&gt;모듈</t>
    <phoneticPr fontId="1" type="noConversion"/>
  </si>
  <si>
    <t>학습내용: 문자열다루기, 로직</t>
    <phoneticPr fontId="1" type="noConversion"/>
  </si>
  <si>
    <t>Solve</t>
    <phoneticPr fontId="1" type="noConversion"/>
  </si>
  <si>
    <t>f(#)=</t>
    <phoneticPr fontId="1" type="noConversion"/>
  </si>
  <si>
    <t>integration</t>
    <phoneticPr fontId="1" type="noConversion"/>
  </si>
  <si>
    <t>10*exp(-#)*#-1+3*sin(#^2/5)</t>
    <phoneticPr fontId="1" type="noConversion"/>
  </si>
  <si>
    <t>ex8. 그냥 방정식 풀기</t>
    <phoneticPr fontId="1" type="noConversion"/>
  </si>
  <si>
    <t>order*ifzero(순서)</t>
    <phoneticPr fontId="1" type="noConversion"/>
  </si>
  <si>
    <t>index($A6:$A206,match(n-th,$F6:$F206,0))</t>
    <phoneticPr fontId="1" type="noConversion"/>
  </si>
  <si>
    <t>Solution</t>
    <phoneticPr fontId="1" type="noConversion"/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</si>
  <si>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</si>
  <si>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</si>
  <si>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</si>
  <si>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</si>
  <si>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5th</t>
    <phoneticPr fontId="1" type="noConversion"/>
  </si>
  <si>
    <t>6th</t>
    <phoneticPr fontId="1" type="noConversion"/>
  </si>
  <si>
    <t>x=</t>
    <phoneticPr fontId="1" type="noConversion"/>
  </si>
  <si>
    <t>d6*e6</t>
    <phoneticPr fontId="1" type="noConversion"/>
  </si>
  <si>
    <t>sum(e6+d7)</t>
  </si>
  <si>
    <t>b5식에 concatenate 없어도 ok</t>
    <phoneticPr fontId="1" type="noConversion"/>
  </si>
  <si>
    <t>Function eval(Ref As String)</t>
    <phoneticPr fontId="1" type="noConversion"/>
  </si>
  <si>
    <t>Application.Volatile</t>
    <phoneticPr fontId="1" type="noConversion"/>
  </si>
  <si>
    <t>eval=evaluate(Ref)</t>
    <phoneticPr fontId="1" type="noConversion"/>
  </si>
  <si>
    <t>End Function</t>
    <phoneticPr fontId="1" type="noConversion"/>
  </si>
  <si>
    <t>default f(#)=10*exp(-#)*#-1+3*sin(#^2/5)</t>
    <phoneticPr fontId="1" type="noConversion"/>
  </si>
  <si>
    <t>if(b7*b6&lt;=0,1,0)</t>
    <phoneticPr fontId="1" type="noConversion"/>
  </si>
  <si>
    <t>E=k*sum(Q/((x0-x1)^2+(y0-y1)^2)^(3/2)*&lt;x0-x1,y0-y1&gt;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</si>
</sst>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0" fontId="0" fillId="0" borderId="7" xfId="0" applyBorder="1"/>
    <xf numFmtId="0" fontId="0" fillId="0" borderId="8" xfId="0" applyBorder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'ex6'!$Q$6:$Q$488</c:f>
              <c:numCache>
                <c:formatCode>General</c:formatCode>
                <c:ptCount val="483"/>
                <c:pt idx="0">
                  <c:v>-10.141421462303812</c:v>
                </c:pt>
                <c:pt idx="1">
                  <c:v>-10.164264035854194</c:v>
                </c:pt>
                <c:pt idx="2">
                  <c:v>-10.190455981379722</c:v>
                </c:pt>
                <c:pt idx="3">
                  <c:v>-10.219928253759663</c:v>
                </c:pt>
                <c:pt idx="4">
                  <c:v>-10.252204079847926</c:v>
                </c:pt>
                <c:pt idx="5">
                  <c:v>-10.286217044581861</c:v>
                </c:pt>
                <c:pt idx="6">
                  <c:v>-10.320164790174363</c:v>
                </c:pt>
                <c:pt idx="7">
                  <c:v>-10.351496368195029</c:v>
                </c:pt>
                <c:pt idx="8">
                  <c:v>-10.377146957687179</c:v>
                </c:pt>
                <c:pt idx="9">
                  <c:v>-10.394074719992568</c:v>
                </c:pt>
                <c:pt idx="10">
                  <c:v>-10.40000059999675</c:v>
                </c:pt>
                <c:pt idx="11">
                  <c:v>-10.394074719992568</c:v>
                </c:pt>
                <c:pt idx="12">
                  <c:v>-10.377146957687179</c:v>
                </c:pt>
                <c:pt idx="13">
                  <c:v>-10.351496368195029</c:v>
                </c:pt>
                <c:pt idx="14">
                  <c:v>-10.320164790174363</c:v>
                </c:pt>
                <c:pt idx="15">
                  <c:v>-10.286217044581861</c:v>
                </c:pt>
                <c:pt idx="16">
                  <c:v>-10.252204079847926</c:v>
                </c:pt>
                <c:pt idx="17">
                  <c:v>-10.219928253759663</c:v>
                </c:pt>
                <c:pt idx="18">
                  <c:v>-10.190455981379722</c:v>
                </c:pt>
                <c:pt idx="19">
                  <c:v>-10.164264035854194</c:v>
                </c:pt>
                <c:pt idx="20">
                  <c:v>-10.141421462303812</c:v>
                </c:pt>
                <c:pt idx="21">
                  <c:v>-9.1478376322686081</c:v>
                </c:pt>
                <c:pt idx="22">
                  <c:v>-9.1745944286219139</c:v>
                </c:pt>
                <c:pt idx="23">
                  <c:v>-9.2061820943092787</c:v>
                </c:pt>
                <c:pt idx="24">
                  <c:v>-9.2428778855922058</c:v>
                </c:pt>
                <c:pt idx="25">
                  <c:v>-9.2844620037873149</c:v>
                </c:pt>
                <c:pt idx="26">
                  <c:v>-9.3298711370361858</c:v>
                </c:pt>
                <c:pt idx="27">
                  <c:v>-9.3768300873148327</c:v>
                </c:pt>
                <c:pt idx="28">
                  <c:v>-9.4216377240854801</c:v>
                </c:pt>
                <c:pt idx="29">
                  <c:v>-9.459382956641571</c:v>
                </c:pt>
                <c:pt idx="30">
                  <c:v>-9.4848222208506261</c:v>
                </c:pt>
                <c:pt idx="31">
                  <c:v>-9.4938280749824528</c:v>
                </c:pt>
                <c:pt idx="32">
                  <c:v>-9.4848222208506261</c:v>
                </c:pt>
                <c:pt idx="33">
                  <c:v>-9.459382956641571</c:v>
                </c:pt>
                <c:pt idx="34">
                  <c:v>-9.4216377240854801</c:v>
                </c:pt>
                <c:pt idx="35">
                  <c:v>-9.3768300873148327</c:v>
                </c:pt>
                <c:pt idx="36">
                  <c:v>-9.3298711370361858</c:v>
                </c:pt>
                <c:pt idx="37">
                  <c:v>-9.2844620037873149</c:v>
                </c:pt>
                <c:pt idx="38">
                  <c:v>-9.2428778855922058</c:v>
                </c:pt>
                <c:pt idx="39">
                  <c:v>-9.2061820943092787</c:v>
                </c:pt>
                <c:pt idx="40">
                  <c:v>-9.1745944286219139</c:v>
                </c:pt>
                <c:pt idx="41">
                  <c:v>-9.1478376322686081</c:v>
                </c:pt>
                <c:pt idx="42">
                  <c:v>-8.1523647851033427</c:v>
                </c:pt>
                <c:pt idx="43">
                  <c:v>-8.1832729727190028</c:v>
                </c:pt>
                <c:pt idx="44">
                  <c:v>-8.2209711280728879</c:v>
                </c:pt>
                <c:pt idx="45">
                  <c:v>-8.266399183614709</c:v>
                </c:pt>
                <c:pt idx="46">
                  <c:v>-8.32000048000498</c:v>
                </c:pt>
                <c:pt idx="47">
                  <c:v>-8.3811234756092343</c:v>
                </c:pt>
                <c:pt idx="48">
                  <c:v>-8.4472144340324888</c:v>
                </c:pt>
                <c:pt idx="49">
                  <c:v>-8.5130581378307735</c:v>
                </c:pt>
                <c:pt idx="50">
                  <c:v>-8.5706733177426351</c:v>
                </c:pt>
                <c:pt idx="51">
                  <c:v>-8.6106339486590446</c:v>
                </c:pt>
                <c:pt idx="52">
                  <c:v>-8.6250014648313531</c:v>
                </c:pt>
                <c:pt idx="53">
                  <c:v>-8.6106339486590446</c:v>
                </c:pt>
                <c:pt idx="54">
                  <c:v>-8.5706733177426369</c:v>
                </c:pt>
                <c:pt idx="55">
                  <c:v>-8.5130581378307735</c:v>
                </c:pt>
                <c:pt idx="56">
                  <c:v>-8.4472144340324888</c:v>
                </c:pt>
                <c:pt idx="57">
                  <c:v>-8.3811234756092343</c:v>
                </c:pt>
                <c:pt idx="58">
                  <c:v>-8.32000048000498</c:v>
                </c:pt>
                <c:pt idx="59">
                  <c:v>-8.266399183614709</c:v>
                </c:pt>
                <c:pt idx="60">
                  <c:v>-8.2209711280728879</c:v>
                </c:pt>
                <c:pt idx="61">
                  <c:v>-8.1832729727190028</c:v>
                </c:pt>
                <c:pt idx="62">
                  <c:v>-8.1523647851033427</c:v>
                </c:pt>
                <c:pt idx="63">
                  <c:v>-7.1539497776309329</c:v>
                </c:pt>
                <c:pt idx="64">
                  <c:v>-7.1889050221263071</c:v>
                </c:pt>
                <c:pt idx="65">
                  <c:v>-7.2330992856620231</c:v>
                </c:pt>
                <c:pt idx="66">
                  <c:v>-7.2886154544910076</c:v>
                </c:pt>
                <c:pt idx="67">
                  <c:v>-7.3572978551746742</c:v>
                </c:pt>
                <c:pt idx="68">
                  <c:v>-7.4398568219941543</c:v>
                </c:pt>
                <c:pt idx="69">
                  <c:v>-7.5343047051003929</c:v>
                </c:pt>
                <c:pt idx="70">
                  <c:v>-7.6338947635425161</c:v>
                </c:pt>
                <c:pt idx="71">
                  <c:v>-7.7256805048571913</c:v>
                </c:pt>
                <c:pt idx="72">
                  <c:v>-7.7919619707895409</c:v>
                </c:pt>
                <c:pt idx="73">
                  <c:v>-7.8163290295433878</c:v>
                </c:pt>
                <c:pt idx="74">
                  <c:v>-7.7919619707895409</c:v>
                </c:pt>
                <c:pt idx="75">
                  <c:v>-7.7256805048571913</c:v>
                </c:pt>
                <c:pt idx="76">
                  <c:v>-7.6338947635425161</c:v>
                </c:pt>
                <c:pt idx="77">
                  <c:v>-7.5343047051003929</c:v>
                </c:pt>
                <c:pt idx="78">
                  <c:v>-7.4398568219941543</c:v>
                </c:pt>
                <c:pt idx="79">
                  <c:v>-7.3572978551746742</c:v>
                </c:pt>
                <c:pt idx="80">
                  <c:v>-7.2886154544910076</c:v>
                </c:pt>
                <c:pt idx="81">
                  <c:v>-7.2330992856620231</c:v>
                </c:pt>
                <c:pt idx="82">
                  <c:v>-7.1889050221263071</c:v>
                </c:pt>
                <c:pt idx="83">
                  <c:v>-7.1539497776309329</c:v>
                </c:pt>
                <c:pt idx="84">
                  <c:v>-6.1513224479074085</c:v>
                </c:pt>
                <c:pt idx="85">
                  <c:v>-6.1896413358563453</c:v>
                </c:pt>
                <c:pt idx="86">
                  <c:v>-6.2400003600013836</c:v>
                </c:pt>
                <c:pt idx="87">
                  <c:v>-6.306255304433166</c:v>
                </c:pt>
                <c:pt idx="88">
                  <c:v>-6.3928379190802387</c:v>
                </c:pt>
                <c:pt idx="89">
                  <c:v>-6.5037528975071179</c:v>
                </c:pt>
                <c:pt idx="90">
                  <c:v>-6.640040534252325</c:v>
                </c:pt>
                <c:pt idx="91">
                  <c:v>-6.7950490421941208</c:v>
                </c:pt>
                <c:pt idx="92">
                  <c:v>-6.9486868556280008</c:v>
                </c:pt>
                <c:pt idx="93">
                  <c:v>-7.0663761326388244</c:v>
                </c:pt>
                <c:pt idx="94">
                  <c:v>-7.1111157406710817</c:v>
                </c:pt>
                <c:pt idx="95">
                  <c:v>-7.0663761326388244</c:v>
                </c:pt>
                <c:pt idx="96">
                  <c:v>-6.9486868556280008</c:v>
                </c:pt>
                <c:pt idx="97">
                  <c:v>-6.7950490421941208</c:v>
                </c:pt>
                <c:pt idx="98">
                  <c:v>-6.640040534252325</c:v>
                </c:pt>
                <c:pt idx="99">
                  <c:v>-6.5037528975071179</c:v>
                </c:pt>
                <c:pt idx="100">
                  <c:v>-6.3928379190802387</c:v>
                </c:pt>
                <c:pt idx="101">
                  <c:v>-6.306255304433166</c:v>
                </c:pt>
                <c:pt idx="102">
                  <c:v>-6.2400003600013836</c:v>
                </c:pt>
                <c:pt idx="103">
                  <c:v>-6.1896413358563453</c:v>
                </c:pt>
                <c:pt idx="104">
                  <c:v>-6.1513224479074085</c:v>
                </c:pt>
                <c:pt idx="105">
                  <c:v>-5.1431085222890065</c:v>
                </c:pt>
                <c:pt idx="106">
                  <c:v>-5.1832617427948646</c:v>
                </c:pt>
                <c:pt idx="107">
                  <c:v>-5.2382021722511594</c:v>
                </c:pt>
                <c:pt idx="108">
                  <c:v>-5.3141834442750264</c:v>
                </c:pt>
                <c:pt idx="109">
                  <c:v>-5.4197940812488117</c:v>
                </c:pt>
                <c:pt idx="110">
                  <c:v>-5.5656871220366257</c:v>
                </c:pt>
                <c:pt idx="111">
                  <c:v>-5.7618260159541874</c:v>
                </c:pt>
                <c:pt idx="112">
                  <c:v>-6.0088196574917303</c:v>
                </c:pt>
                <c:pt idx="113">
                  <c:v>-6.2806641288478069</c:v>
                </c:pt>
                <c:pt idx="114">
                  <c:v>-6.5085943582065111</c:v>
                </c:pt>
                <c:pt idx="115">
                  <c:v>-6.6000095997919992</c:v>
                </c:pt>
                <c:pt idx="116">
                  <c:v>-6.5085943582065111</c:v>
                </c:pt>
                <c:pt idx="117">
                  <c:v>-6.2806641288478069</c:v>
                </c:pt>
                <c:pt idx="118">
                  <c:v>-6.0088196574917303</c:v>
                </c:pt>
                <c:pt idx="119">
                  <c:v>-5.7618260159541874</c:v>
                </c:pt>
                <c:pt idx="120">
                  <c:v>-5.5656871220366257</c:v>
                </c:pt>
                <c:pt idx="121">
                  <c:v>-5.4197940812488117</c:v>
                </c:pt>
                <c:pt idx="122">
                  <c:v>-5.3141834442750264</c:v>
                </c:pt>
                <c:pt idx="123">
                  <c:v>-5.2382021722511594</c:v>
                </c:pt>
                <c:pt idx="124">
                  <c:v>-5.1832617427948646</c:v>
                </c:pt>
                <c:pt idx="125">
                  <c:v>-5.1431085222890065</c:v>
                </c:pt>
                <c:pt idx="126">
                  <c:v>-4.1280659160673334</c:v>
                </c:pt>
                <c:pt idx="127">
                  <c:v>-4.1674800388024176</c:v>
                </c:pt>
                <c:pt idx="128">
                  <c:v>-4.2236072170089081</c:v>
                </c:pt>
                <c:pt idx="129">
                  <c:v>-4.3053169743302409</c:v>
                </c:pt>
                <c:pt idx="130">
                  <c:v>-4.4266936894803068</c:v>
                </c:pt>
                <c:pt idx="131">
                  <c:v>-4.6094608127354952</c:v>
                </c:pt>
                <c:pt idx="132">
                  <c:v>-4.883887619805666</c:v>
                </c:pt>
                <c:pt idx="133">
                  <c:v>-5.2800076803187324</c:v>
                </c:pt>
                <c:pt idx="134">
                  <c:v>-5.7888677988582673</c:v>
                </c:pt>
                <c:pt idx="135">
                  <c:v>-6.2827083768872161</c:v>
                </c:pt>
                <c:pt idx="136">
                  <c:v>-6.5000234367065381</c:v>
                </c:pt>
                <c:pt idx="137">
                  <c:v>-6.2827083768872161</c:v>
                </c:pt>
                <c:pt idx="138">
                  <c:v>-5.7888677988582673</c:v>
                </c:pt>
                <c:pt idx="139">
                  <c:v>-5.2800076803187324</c:v>
                </c:pt>
                <c:pt idx="140">
                  <c:v>-4.883887619805666</c:v>
                </c:pt>
                <c:pt idx="141">
                  <c:v>-4.6094608127354952</c:v>
                </c:pt>
                <c:pt idx="142">
                  <c:v>-4.4266936894803068</c:v>
                </c:pt>
                <c:pt idx="143">
                  <c:v>-4.3053169743302409</c:v>
                </c:pt>
                <c:pt idx="144">
                  <c:v>-4.2236072170089081</c:v>
                </c:pt>
                <c:pt idx="145">
                  <c:v>-4.1674800388024176</c:v>
                </c:pt>
                <c:pt idx="146">
                  <c:v>-4.1280659160673334</c:v>
                </c:pt>
                <c:pt idx="147">
                  <c:v>-3.1054489104559155</c:v>
                </c:pt>
                <c:pt idx="148">
                  <c:v>-3.1405459080236349</c:v>
                </c:pt>
                <c:pt idx="149">
                  <c:v>-3.1923968016770194</c:v>
                </c:pt>
                <c:pt idx="150">
                  <c:v>-3.2716691843558712</c:v>
                </c:pt>
                <c:pt idx="151">
                  <c:v>-3.397524521055836</c:v>
                </c:pt>
                <c:pt idx="152">
                  <c:v>-3.6052917944087968</c:v>
                </c:pt>
                <c:pt idx="153">
                  <c:v>-3.9600057600885208</c:v>
                </c:pt>
                <c:pt idx="154">
                  <c:v>-4.571361497873653</c:v>
                </c:pt>
                <c:pt idx="155">
                  <c:v>-5.5601842942761328</c:v>
                </c:pt>
                <c:pt idx="156">
                  <c:v>-6.7947901141676121</c:v>
                </c:pt>
                <c:pt idx="157">
                  <c:v>-7.4445185140603067</c:v>
                </c:pt>
                <c:pt idx="158">
                  <c:v>-6.7947901141676121</c:v>
                </c:pt>
                <c:pt idx="159">
                  <c:v>-5.5601842942761328</c:v>
                </c:pt>
                <c:pt idx="160">
                  <c:v>-4.571361497873653</c:v>
                </c:pt>
                <c:pt idx="161">
                  <c:v>-3.9600057600885208</c:v>
                </c:pt>
                <c:pt idx="162">
                  <c:v>-3.6052917944087968</c:v>
                </c:pt>
                <c:pt idx="163">
                  <c:v>-3.397524521055836</c:v>
                </c:pt>
                <c:pt idx="164">
                  <c:v>-3.2716691843558712</c:v>
                </c:pt>
                <c:pt idx="165">
                  <c:v>-3.1923968016770194</c:v>
                </c:pt>
                <c:pt idx="166">
                  <c:v>-3.1405459080236349</c:v>
                </c:pt>
                <c:pt idx="167">
                  <c:v>-3.1054489104559155</c:v>
                </c:pt>
                <c:pt idx="168">
                  <c:v>-2.0754293915351827</c:v>
                </c:pt>
                <c:pt idx="169">
                  <c:v>-2.1020851014714248</c:v>
                </c:pt>
                <c:pt idx="170">
                  <c:v>-2.1426683294261304</c:v>
                </c:pt>
                <c:pt idx="171">
                  <c:v>-2.20733728708012</c:v>
                </c:pt>
                <c:pt idx="172">
                  <c:v>-2.3162289518206602</c:v>
                </c:pt>
                <c:pt idx="173">
                  <c:v>-2.5122656513847441</c:v>
                </c:pt>
                <c:pt idx="174">
                  <c:v>-2.8944338989595573</c:v>
                </c:pt>
                <c:pt idx="175">
                  <c:v>-3.7067895281579002</c:v>
                </c:pt>
                <c:pt idx="176">
                  <c:v>-5.5356002047894801</c:v>
                </c:pt>
                <c:pt idx="177">
                  <c:v>-9.1556322193622499</c:v>
                </c:pt>
                <c:pt idx="178">
                  <c:v>-12.000374949217452</c:v>
                </c:pt>
                <c:pt idx="179">
                  <c:v>-9.1556322193622499</c:v>
                </c:pt>
                <c:pt idx="180">
                  <c:v>-5.5356002047894801</c:v>
                </c:pt>
                <c:pt idx="181">
                  <c:v>-3.7067895281579006</c:v>
                </c:pt>
                <c:pt idx="182">
                  <c:v>-2.8944338989595573</c:v>
                </c:pt>
                <c:pt idx="183">
                  <c:v>-2.5122656513847441</c:v>
                </c:pt>
                <c:pt idx="184">
                  <c:v>-2.3162289518206602</c:v>
                </c:pt>
                <c:pt idx="185">
                  <c:v>-2.20733728708012</c:v>
                </c:pt>
                <c:pt idx="186">
                  <c:v>-2.1426683294261304</c:v>
                </c:pt>
                <c:pt idx="187">
                  <c:v>-2.1020851014714248</c:v>
                </c:pt>
                <c:pt idx="188">
                  <c:v>-2.0754293915351827</c:v>
                </c:pt>
                <c:pt idx="189">
                  <c:v>-1.0394074719979316</c:v>
                </c:pt>
                <c:pt idx="190">
                  <c:v>-1.053869135647334</c:v>
                </c:pt>
                <c:pt idx="191">
                  <c:v>-1.0763292435762519</c:v>
                </c:pt>
                <c:pt idx="192">
                  <c:v>-1.1131374243833001</c:v>
                </c:pt>
                <c:pt idx="193">
                  <c:v>-1.1777293553968218</c:v>
                </c:pt>
                <c:pt idx="194">
                  <c:v>-1.3017188714971037</c:v>
                </c:pt>
                <c:pt idx="195">
                  <c:v>-1.5706770936119845</c:v>
                </c:pt>
                <c:pt idx="196">
                  <c:v>-2.2649300345140881</c:v>
                </c:pt>
                <c:pt idx="197">
                  <c:v>-4.57781607962783</c:v>
                </c:pt>
                <c:pt idx="198">
                  <c:v>-15.143196770072681</c:v>
                </c:pt>
                <c:pt idx="199">
                  <c:v>-41.005996749667673</c:v>
                </c:pt>
                <c:pt idx="200">
                  <c:v>-15.143196770072681</c:v>
                </c:pt>
                <c:pt idx="201">
                  <c:v>-4.5778160796278309</c:v>
                </c:pt>
                <c:pt idx="202">
                  <c:v>-2.2649300345140881</c:v>
                </c:pt>
                <c:pt idx="203">
                  <c:v>-1.5706770936119845</c:v>
                </c:pt>
                <c:pt idx="204">
                  <c:v>-1.3017188714971037</c:v>
                </c:pt>
                <c:pt idx="205">
                  <c:v>-1.1777293553968218</c:v>
                </c:pt>
                <c:pt idx="206">
                  <c:v>-1.1131374243833001</c:v>
                </c:pt>
                <c:pt idx="207">
                  <c:v>-1.0763292435762519</c:v>
                </c:pt>
                <c:pt idx="208">
                  <c:v>-1.053869135647334</c:v>
                </c:pt>
                <c:pt idx="209">
                  <c:v>-1.0394074719979316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1.0394074719979316</c:v>
                </c:pt>
                <c:pt idx="232">
                  <c:v>1.053869135647334</c:v>
                </c:pt>
                <c:pt idx="233">
                  <c:v>1.0763292435762519</c:v>
                </c:pt>
                <c:pt idx="234">
                  <c:v>1.1131374243833001</c:v>
                </c:pt>
                <c:pt idx="235">
                  <c:v>1.1777293553968218</c:v>
                </c:pt>
                <c:pt idx="236">
                  <c:v>1.3017188714971037</c:v>
                </c:pt>
                <c:pt idx="237">
                  <c:v>1.5706770936119843</c:v>
                </c:pt>
                <c:pt idx="238">
                  <c:v>2.2649300345140881</c:v>
                </c:pt>
                <c:pt idx="239">
                  <c:v>4.57781607962783</c:v>
                </c:pt>
                <c:pt idx="240">
                  <c:v>15.143196770072681</c:v>
                </c:pt>
                <c:pt idx="241">
                  <c:v>41.005996749667673</c:v>
                </c:pt>
                <c:pt idx="242">
                  <c:v>15.143196770072681</c:v>
                </c:pt>
                <c:pt idx="243">
                  <c:v>4.5778160796278309</c:v>
                </c:pt>
                <c:pt idx="244">
                  <c:v>2.2649300345140877</c:v>
                </c:pt>
                <c:pt idx="245">
                  <c:v>1.5706770936119845</c:v>
                </c:pt>
                <c:pt idx="246">
                  <c:v>1.3017188714971037</c:v>
                </c:pt>
                <c:pt idx="247">
                  <c:v>1.1777293553968218</c:v>
                </c:pt>
                <c:pt idx="248">
                  <c:v>1.1131374243833001</c:v>
                </c:pt>
                <c:pt idx="249">
                  <c:v>1.0763292435762519</c:v>
                </c:pt>
                <c:pt idx="250">
                  <c:v>1.053869135647334</c:v>
                </c:pt>
                <c:pt idx="251">
                  <c:v>1.0394074719979316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1.0394074719979316</c:v>
                </c:pt>
                <c:pt idx="274">
                  <c:v>1.053869135647334</c:v>
                </c:pt>
                <c:pt idx="275">
                  <c:v>1.0763292435762519</c:v>
                </c:pt>
                <c:pt idx="276">
                  <c:v>1.1131374243833001</c:v>
                </c:pt>
                <c:pt idx="277">
                  <c:v>1.1777293553968218</c:v>
                </c:pt>
                <c:pt idx="278">
                  <c:v>1.3017188714971037</c:v>
                </c:pt>
                <c:pt idx="279">
                  <c:v>1.5706770936119843</c:v>
                </c:pt>
                <c:pt idx="280">
                  <c:v>2.2649300345140881</c:v>
                </c:pt>
                <c:pt idx="281">
                  <c:v>4.57781607962783</c:v>
                </c:pt>
                <c:pt idx="282">
                  <c:v>15.143196770072681</c:v>
                </c:pt>
                <c:pt idx="283">
                  <c:v>41.005996749667673</c:v>
                </c:pt>
                <c:pt idx="284">
                  <c:v>15.143196770072681</c:v>
                </c:pt>
                <c:pt idx="285">
                  <c:v>4.5778160796278309</c:v>
                </c:pt>
                <c:pt idx="286">
                  <c:v>2.2649300345140877</c:v>
                </c:pt>
                <c:pt idx="287">
                  <c:v>1.5706770936119845</c:v>
                </c:pt>
                <c:pt idx="288">
                  <c:v>1.3017188714971037</c:v>
                </c:pt>
                <c:pt idx="289">
                  <c:v>1.1777293553968218</c:v>
                </c:pt>
                <c:pt idx="290">
                  <c:v>1.1131374243833001</c:v>
                </c:pt>
                <c:pt idx="291">
                  <c:v>1.0763292435762519</c:v>
                </c:pt>
                <c:pt idx="292">
                  <c:v>1.053869135647334</c:v>
                </c:pt>
                <c:pt idx="293">
                  <c:v>1.0394074719979316</c:v>
                </c:pt>
                <c:pt idx="294">
                  <c:v>2.0754293915351827</c:v>
                </c:pt>
                <c:pt idx="295">
                  <c:v>2.1020851014714248</c:v>
                </c:pt>
                <c:pt idx="296">
                  <c:v>2.1426683294261304</c:v>
                </c:pt>
                <c:pt idx="297">
                  <c:v>2.20733728708012</c:v>
                </c:pt>
                <c:pt idx="298">
                  <c:v>2.3162289518206602</c:v>
                </c:pt>
                <c:pt idx="299">
                  <c:v>2.5122656513847441</c:v>
                </c:pt>
                <c:pt idx="300">
                  <c:v>2.8944338989595573</c:v>
                </c:pt>
                <c:pt idx="301">
                  <c:v>3.7067895281579006</c:v>
                </c:pt>
                <c:pt idx="302">
                  <c:v>5.5356002047894801</c:v>
                </c:pt>
                <c:pt idx="303">
                  <c:v>9.1556322193622499</c:v>
                </c:pt>
                <c:pt idx="304">
                  <c:v>12.000374949217452</c:v>
                </c:pt>
                <c:pt idx="305">
                  <c:v>9.1556322193622499</c:v>
                </c:pt>
                <c:pt idx="306">
                  <c:v>5.5356002047894801</c:v>
                </c:pt>
                <c:pt idx="307">
                  <c:v>3.7067895281579002</c:v>
                </c:pt>
                <c:pt idx="308">
                  <c:v>2.8944338989595568</c:v>
                </c:pt>
                <c:pt idx="309">
                  <c:v>2.5122656513847441</c:v>
                </c:pt>
                <c:pt idx="310">
                  <c:v>2.3162289518206602</c:v>
                </c:pt>
                <c:pt idx="311">
                  <c:v>2.20733728708012</c:v>
                </c:pt>
                <c:pt idx="312">
                  <c:v>2.1426683294261304</c:v>
                </c:pt>
                <c:pt idx="313">
                  <c:v>2.1020851014714248</c:v>
                </c:pt>
                <c:pt idx="314">
                  <c:v>2.0754293915351827</c:v>
                </c:pt>
                <c:pt idx="315">
                  <c:v>3.1054489104559155</c:v>
                </c:pt>
                <c:pt idx="316">
                  <c:v>3.1405459080236349</c:v>
                </c:pt>
                <c:pt idx="317">
                  <c:v>3.1923968016770194</c:v>
                </c:pt>
                <c:pt idx="318">
                  <c:v>3.2716691843558712</c:v>
                </c:pt>
                <c:pt idx="319">
                  <c:v>3.397524521055836</c:v>
                </c:pt>
                <c:pt idx="320">
                  <c:v>3.6052917944087968</c:v>
                </c:pt>
                <c:pt idx="321">
                  <c:v>3.9600057600885203</c:v>
                </c:pt>
                <c:pt idx="322">
                  <c:v>4.571361497873653</c:v>
                </c:pt>
                <c:pt idx="323">
                  <c:v>5.5601842942761328</c:v>
                </c:pt>
                <c:pt idx="324">
                  <c:v>6.7947901141676121</c:v>
                </c:pt>
                <c:pt idx="325">
                  <c:v>7.4445185140603067</c:v>
                </c:pt>
                <c:pt idx="326">
                  <c:v>6.7947901141676121</c:v>
                </c:pt>
                <c:pt idx="327">
                  <c:v>5.5601842942761328</c:v>
                </c:pt>
                <c:pt idx="328">
                  <c:v>4.571361497873653</c:v>
                </c:pt>
                <c:pt idx="329">
                  <c:v>3.9600057600885208</c:v>
                </c:pt>
                <c:pt idx="330">
                  <c:v>3.6052917944087968</c:v>
                </c:pt>
                <c:pt idx="331">
                  <c:v>3.397524521055836</c:v>
                </c:pt>
                <c:pt idx="332">
                  <c:v>3.2716691843558712</c:v>
                </c:pt>
                <c:pt idx="333">
                  <c:v>3.1923968016770194</c:v>
                </c:pt>
                <c:pt idx="334">
                  <c:v>3.1405459080236349</c:v>
                </c:pt>
                <c:pt idx="335">
                  <c:v>3.1054489104559155</c:v>
                </c:pt>
                <c:pt idx="336">
                  <c:v>4.1280659160673334</c:v>
                </c:pt>
                <c:pt idx="337">
                  <c:v>4.1674800388024176</c:v>
                </c:pt>
                <c:pt idx="338">
                  <c:v>4.2236072170089081</c:v>
                </c:pt>
                <c:pt idx="339">
                  <c:v>4.3053169743302409</c:v>
                </c:pt>
                <c:pt idx="340">
                  <c:v>4.4266936894803077</c:v>
                </c:pt>
                <c:pt idx="341">
                  <c:v>4.6094608127354952</c:v>
                </c:pt>
                <c:pt idx="342">
                  <c:v>4.883887619805666</c:v>
                </c:pt>
                <c:pt idx="343">
                  <c:v>5.2800076803187324</c:v>
                </c:pt>
                <c:pt idx="344">
                  <c:v>5.7888677988582673</c:v>
                </c:pt>
                <c:pt idx="345">
                  <c:v>6.2827083768872161</c:v>
                </c:pt>
                <c:pt idx="346">
                  <c:v>6.5000234367065381</c:v>
                </c:pt>
                <c:pt idx="347">
                  <c:v>6.2827083768872161</c:v>
                </c:pt>
                <c:pt idx="348">
                  <c:v>5.7888677988582673</c:v>
                </c:pt>
                <c:pt idx="349">
                  <c:v>5.2800076803187324</c:v>
                </c:pt>
                <c:pt idx="350">
                  <c:v>4.883887619805666</c:v>
                </c:pt>
                <c:pt idx="351">
                  <c:v>4.6094608127354952</c:v>
                </c:pt>
                <c:pt idx="352">
                  <c:v>4.4266936894803077</c:v>
                </c:pt>
                <c:pt idx="353">
                  <c:v>4.3053169743302409</c:v>
                </c:pt>
                <c:pt idx="354">
                  <c:v>4.2236072170089081</c:v>
                </c:pt>
                <c:pt idx="355">
                  <c:v>4.1674800388024176</c:v>
                </c:pt>
                <c:pt idx="356">
                  <c:v>4.1280659160673334</c:v>
                </c:pt>
                <c:pt idx="357">
                  <c:v>5.1431085222890065</c:v>
                </c:pt>
                <c:pt idx="358">
                  <c:v>5.1832617427948646</c:v>
                </c:pt>
                <c:pt idx="359">
                  <c:v>5.2382021722511594</c:v>
                </c:pt>
                <c:pt idx="360">
                  <c:v>5.3141834442750264</c:v>
                </c:pt>
                <c:pt idx="361">
                  <c:v>5.4197940812488117</c:v>
                </c:pt>
                <c:pt idx="362">
                  <c:v>5.5656871220366257</c:v>
                </c:pt>
                <c:pt idx="363">
                  <c:v>5.7618260159541874</c:v>
                </c:pt>
                <c:pt idx="364">
                  <c:v>6.0088196574917303</c:v>
                </c:pt>
                <c:pt idx="365">
                  <c:v>6.2806641288478069</c:v>
                </c:pt>
                <c:pt idx="366">
                  <c:v>6.5085943582065102</c:v>
                </c:pt>
                <c:pt idx="367">
                  <c:v>6.6000095997919992</c:v>
                </c:pt>
                <c:pt idx="368">
                  <c:v>6.5085943582065102</c:v>
                </c:pt>
                <c:pt idx="369">
                  <c:v>6.2806641288478069</c:v>
                </c:pt>
                <c:pt idx="370">
                  <c:v>6.0088196574917303</c:v>
                </c:pt>
                <c:pt idx="371">
                  <c:v>5.7618260159541874</c:v>
                </c:pt>
                <c:pt idx="372">
                  <c:v>5.5656871220366257</c:v>
                </c:pt>
                <c:pt idx="373">
                  <c:v>5.4197940812488117</c:v>
                </c:pt>
                <c:pt idx="374">
                  <c:v>5.3141834442750264</c:v>
                </c:pt>
                <c:pt idx="375">
                  <c:v>5.2382021722511594</c:v>
                </c:pt>
                <c:pt idx="376">
                  <c:v>5.1832617427948646</c:v>
                </c:pt>
                <c:pt idx="377">
                  <c:v>5.1431085222890065</c:v>
                </c:pt>
                <c:pt idx="378">
                  <c:v>6.1513224479074085</c:v>
                </c:pt>
                <c:pt idx="379">
                  <c:v>6.1896413358563453</c:v>
                </c:pt>
                <c:pt idx="380">
                  <c:v>6.2400003600013836</c:v>
                </c:pt>
                <c:pt idx="381">
                  <c:v>6.306255304433166</c:v>
                </c:pt>
                <c:pt idx="382">
                  <c:v>6.3928379190802387</c:v>
                </c:pt>
                <c:pt idx="383">
                  <c:v>6.5037528975071179</c:v>
                </c:pt>
                <c:pt idx="384">
                  <c:v>6.640040534252325</c:v>
                </c:pt>
                <c:pt idx="385">
                  <c:v>6.7950490421941208</c:v>
                </c:pt>
                <c:pt idx="386">
                  <c:v>6.9486868556280008</c:v>
                </c:pt>
                <c:pt idx="387">
                  <c:v>7.0663761326388244</c:v>
                </c:pt>
                <c:pt idx="388">
                  <c:v>7.1111157406710817</c:v>
                </c:pt>
                <c:pt idx="389">
                  <c:v>7.0663761326388244</c:v>
                </c:pt>
                <c:pt idx="390">
                  <c:v>6.9486868556280008</c:v>
                </c:pt>
                <c:pt idx="391">
                  <c:v>6.7950490421941208</c:v>
                </c:pt>
                <c:pt idx="392">
                  <c:v>6.640040534252325</c:v>
                </c:pt>
                <c:pt idx="393">
                  <c:v>6.5037528975071179</c:v>
                </c:pt>
                <c:pt idx="394">
                  <c:v>6.3928379190802387</c:v>
                </c:pt>
                <c:pt idx="395">
                  <c:v>6.306255304433166</c:v>
                </c:pt>
                <c:pt idx="396">
                  <c:v>6.2400003600013836</c:v>
                </c:pt>
                <c:pt idx="397">
                  <c:v>6.1896413358563453</c:v>
                </c:pt>
                <c:pt idx="398">
                  <c:v>6.1513224479074085</c:v>
                </c:pt>
                <c:pt idx="399">
                  <c:v>7.1539497776309329</c:v>
                </c:pt>
                <c:pt idx="400">
                  <c:v>7.188905022126308</c:v>
                </c:pt>
                <c:pt idx="401">
                  <c:v>7.2330992856620231</c:v>
                </c:pt>
                <c:pt idx="402">
                  <c:v>7.2886154544910076</c:v>
                </c:pt>
                <c:pt idx="403">
                  <c:v>7.3572978551746742</c:v>
                </c:pt>
                <c:pt idx="404">
                  <c:v>7.4398568219941543</c:v>
                </c:pt>
                <c:pt idx="405">
                  <c:v>7.5343047051003929</c:v>
                </c:pt>
                <c:pt idx="406">
                  <c:v>7.6338947635425161</c:v>
                </c:pt>
                <c:pt idx="407">
                  <c:v>7.7256805048571913</c:v>
                </c:pt>
                <c:pt idx="408">
                  <c:v>7.7919619707895409</c:v>
                </c:pt>
                <c:pt idx="409">
                  <c:v>7.8163290295433878</c:v>
                </c:pt>
                <c:pt idx="410">
                  <c:v>7.7919619707895409</c:v>
                </c:pt>
                <c:pt idx="411">
                  <c:v>7.7256805048571913</c:v>
                </c:pt>
                <c:pt idx="412">
                  <c:v>7.6338947635425161</c:v>
                </c:pt>
                <c:pt idx="413">
                  <c:v>7.5343047051003929</c:v>
                </c:pt>
                <c:pt idx="414">
                  <c:v>7.4398568219941543</c:v>
                </c:pt>
                <c:pt idx="415">
                  <c:v>7.3572978551746742</c:v>
                </c:pt>
                <c:pt idx="416">
                  <c:v>7.2886154544910076</c:v>
                </c:pt>
                <c:pt idx="417">
                  <c:v>7.2330992856620231</c:v>
                </c:pt>
                <c:pt idx="418">
                  <c:v>7.1889050221263071</c:v>
                </c:pt>
                <c:pt idx="419">
                  <c:v>7.1539497776309329</c:v>
                </c:pt>
                <c:pt idx="420">
                  <c:v>8.1523647851033427</c:v>
                </c:pt>
                <c:pt idx="421">
                  <c:v>8.1832729727190028</c:v>
                </c:pt>
                <c:pt idx="422">
                  <c:v>8.2209711280728879</c:v>
                </c:pt>
                <c:pt idx="423">
                  <c:v>8.266399183614709</c:v>
                </c:pt>
                <c:pt idx="424">
                  <c:v>8.32000048000498</c:v>
                </c:pt>
                <c:pt idx="425">
                  <c:v>8.3811234756092343</c:v>
                </c:pt>
                <c:pt idx="426">
                  <c:v>8.4472144340324888</c:v>
                </c:pt>
                <c:pt idx="427">
                  <c:v>8.5130581378307735</c:v>
                </c:pt>
                <c:pt idx="428">
                  <c:v>8.5706733177426351</c:v>
                </c:pt>
                <c:pt idx="429">
                  <c:v>8.6106339486590446</c:v>
                </c:pt>
                <c:pt idx="430">
                  <c:v>8.6250014648313531</c:v>
                </c:pt>
                <c:pt idx="431">
                  <c:v>8.6106339486590446</c:v>
                </c:pt>
                <c:pt idx="432">
                  <c:v>8.5706733177426369</c:v>
                </c:pt>
                <c:pt idx="433">
                  <c:v>8.5130581378307735</c:v>
                </c:pt>
                <c:pt idx="434">
                  <c:v>8.4472144340324888</c:v>
                </c:pt>
                <c:pt idx="435">
                  <c:v>8.3811234756092343</c:v>
                </c:pt>
                <c:pt idx="436">
                  <c:v>8.32000048000498</c:v>
                </c:pt>
                <c:pt idx="437">
                  <c:v>8.266399183614709</c:v>
                </c:pt>
                <c:pt idx="438">
                  <c:v>8.2209711280728879</c:v>
                </c:pt>
                <c:pt idx="439">
                  <c:v>8.1832729727190028</c:v>
                </c:pt>
                <c:pt idx="440">
                  <c:v>8.1523647851033427</c:v>
                </c:pt>
                <c:pt idx="441">
                  <c:v>9.1478376322686081</c:v>
                </c:pt>
                <c:pt idx="442">
                  <c:v>9.1745944286219139</c:v>
                </c:pt>
                <c:pt idx="443">
                  <c:v>9.2061820943092787</c:v>
                </c:pt>
                <c:pt idx="444">
                  <c:v>9.2428778855922058</c:v>
                </c:pt>
                <c:pt idx="445">
                  <c:v>9.2844620037873149</c:v>
                </c:pt>
                <c:pt idx="446">
                  <c:v>9.3298711370361858</c:v>
                </c:pt>
                <c:pt idx="447">
                  <c:v>9.3768300873148327</c:v>
                </c:pt>
                <c:pt idx="448">
                  <c:v>9.4216377240854801</c:v>
                </c:pt>
                <c:pt idx="449">
                  <c:v>9.459382956641571</c:v>
                </c:pt>
                <c:pt idx="450">
                  <c:v>9.4848222208506261</c:v>
                </c:pt>
                <c:pt idx="451">
                  <c:v>9.4938280749824528</c:v>
                </c:pt>
                <c:pt idx="452">
                  <c:v>9.4848222208506261</c:v>
                </c:pt>
                <c:pt idx="453">
                  <c:v>9.459382956641571</c:v>
                </c:pt>
                <c:pt idx="454">
                  <c:v>9.4216377240854801</c:v>
                </c:pt>
                <c:pt idx="455">
                  <c:v>9.3768300873148327</c:v>
                </c:pt>
                <c:pt idx="456">
                  <c:v>9.3298711370361858</c:v>
                </c:pt>
                <c:pt idx="457">
                  <c:v>9.2844620037873149</c:v>
                </c:pt>
                <c:pt idx="458">
                  <c:v>9.2428778855922058</c:v>
                </c:pt>
                <c:pt idx="459">
                  <c:v>9.2061820943092787</c:v>
                </c:pt>
                <c:pt idx="460">
                  <c:v>9.1745944286219139</c:v>
                </c:pt>
                <c:pt idx="461">
                  <c:v>9.1478376322686081</c:v>
                </c:pt>
                <c:pt idx="462">
                  <c:v>10.141421462303812</c:v>
                </c:pt>
                <c:pt idx="463">
                  <c:v>10.164264035854194</c:v>
                </c:pt>
                <c:pt idx="464">
                  <c:v>10.190455981379722</c:v>
                </c:pt>
                <c:pt idx="465">
                  <c:v>10.219928253759663</c:v>
                </c:pt>
                <c:pt idx="466">
                  <c:v>10.252204079847926</c:v>
                </c:pt>
                <c:pt idx="467">
                  <c:v>10.286217044581861</c:v>
                </c:pt>
                <c:pt idx="468">
                  <c:v>10.320164790174363</c:v>
                </c:pt>
                <c:pt idx="469">
                  <c:v>10.351496368195029</c:v>
                </c:pt>
                <c:pt idx="470">
                  <c:v>10.377146957687179</c:v>
                </c:pt>
                <c:pt idx="471">
                  <c:v>10.394074719992568</c:v>
                </c:pt>
                <c:pt idx="472">
                  <c:v>10.40000059999675</c:v>
                </c:pt>
                <c:pt idx="473">
                  <c:v>10.394074719992568</c:v>
                </c:pt>
                <c:pt idx="474">
                  <c:v>10.377146957687179</c:v>
                </c:pt>
                <c:pt idx="475">
                  <c:v>10.351496368195029</c:v>
                </c:pt>
                <c:pt idx="476">
                  <c:v>10.320164790174363</c:v>
                </c:pt>
                <c:pt idx="477">
                  <c:v>10.286217044581861</c:v>
                </c:pt>
                <c:pt idx="478">
                  <c:v>10.252204079847926</c:v>
                </c:pt>
                <c:pt idx="479">
                  <c:v>10.219928253759663</c:v>
                </c:pt>
                <c:pt idx="480">
                  <c:v>10.190455981379722</c:v>
                </c:pt>
                <c:pt idx="481">
                  <c:v>10.164264035854194</c:v>
                </c:pt>
                <c:pt idx="482">
                  <c:v>10.141421462303812</c:v>
                </c:pt>
              </c:numCache>
            </c:numRef>
          </c:xVal>
          <c:yVal>
            <c:numRef>
              <c:f>'ex6'!$R$6:$R$488</c:f>
              <c:numCache>
                <c:formatCode>General</c:formatCode>
                <c:ptCount val="483"/>
                <c:pt idx="0">
                  <c:v>-10.141421462303812</c:v>
                </c:pt>
                <c:pt idx="1">
                  <c:v>-9.1478376322686081</c:v>
                </c:pt>
                <c:pt idx="2">
                  <c:v>-8.1523647851033427</c:v>
                </c:pt>
                <c:pt idx="3">
                  <c:v>-7.1539497776309329</c:v>
                </c:pt>
                <c:pt idx="4">
                  <c:v>-6.1513224479074085</c:v>
                </c:pt>
                <c:pt idx="5">
                  <c:v>-5.1431085222890065</c:v>
                </c:pt>
                <c:pt idx="6">
                  <c:v>-4.1280659160673334</c:v>
                </c:pt>
                <c:pt idx="7">
                  <c:v>-3.1054489104559155</c:v>
                </c:pt>
                <c:pt idx="8">
                  <c:v>-2.0754293915351827</c:v>
                </c:pt>
                <c:pt idx="9">
                  <c:v>-1.0394074719979316</c:v>
                </c:pt>
                <c:pt idx="10">
                  <c:v>0</c:v>
                </c:pt>
                <c:pt idx="11">
                  <c:v>1.0394074719979316</c:v>
                </c:pt>
                <c:pt idx="12">
                  <c:v>2.0754293915351827</c:v>
                </c:pt>
                <c:pt idx="13">
                  <c:v>3.1054489104559155</c:v>
                </c:pt>
                <c:pt idx="14">
                  <c:v>4.1280659160673334</c:v>
                </c:pt>
                <c:pt idx="15">
                  <c:v>5.1431085222890065</c:v>
                </c:pt>
                <c:pt idx="16">
                  <c:v>6.1513224479074085</c:v>
                </c:pt>
                <c:pt idx="17">
                  <c:v>7.1539497776309329</c:v>
                </c:pt>
                <c:pt idx="18">
                  <c:v>8.1523647851033427</c:v>
                </c:pt>
                <c:pt idx="19">
                  <c:v>9.1478376322686081</c:v>
                </c:pt>
                <c:pt idx="20">
                  <c:v>10.141421462303812</c:v>
                </c:pt>
                <c:pt idx="21">
                  <c:v>-10.164264035854194</c:v>
                </c:pt>
                <c:pt idx="22">
                  <c:v>-9.1745944286219139</c:v>
                </c:pt>
                <c:pt idx="23">
                  <c:v>-8.1832729727190028</c:v>
                </c:pt>
                <c:pt idx="24">
                  <c:v>-7.188905022126308</c:v>
                </c:pt>
                <c:pt idx="25">
                  <c:v>-6.1896413358563453</c:v>
                </c:pt>
                <c:pt idx="26">
                  <c:v>-5.1832617427948646</c:v>
                </c:pt>
                <c:pt idx="27">
                  <c:v>-4.1674800388024176</c:v>
                </c:pt>
                <c:pt idx="28">
                  <c:v>-3.1405459080236349</c:v>
                </c:pt>
                <c:pt idx="29">
                  <c:v>-2.1020851014714248</c:v>
                </c:pt>
                <c:pt idx="30">
                  <c:v>-1.053869135647334</c:v>
                </c:pt>
                <c:pt idx="31">
                  <c:v>0</c:v>
                </c:pt>
                <c:pt idx="32">
                  <c:v>1.053869135647334</c:v>
                </c:pt>
                <c:pt idx="33">
                  <c:v>2.1020851014714248</c:v>
                </c:pt>
                <c:pt idx="34">
                  <c:v>3.1405459080236349</c:v>
                </c:pt>
                <c:pt idx="35">
                  <c:v>4.1674800388024176</c:v>
                </c:pt>
                <c:pt idx="36">
                  <c:v>5.1832617427948646</c:v>
                </c:pt>
                <c:pt idx="37">
                  <c:v>6.1896413358563453</c:v>
                </c:pt>
                <c:pt idx="38">
                  <c:v>7.188905022126308</c:v>
                </c:pt>
                <c:pt idx="39">
                  <c:v>8.1832729727190028</c:v>
                </c:pt>
                <c:pt idx="40">
                  <c:v>9.1745944286219139</c:v>
                </c:pt>
                <c:pt idx="41">
                  <c:v>10.164264035854194</c:v>
                </c:pt>
                <c:pt idx="42">
                  <c:v>-10.190455981379722</c:v>
                </c:pt>
                <c:pt idx="43">
                  <c:v>-9.2061820943092787</c:v>
                </c:pt>
                <c:pt idx="44">
                  <c:v>-8.2209711280728879</c:v>
                </c:pt>
                <c:pt idx="45">
                  <c:v>-7.2330992856620231</c:v>
                </c:pt>
                <c:pt idx="46">
                  <c:v>-6.2400003600013836</c:v>
                </c:pt>
                <c:pt idx="47">
                  <c:v>-5.2382021722511594</c:v>
                </c:pt>
                <c:pt idx="48">
                  <c:v>-4.2236072170089081</c:v>
                </c:pt>
                <c:pt idx="49">
                  <c:v>-3.1923968016770194</c:v>
                </c:pt>
                <c:pt idx="50">
                  <c:v>-2.1426683294261304</c:v>
                </c:pt>
                <c:pt idx="51">
                  <c:v>-1.0763292435762519</c:v>
                </c:pt>
                <c:pt idx="52">
                  <c:v>0</c:v>
                </c:pt>
                <c:pt idx="53">
                  <c:v>1.0763292435762519</c:v>
                </c:pt>
                <c:pt idx="54">
                  <c:v>2.1426683294261304</c:v>
                </c:pt>
                <c:pt idx="55">
                  <c:v>3.1923968016770194</c:v>
                </c:pt>
                <c:pt idx="56">
                  <c:v>4.2236072170089081</c:v>
                </c:pt>
                <c:pt idx="57">
                  <c:v>5.2382021722511594</c:v>
                </c:pt>
                <c:pt idx="58">
                  <c:v>6.2400003600013836</c:v>
                </c:pt>
                <c:pt idx="59">
                  <c:v>7.2330992856620231</c:v>
                </c:pt>
                <c:pt idx="60">
                  <c:v>8.2209711280728879</c:v>
                </c:pt>
                <c:pt idx="61">
                  <c:v>9.2061820943092787</c:v>
                </c:pt>
                <c:pt idx="62">
                  <c:v>10.190455981379722</c:v>
                </c:pt>
                <c:pt idx="63">
                  <c:v>-10.219928253759663</c:v>
                </c:pt>
                <c:pt idx="64">
                  <c:v>-9.2428778855922058</c:v>
                </c:pt>
                <c:pt idx="65">
                  <c:v>-8.266399183614709</c:v>
                </c:pt>
                <c:pt idx="66">
                  <c:v>-7.2886154544910076</c:v>
                </c:pt>
                <c:pt idx="67">
                  <c:v>-6.306255304433166</c:v>
                </c:pt>
                <c:pt idx="68">
                  <c:v>-5.3141834442750264</c:v>
                </c:pt>
                <c:pt idx="69">
                  <c:v>-4.3053169743302409</c:v>
                </c:pt>
                <c:pt idx="70">
                  <c:v>-3.2716691843558712</c:v>
                </c:pt>
                <c:pt idx="71">
                  <c:v>-2.20733728708012</c:v>
                </c:pt>
                <c:pt idx="72">
                  <c:v>-1.1131374243833001</c:v>
                </c:pt>
                <c:pt idx="73">
                  <c:v>0</c:v>
                </c:pt>
                <c:pt idx="74">
                  <c:v>1.1131374243833001</c:v>
                </c:pt>
                <c:pt idx="75">
                  <c:v>2.20733728708012</c:v>
                </c:pt>
                <c:pt idx="76">
                  <c:v>3.2716691843558712</c:v>
                </c:pt>
                <c:pt idx="77">
                  <c:v>4.3053169743302409</c:v>
                </c:pt>
                <c:pt idx="78">
                  <c:v>5.3141834442750264</c:v>
                </c:pt>
                <c:pt idx="79">
                  <c:v>6.306255304433166</c:v>
                </c:pt>
                <c:pt idx="80">
                  <c:v>7.2886154544910076</c:v>
                </c:pt>
                <c:pt idx="81">
                  <c:v>8.266399183614709</c:v>
                </c:pt>
                <c:pt idx="82">
                  <c:v>9.2428778855922058</c:v>
                </c:pt>
                <c:pt idx="83">
                  <c:v>10.219928253759663</c:v>
                </c:pt>
                <c:pt idx="84">
                  <c:v>-10.252204079847926</c:v>
                </c:pt>
                <c:pt idx="85">
                  <c:v>-9.2844620037873149</c:v>
                </c:pt>
                <c:pt idx="86">
                  <c:v>-8.32000048000498</c:v>
                </c:pt>
                <c:pt idx="87">
                  <c:v>-7.3572978551746742</c:v>
                </c:pt>
                <c:pt idx="88">
                  <c:v>-6.3928379190802387</c:v>
                </c:pt>
                <c:pt idx="89">
                  <c:v>-5.4197940812488117</c:v>
                </c:pt>
                <c:pt idx="90">
                  <c:v>-4.4266936894803068</c:v>
                </c:pt>
                <c:pt idx="91">
                  <c:v>-3.397524521055836</c:v>
                </c:pt>
                <c:pt idx="92">
                  <c:v>-2.3162289518206602</c:v>
                </c:pt>
                <c:pt idx="93">
                  <c:v>-1.1777293553968218</c:v>
                </c:pt>
                <c:pt idx="94">
                  <c:v>0</c:v>
                </c:pt>
                <c:pt idx="95">
                  <c:v>1.177729355396822</c:v>
                </c:pt>
                <c:pt idx="96">
                  <c:v>2.3162289518206602</c:v>
                </c:pt>
                <c:pt idx="97">
                  <c:v>3.397524521055836</c:v>
                </c:pt>
                <c:pt idx="98">
                  <c:v>4.4266936894803077</c:v>
                </c:pt>
                <c:pt idx="99">
                  <c:v>5.4197940812488117</c:v>
                </c:pt>
                <c:pt idx="100">
                  <c:v>6.3928379190802387</c:v>
                </c:pt>
                <c:pt idx="101">
                  <c:v>7.3572978551746742</c:v>
                </c:pt>
                <c:pt idx="102">
                  <c:v>8.32000048000498</c:v>
                </c:pt>
                <c:pt idx="103">
                  <c:v>9.2844620037873149</c:v>
                </c:pt>
                <c:pt idx="104">
                  <c:v>10.252204079847926</c:v>
                </c:pt>
                <c:pt idx="105">
                  <c:v>-10.286217044581861</c:v>
                </c:pt>
                <c:pt idx="106">
                  <c:v>-9.3298711370361858</c:v>
                </c:pt>
                <c:pt idx="107">
                  <c:v>-8.3811234756092343</c:v>
                </c:pt>
                <c:pt idx="108">
                  <c:v>-7.4398568219941543</c:v>
                </c:pt>
                <c:pt idx="109">
                  <c:v>-6.5037528975071179</c:v>
                </c:pt>
                <c:pt idx="110">
                  <c:v>-5.5656871220366257</c:v>
                </c:pt>
                <c:pt idx="111">
                  <c:v>-4.6094608127354952</c:v>
                </c:pt>
                <c:pt idx="112">
                  <c:v>-3.6052917944087968</c:v>
                </c:pt>
                <c:pt idx="113">
                  <c:v>-2.5122656513847441</c:v>
                </c:pt>
                <c:pt idx="114">
                  <c:v>-1.3017188714971037</c:v>
                </c:pt>
                <c:pt idx="115">
                  <c:v>0</c:v>
                </c:pt>
                <c:pt idx="116">
                  <c:v>1.3017188714971037</c:v>
                </c:pt>
                <c:pt idx="117">
                  <c:v>2.5122656513847441</c:v>
                </c:pt>
                <c:pt idx="118">
                  <c:v>3.6052917944087968</c:v>
                </c:pt>
                <c:pt idx="119">
                  <c:v>4.6094608127354952</c:v>
                </c:pt>
                <c:pt idx="120">
                  <c:v>5.5656871220366257</c:v>
                </c:pt>
                <c:pt idx="121">
                  <c:v>6.5037528975071179</c:v>
                </c:pt>
                <c:pt idx="122">
                  <c:v>7.4398568219941543</c:v>
                </c:pt>
                <c:pt idx="123">
                  <c:v>8.3811234756092343</c:v>
                </c:pt>
                <c:pt idx="124">
                  <c:v>9.3298711370361858</c:v>
                </c:pt>
                <c:pt idx="125">
                  <c:v>10.286217044581861</c:v>
                </c:pt>
                <c:pt idx="126">
                  <c:v>-10.320164790174363</c:v>
                </c:pt>
                <c:pt idx="127">
                  <c:v>-9.3768300873148327</c:v>
                </c:pt>
                <c:pt idx="128">
                  <c:v>-8.4472144340324888</c:v>
                </c:pt>
                <c:pt idx="129">
                  <c:v>-7.5343047051003929</c:v>
                </c:pt>
                <c:pt idx="130">
                  <c:v>-6.640040534252325</c:v>
                </c:pt>
                <c:pt idx="131">
                  <c:v>-5.7618260159541874</c:v>
                </c:pt>
                <c:pt idx="132">
                  <c:v>-4.883887619805666</c:v>
                </c:pt>
                <c:pt idx="133">
                  <c:v>-3.9600057600885208</c:v>
                </c:pt>
                <c:pt idx="134">
                  <c:v>-2.8944338989595573</c:v>
                </c:pt>
                <c:pt idx="135">
                  <c:v>-1.5706770936119843</c:v>
                </c:pt>
                <c:pt idx="136">
                  <c:v>0</c:v>
                </c:pt>
                <c:pt idx="137">
                  <c:v>1.5706770936119843</c:v>
                </c:pt>
                <c:pt idx="138">
                  <c:v>2.8944338989595573</c:v>
                </c:pt>
                <c:pt idx="139">
                  <c:v>3.9600057600885203</c:v>
                </c:pt>
                <c:pt idx="140">
                  <c:v>4.883887619805666</c:v>
                </c:pt>
                <c:pt idx="141">
                  <c:v>5.7618260159541874</c:v>
                </c:pt>
                <c:pt idx="142">
                  <c:v>6.640040534252325</c:v>
                </c:pt>
                <c:pt idx="143">
                  <c:v>7.5343047051003929</c:v>
                </c:pt>
                <c:pt idx="144">
                  <c:v>8.4472144340324888</c:v>
                </c:pt>
                <c:pt idx="145">
                  <c:v>9.3768300873148327</c:v>
                </c:pt>
                <c:pt idx="146">
                  <c:v>10.320164790174363</c:v>
                </c:pt>
                <c:pt idx="147">
                  <c:v>-10.351496368195029</c:v>
                </c:pt>
                <c:pt idx="148">
                  <c:v>-9.4216377240854801</c:v>
                </c:pt>
                <c:pt idx="149">
                  <c:v>-8.5130581378307735</c:v>
                </c:pt>
                <c:pt idx="150">
                  <c:v>-7.6338947635425161</c:v>
                </c:pt>
                <c:pt idx="151">
                  <c:v>-6.7950490421941208</c:v>
                </c:pt>
                <c:pt idx="152">
                  <c:v>-6.0088196574917303</c:v>
                </c:pt>
                <c:pt idx="153">
                  <c:v>-5.2800076803187324</c:v>
                </c:pt>
                <c:pt idx="154">
                  <c:v>-4.571361497873653</c:v>
                </c:pt>
                <c:pt idx="155">
                  <c:v>-3.7067895281579002</c:v>
                </c:pt>
                <c:pt idx="156">
                  <c:v>-2.2649300345140877</c:v>
                </c:pt>
                <c:pt idx="157">
                  <c:v>0</c:v>
                </c:pt>
                <c:pt idx="158">
                  <c:v>2.2649300345140881</c:v>
                </c:pt>
                <c:pt idx="159">
                  <c:v>3.7067895281579006</c:v>
                </c:pt>
                <c:pt idx="160">
                  <c:v>4.571361497873653</c:v>
                </c:pt>
                <c:pt idx="161">
                  <c:v>5.2800076803187324</c:v>
                </c:pt>
                <c:pt idx="162">
                  <c:v>6.0088196574917303</c:v>
                </c:pt>
                <c:pt idx="163">
                  <c:v>6.7950490421941208</c:v>
                </c:pt>
                <c:pt idx="164">
                  <c:v>7.6338947635425161</c:v>
                </c:pt>
                <c:pt idx="165">
                  <c:v>8.5130581378307735</c:v>
                </c:pt>
                <c:pt idx="166">
                  <c:v>9.4216377240854801</c:v>
                </c:pt>
                <c:pt idx="167">
                  <c:v>10.351496368195029</c:v>
                </c:pt>
                <c:pt idx="168">
                  <c:v>-10.377146957687179</c:v>
                </c:pt>
                <c:pt idx="169">
                  <c:v>-9.459382956641571</c:v>
                </c:pt>
                <c:pt idx="170">
                  <c:v>-8.5706733177426351</c:v>
                </c:pt>
                <c:pt idx="171">
                  <c:v>-7.7256805048571913</c:v>
                </c:pt>
                <c:pt idx="172">
                  <c:v>-6.9486868556280008</c:v>
                </c:pt>
                <c:pt idx="173">
                  <c:v>-6.2806641288478069</c:v>
                </c:pt>
                <c:pt idx="174">
                  <c:v>-5.7888677988582673</c:v>
                </c:pt>
                <c:pt idx="175">
                  <c:v>-5.5601842942761328</c:v>
                </c:pt>
                <c:pt idx="176">
                  <c:v>-5.5356002047894801</c:v>
                </c:pt>
                <c:pt idx="177">
                  <c:v>-4.57781607962783</c:v>
                </c:pt>
                <c:pt idx="178">
                  <c:v>0</c:v>
                </c:pt>
                <c:pt idx="179">
                  <c:v>4.5778160796278309</c:v>
                </c:pt>
                <c:pt idx="180">
                  <c:v>5.5356002047894801</c:v>
                </c:pt>
                <c:pt idx="181">
                  <c:v>5.5601842942761328</c:v>
                </c:pt>
                <c:pt idx="182">
                  <c:v>5.7888677988582673</c:v>
                </c:pt>
                <c:pt idx="183">
                  <c:v>6.2806641288478069</c:v>
                </c:pt>
                <c:pt idx="184">
                  <c:v>6.9486868556280008</c:v>
                </c:pt>
                <c:pt idx="185">
                  <c:v>7.7256805048571913</c:v>
                </c:pt>
                <c:pt idx="186">
                  <c:v>8.5706733177426351</c:v>
                </c:pt>
                <c:pt idx="187">
                  <c:v>9.459382956641571</c:v>
                </c:pt>
                <c:pt idx="188">
                  <c:v>10.377146957687179</c:v>
                </c:pt>
                <c:pt idx="189">
                  <c:v>-10.394074719992568</c:v>
                </c:pt>
                <c:pt idx="190">
                  <c:v>-9.4848222208506261</c:v>
                </c:pt>
                <c:pt idx="191">
                  <c:v>-8.6106339486590446</c:v>
                </c:pt>
                <c:pt idx="192">
                  <c:v>-7.7919619707895409</c:v>
                </c:pt>
                <c:pt idx="193">
                  <c:v>-7.0663761326388244</c:v>
                </c:pt>
                <c:pt idx="194">
                  <c:v>-6.5085943582065111</c:v>
                </c:pt>
                <c:pt idx="195">
                  <c:v>-6.2827083768872161</c:v>
                </c:pt>
                <c:pt idx="196">
                  <c:v>-6.7947901141676121</c:v>
                </c:pt>
                <c:pt idx="197">
                  <c:v>-9.1556322193622499</c:v>
                </c:pt>
                <c:pt idx="198">
                  <c:v>-15.143196770072679</c:v>
                </c:pt>
                <c:pt idx="199">
                  <c:v>0</c:v>
                </c:pt>
                <c:pt idx="200">
                  <c:v>15.143196770072681</c:v>
                </c:pt>
                <c:pt idx="201">
                  <c:v>9.1556322193622499</c:v>
                </c:pt>
                <c:pt idx="202">
                  <c:v>6.7947901141676121</c:v>
                </c:pt>
                <c:pt idx="203">
                  <c:v>6.2827083768872161</c:v>
                </c:pt>
                <c:pt idx="204">
                  <c:v>6.5085943582065102</c:v>
                </c:pt>
                <c:pt idx="205">
                  <c:v>7.0663761326388244</c:v>
                </c:pt>
                <c:pt idx="206">
                  <c:v>7.7919619707895409</c:v>
                </c:pt>
                <c:pt idx="207">
                  <c:v>8.6106339486590446</c:v>
                </c:pt>
                <c:pt idx="208">
                  <c:v>9.4848222208506261</c:v>
                </c:pt>
                <c:pt idx="209">
                  <c:v>10.394074719992568</c:v>
                </c:pt>
                <c:pt idx="210">
                  <c:v>-10.40000059999675</c:v>
                </c:pt>
                <c:pt idx="211">
                  <c:v>-9.4938280749824528</c:v>
                </c:pt>
                <c:pt idx="212">
                  <c:v>-8.6250014648313531</c:v>
                </c:pt>
                <c:pt idx="213">
                  <c:v>-7.8163290295433878</c:v>
                </c:pt>
                <c:pt idx="214">
                  <c:v>-7.1111157406710817</c:v>
                </c:pt>
                <c:pt idx="215">
                  <c:v>-6.6000095997919992</c:v>
                </c:pt>
                <c:pt idx="216">
                  <c:v>-6.5000234367065381</c:v>
                </c:pt>
                <c:pt idx="217">
                  <c:v>-7.4445185140603067</c:v>
                </c:pt>
                <c:pt idx="218">
                  <c:v>-12.000374949217452</c:v>
                </c:pt>
                <c:pt idx="219">
                  <c:v>-41.005996749667673</c:v>
                </c:pt>
                <c:pt idx="220">
                  <c:v>0</c:v>
                </c:pt>
                <c:pt idx="221">
                  <c:v>41.005996749667673</c:v>
                </c:pt>
                <c:pt idx="222">
                  <c:v>12.000374949217452</c:v>
                </c:pt>
                <c:pt idx="223">
                  <c:v>7.4445185140603067</c:v>
                </c:pt>
                <c:pt idx="224">
                  <c:v>6.5000234367065381</c:v>
                </c:pt>
                <c:pt idx="225">
                  <c:v>6.6000095997919992</c:v>
                </c:pt>
                <c:pt idx="226">
                  <c:v>7.1111157406710817</c:v>
                </c:pt>
                <c:pt idx="227">
                  <c:v>7.8163290295433878</c:v>
                </c:pt>
                <c:pt idx="228">
                  <c:v>8.6250014648313531</c:v>
                </c:pt>
                <c:pt idx="229">
                  <c:v>9.4938280749824528</c:v>
                </c:pt>
                <c:pt idx="230">
                  <c:v>10.40000059999675</c:v>
                </c:pt>
                <c:pt idx="231">
                  <c:v>-10.394074719992568</c:v>
                </c:pt>
                <c:pt idx="232">
                  <c:v>-9.4848222208506261</c:v>
                </c:pt>
                <c:pt idx="233">
                  <c:v>-8.6106339486590446</c:v>
                </c:pt>
                <c:pt idx="234">
                  <c:v>-7.7919619707895409</c:v>
                </c:pt>
                <c:pt idx="235">
                  <c:v>-7.0663761326388244</c:v>
                </c:pt>
                <c:pt idx="236">
                  <c:v>-6.5085943582065111</c:v>
                </c:pt>
                <c:pt idx="237">
                  <c:v>-6.2827083768872161</c:v>
                </c:pt>
                <c:pt idx="238">
                  <c:v>-6.7947901141676113</c:v>
                </c:pt>
                <c:pt idx="239">
                  <c:v>-9.1556322193622499</c:v>
                </c:pt>
                <c:pt idx="240">
                  <c:v>-15.143196770072679</c:v>
                </c:pt>
                <c:pt idx="241">
                  <c:v>0</c:v>
                </c:pt>
                <c:pt idx="242">
                  <c:v>15.143196770072681</c:v>
                </c:pt>
                <c:pt idx="243">
                  <c:v>9.1556322193622499</c:v>
                </c:pt>
                <c:pt idx="244">
                  <c:v>6.7947901141676121</c:v>
                </c:pt>
                <c:pt idx="245">
                  <c:v>6.2827083768872161</c:v>
                </c:pt>
                <c:pt idx="246">
                  <c:v>6.5085943582065102</c:v>
                </c:pt>
                <c:pt idx="247">
                  <c:v>7.0663761326388244</c:v>
                </c:pt>
                <c:pt idx="248">
                  <c:v>7.7919619707895409</c:v>
                </c:pt>
                <c:pt idx="249">
                  <c:v>8.6106339486590446</c:v>
                </c:pt>
                <c:pt idx="250">
                  <c:v>9.4848222208506261</c:v>
                </c:pt>
                <c:pt idx="251">
                  <c:v>10.394074719992568</c:v>
                </c:pt>
                <c:pt idx="252">
                  <c:v>-10.40000059999675</c:v>
                </c:pt>
                <c:pt idx="253">
                  <c:v>-9.4938280749824528</c:v>
                </c:pt>
                <c:pt idx="254">
                  <c:v>-8.6250014648313531</c:v>
                </c:pt>
                <c:pt idx="255">
                  <c:v>-7.8163290295433878</c:v>
                </c:pt>
                <c:pt idx="256">
                  <c:v>-7.1111157406710817</c:v>
                </c:pt>
                <c:pt idx="257">
                  <c:v>-6.6000095997919992</c:v>
                </c:pt>
                <c:pt idx="258">
                  <c:v>-6.5000234367065381</c:v>
                </c:pt>
                <c:pt idx="259">
                  <c:v>-7.4445185140603067</c:v>
                </c:pt>
                <c:pt idx="260">
                  <c:v>-12.000374949217452</c:v>
                </c:pt>
                <c:pt idx="261">
                  <c:v>-41.005996749667673</c:v>
                </c:pt>
                <c:pt idx="262">
                  <c:v>0</c:v>
                </c:pt>
                <c:pt idx="263">
                  <c:v>41.005996749667673</c:v>
                </c:pt>
                <c:pt idx="264">
                  <c:v>12.000374949217452</c:v>
                </c:pt>
                <c:pt idx="265">
                  <c:v>7.4445185140603067</c:v>
                </c:pt>
                <c:pt idx="266">
                  <c:v>6.5000234367065381</c:v>
                </c:pt>
                <c:pt idx="267">
                  <c:v>6.6000095997919992</c:v>
                </c:pt>
                <c:pt idx="268">
                  <c:v>7.1111157406710817</c:v>
                </c:pt>
                <c:pt idx="269">
                  <c:v>7.8163290295433878</c:v>
                </c:pt>
                <c:pt idx="270">
                  <c:v>8.6250014648313531</c:v>
                </c:pt>
                <c:pt idx="271">
                  <c:v>9.4938280749824528</c:v>
                </c:pt>
                <c:pt idx="272">
                  <c:v>10.40000059999675</c:v>
                </c:pt>
                <c:pt idx="273">
                  <c:v>-10.394074719992568</c:v>
                </c:pt>
                <c:pt idx="274">
                  <c:v>-9.4848222208506261</c:v>
                </c:pt>
                <c:pt idx="275">
                  <c:v>-8.6106339486590446</c:v>
                </c:pt>
                <c:pt idx="276">
                  <c:v>-7.7919619707895409</c:v>
                </c:pt>
                <c:pt idx="277">
                  <c:v>-7.0663761326388244</c:v>
                </c:pt>
                <c:pt idx="278">
                  <c:v>-6.5085943582065111</c:v>
                </c:pt>
                <c:pt idx="279">
                  <c:v>-6.2827083768872161</c:v>
                </c:pt>
                <c:pt idx="280">
                  <c:v>-6.7947901141676113</c:v>
                </c:pt>
                <c:pt idx="281">
                  <c:v>-9.1556322193622499</c:v>
                </c:pt>
                <c:pt idx="282">
                  <c:v>-15.143196770072679</c:v>
                </c:pt>
                <c:pt idx="283">
                  <c:v>0</c:v>
                </c:pt>
                <c:pt idx="284">
                  <c:v>15.143196770072681</c:v>
                </c:pt>
                <c:pt idx="285">
                  <c:v>9.1556322193622499</c:v>
                </c:pt>
                <c:pt idx="286">
                  <c:v>6.7947901141676121</c:v>
                </c:pt>
                <c:pt idx="287">
                  <c:v>6.2827083768872161</c:v>
                </c:pt>
                <c:pt idx="288">
                  <c:v>6.5085943582065102</c:v>
                </c:pt>
                <c:pt idx="289">
                  <c:v>7.0663761326388244</c:v>
                </c:pt>
                <c:pt idx="290">
                  <c:v>7.7919619707895409</c:v>
                </c:pt>
                <c:pt idx="291">
                  <c:v>8.6106339486590446</c:v>
                </c:pt>
                <c:pt idx="292">
                  <c:v>9.4848222208506261</c:v>
                </c:pt>
                <c:pt idx="293">
                  <c:v>10.394074719992568</c:v>
                </c:pt>
                <c:pt idx="294">
                  <c:v>-10.377146957687179</c:v>
                </c:pt>
                <c:pt idx="295">
                  <c:v>-9.459382956641571</c:v>
                </c:pt>
                <c:pt idx="296">
                  <c:v>-8.5706733177426351</c:v>
                </c:pt>
                <c:pt idx="297">
                  <c:v>-7.7256805048571913</c:v>
                </c:pt>
                <c:pt idx="298">
                  <c:v>-6.9486868556280008</c:v>
                </c:pt>
                <c:pt idx="299">
                  <c:v>-6.2806641288478069</c:v>
                </c:pt>
                <c:pt idx="300">
                  <c:v>-5.7888677988582673</c:v>
                </c:pt>
                <c:pt idx="301">
                  <c:v>-5.5601842942761328</c:v>
                </c:pt>
                <c:pt idx="302">
                  <c:v>-5.5356002047894801</c:v>
                </c:pt>
                <c:pt idx="303">
                  <c:v>-4.5778160796278309</c:v>
                </c:pt>
                <c:pt idx="304">
                  <c:v>0</c:v>
                </c:pt>
                <c:pt idx="305">
                  <c:v>4.5778160796278309</c:v>
                </c:pt>
                <c:pt idx="306">
                  <c:v>5.5356002047894801</c:v>
                </c:pt>
                <c:pt idx="307">
                  <c:v>5.5601842942761328</c:v>
                </c:pt>
                <c:pt idx="308">
                  <c:v>5.7888677988582673</c:v>
                </c:pt>
                <c:pt idx="309">
                  <c:v>6.2806641288478069</c:v>
                </c:pt>
                <c:pt idx="310">
                  <c:v>6.9486868556280008</c:v>
                </c:pt>
                <c:pt idx="311">
                  <c:v>7.7256805048571913</c:v>
                </c:pt>
                <c:pt idx="312">
                  <c:v>8.5706733177426351</c:v>
                </c:pt>
                <c:pt idx="313">
                  <c:v>9.459382956641571</c:v>
                </c:pt>
                <c:pt idx="314">
                  <c:v>10.377146957687179</c:v>
                </c:pt>
                <c:pt idx="315">
                  <c:v>-10.351496368195029</c:v>
                </c:pt>
                <c:pt idx="316">
                  <c:v>-9.4216377240854801</c:v>
                </c:pt>
                <c:pt idx="317">
                  <c:v>-8.5130581378307735</c:v>
                </c:pt>
                <c:pt idx="318">
                  <c:v>-7.6338947635425161</c:v>
                </c:pt>
                <c:pt idx="319">
                  <c:v>-6.7950490421941208</c:v>
                </c:pt>
                <c:pt idx="320">
                  <c:v>-6.0088196574917303</c:v>
                </c:pt>
                <c:pt idx="321">
                  <c:v>-5.2800076803187324</c:v>
                </c:pt>
                <c:pt idx="322">
                  <c:v>-4.571361497873653</c:v>
                </c:pt>
                <c:pt idx="323">
                  <c:v>-3.7067895281579006</c:v>
                </c:pt>
                <c:pt idx="324">
                  <c:v>-2.2649300345140877</c:v>
                </c:pt>
                <c:pt idx="325">
                  <c:v>0</c:v>
                </c:pt>
                <c:pt idx="326">
                  <c:v>2.2649300345140877</c:v>
                </c:pt>
                <c:pt idx="327">
                  <c:v>3.7067895281579006</c:v>
                </c:pt>
                <c:pt idx="328">
                  <c:v>4.571361497873653</c:v>
                </c:pt>
                <c:pt idx="329">
                  <c:v>5.2800076803187324</c:v>
                </c:pt>
                <c:pt idx="330">
                  <c:v>6.0088196574917303</c:v>
                </c:pt>
                <c:pt idx="331">
                  <c:v>6.7950490421941208</c:v>
                </c:pt>
                <c:pt idx="332">
                  <c:v>7.6338947635425161</c:v>
                </c:pt>
                <c:pt idx="333">
                  <c:v>8.5130581378307735</c:v>
                </c:pt>
                <c:pt idx="334">
                  <c:v>9.4216377240854801</c:v>
                </c:pt>
                <c:pt idx="335">
                  <c:v>10.351496368195029</c:v>
                </c:pt>
                <c:pt idx="336">
                  <c:v>-10.320164790174363</c:v>
                </c:pt>
                <c:pt idx="337">
                  <c:v>-9.3768300873148327</c:v>
                </c:pt>
                <c:pt idx="338">
                  <c:v>-8.4472144340324888</c:v>
                </c:pt>
                <c:pt idx="339">
                  <c:v>-7.5343047051003929</c:v>
                </c:pt>
                <c:pt idx="340">
                  <c:v>-6.640040534252325</c:v>
                </c:pt>
                <c:pt idx="341">
                  <c:v>-5.7618260159541874</c:v>
                </c:pt>
                <c:pt idx="342">
                  <c:v>-4.883887619805666</c:v>
                </c:pt>
                <c:pt idx="343">
                  <c:v>-3.9600057600885208</c:v>
                </c:pt>
                <c:pt idx="344">
                  <c:v>-2.8944338989595568</c:v>
                </c:pt>
                <c:pt idx="345">
                  <c:v>-1.5706770936119843</c:v>
                </c:pt>
                <c:pt idx="346">
                  <c:v>0</c:v>
                </c:pt>
                <c:pt idx="347">
                  <c:v>1.5706770936119843</c:v>
                </c:pt>
                <c:pt idx="348">
                  <c:v>2.8944338989595573</c:v>
                </c:pt>
                <c:pt idx="349">
                  <c:v>3.9600057600885208</c:v>
                </c:pt>
                <c:pt idx="350">
                  <c:v>4.883887619805666</c:v>
                </c:pt>
                <c:pt idx="351">
                  <c:v>5.7618260159541874</c:v>
                </c:pt>
                <c:pt idx="352">
                  <c:v>6.640040534252325</c:v>
                </c:pt>
                <c:pt idx="353">
                  <c:v>7.5343047051003929</c:v>
                </c:pt>
                <c:pt idx="354">
                  <c:v>8.4472144340324888</c:v>
                </c:pt>
                <c:pt idx="355">
                  <c:v>9.3768300873148327</c:v>
                </c:pt>
                <c:pt idx="356">
                  <c:v>10.320164790174363</c:v>
                </c:pt>
                <c:pt idx="357">
                  <c:v>-10.286217044581861</c:v>
                </c:pt>
                <c:pt idx="358">
                  <c:v>-9.3298711370361858</c:v>
                </c:pt>
                <c:pt idx="359">
                  <c:v>-8.3811234756092343</c:v>
                </c:pt>
                <c:pt idx="360">
                  <c:v>-7.4398568219941543</c:v>
                </c:pt>
                <c:pt idx="361">
                  <c:v>-6.5037528975071179</c:v>
                </c:pt>
                <c:pt idx="362">
                  <c:v>-5.5656871220366257</c:v>
                </c:pt>
                <c:pt idx="363">
                  <c:v>-4.6094608127354952</c:v>
                </c:pt>
                <c:pt idx="364">
                  <c:v>-3.6052917944087968</c:v>
                </c:pt>
                <c:pt idx="365">
                  <c:v>-2.5122656513847441</c:v>
                </c:pt>
                <c:pt idx="366">
                  <c:v>-1.3017188714971037</c:v>
                </c:pt>
                <c:pt idx="367">
                  <c:v>0</c:v>
                </c:pt>
                <c:pt idx="368">
                  <c:v>1.3017188714971037</c:v>
                </c:pt>
                <c:pt idx="369">
                  <c:v>2.5122656513847441</c:v>
                </c:pt>
                <c:pt idx="370">
                  <c:v>3.6052917944087968</c:v>
                </c:pt>
                <c:pt idx="371">
                  <c:v>4.6094608127354952</c:v>
                </c:pt>
                <c:pt idx="372">
                  <c:v>5.5656871220366257</c:v>
                </c:pt>
                <c:pt idx="373">
                  <c:v>6.5037528975071179</c:v>
                </c:pt>
                <c:pt idx="374">
                  <c:v>7.4398568219941543</c:v>
                </c:pt>
                <c:pt idx="375">
                  <c:v>8.3811234756092343</c:v>
                </c:pt>
                <c:pt idx="376">
                  <c:v>9.3298711370361858</c:v>
                </c:pt>
                <c:pt idx="377">
                  <c:v>10.286217044581861</c:v>
                </c:pt>
                <c:pt idx="378">
                  <c:v>-10.252204079847926</c:v>
                </c:pt>
                <c:pt idx="379">
                  <c:v>-9.2844620037873149</c:v>
                </c:pt>
                <c:pt idx="380">
                  <c:v>-8.32000048000498</c:v>
                </c:pt>
                <c:pt idx="381">
                  <c:v>-7.3572978551746742</c:v>
                </c:pt>
                <c:pt idx="382">
                  <c:v>-6.3928379190802387</c:v>
                </c:pt>
                <c:pt idx="383">
                  <c:v>-5.4197940812488117</c:v>
                </c:pt>
                <c:pt idx="384">
                  <c:v>-4.4266936894803068</c:v>
                </c:pt>
                <c:pt idx="385">
                  <c:v>-3.397524521055836</c:v>
                </c:pt>
                <c:pt idx="386">
                  <c:v>-2.3162289518206602</c:v>
                </c:pt>
                <c:pt idx="387">
                  <c:v>-1.1777293553968218</c:v>
                </c:pt>
                <c:pt idx="388">
                  <c:v>0</c:v>
                </c:pt>
                <c:pt idx="389">
                  <c:v>1.1777293553968218</c:v>
                </c:pt>
                <c:pt idx="390">
                  <c:v>2.3162289518206602</c:v>
                </c:pt>
                <c:pt idx="391">
                  <c:v>3.397524521055836</c:v>
                </c:pt>
                <c:pt idx="392">
                  <c:v>4.4266936894803077</c:v>
                </c:pt>
                <c:pt idx="393">
                  <c:v>5.4197940812488117</c:v>
                </c:pt>
                <c:pt idx="394">
                  <c:v>6.3928379190802387</c:v>
                </c:pt>
                <c:pt idx="395">
                  <c:v>7.3572978551746742</c:v>
                </c:pt>
                <c:pt idx="396">
                  <c:v>8.32000048000498</c:v>
                </c:pt>
                <c:pt idx="397">
                  <c:v>9.2844620037873149</c:v>
                </c:pt>
                <c:pt idx="398">
                  <c:v>10.252204079847926</c:v>
                </c:pt>
                <c:pt idx="399">
                  <c:v>-10.219928253759663</c:v>
                </c:pt>
                <c:pt idx="400">
                  <c:v>-9.2428778855922058</c:v>
                </c:pt>
                <c:pt idx="401">
                  <c:v>-8.266399183614709</c:v>
                </c:pt>
                <c:pt idx="402">
                  <c:v>-7.2886154544910076</c:v>
                </c:pt>
                <c:pt idx="403">
                  <c:v>-6.306255304433166</c:v>
                </c:pt>
                <c:pt idx="404">
                  <c:v>-5.3141834442750264</c:v>
                </c:pt>
                <c:pt idx="405">
                  <c:v>-4.3053169743302409</c:v>
                </c:pt>
                <c:pt idx="406">
                  <c:v>-3.2716691843558712</c:v>
                </c:pt>
                <c:pt idx="407">
                  <c:v>-2.20733728708012</c:v>
                </c:pt>
                <c:pt idx="408">
                  <c:v>-1.1131374243833001</c:v>
                </c:pt>
                <c:pt idx="409">
                  <c:v>0</c:v>
                </c:pt>
                <c:pt idx="410">
                  <c:v>1.1131374243833001</c:v>
                </c:pt>
                <c:pt idx="411">
                  <c:v>2.20733728708012</c:v>
                </c:pt>
                <c:pt idx="412">
                  <c:v>3.2716691843558712</c:v>
                </c:pt>
                <c:pt idx="413">
                  <c:v>4.3053169743302409</c:v>
                </c:pt>
                <c:pt idx="414">
                  <c:v>5.3141834442750264</c:v>
                </c:pt>
                <c:pt idx="415">
                  <c:v>6.306255304433166</c:v>
                </c:pt>
                <c:pt idx="416">
                  <c:v>7.2886154544910076</c:v>
                </c:pt>
                <c:pt idx="417">
                  <c:v>8.266399183614709</c:v>
                </c:pt>
                <c:pt idx="418">
                  <c:v>9.2428778855922058</c:v>
                </c:pt>
                <c:pt idx="419">
                  <c:v>10.219928253759663</c:v>
                </c:pt>
                <c:pt idx="420">
                  <c:v>-10.190455981379722</c:v>
                </c:pt>
                <c:pt idx="421">
                  <c:v>-9.2061820943092787</c:v>
                </c:pt>
                <c:pt idx="422">
                  <c:v>-8.2209711280728879</c:v>
                </c:pt>
                <c:pt idx="423">
                  <c:v>-7.2330992856620231</c:v>
                </c:pt>
                <c:pt idx="424">
                  <c:v>-6.2400003600013836</c:v>
                </c:pt>
                <c:pt idx="425">
                  <c:v>-5.2382021722511594</c:v>
                </c:pt>
                <c:pt idx="426">
                  <c:v>-4.2236072170089081</c:v>
                </c:pt>
                <c:pt idx="427">
                  <c:v>-3.1923968016770194</c:v>
                </c:pt>
                <c:pt idx="428">
                  <c:v>-2.1426683294261304</c:v>
                </c:pt>
                <c:pt idx="429">
                  <c:v>-1.0763292435762519</c:v>
                </c:pt>
                <c:pt idx="430">
                  <c:v>0</c:v>
                </c:pt>
                <c:pt idx="431">
                  <c:v>1.0763292435762519</c:v>
                </c:pt>
                <c:pt idx="432">
                  <c:v>2.1426683294261304</c:v>
                </c:pt>
                <c:pt idx="433">
                  <c:v>3.1923968016770194</c:v>
                </c:pt>
                <c:pt idx="434">
                  <c:v>4.2236072170089081</c:v>
                </c:pt>
                <c:pt idx="435">
                  <c:v>5.2382021722511594</c:v>
                </c:pt>
                <c:pt idx="436">
                  <c:v>6.2400003600013836</c:v>
                </c:pt>
                <c:pt idx="437">
                  <c:v>7.2330992856620231</c:v>
                </c:pt>
                <c:pt idx="438">
                  <c:v>8.2209711280728879</c:v>
                </c:pt>
                <c:pt idx="439">
                  <c:v>9.2061820943092787</c:v>
                </c:pt>
                <c:pt idx="440">
                  <c:v>10.190455981379722</c:v>
                </c:pt>
                <c:pt idx="441">
                  <c:v>-10.164264035854194</c:v>
                </c:pt>
                <c:pt idx="442">
                  <c:v>-9.1745944286219139</c:v>
                </c:pt>
                <c:pt idx="443">
                  <c:v>-8.1832729727190028</c:v>
                </c:pt>
                <c:pt idx="444">
                  <c:v>-7.188905022126308</c:v>
                </c:pt>
                <c:pt idx="445">
                  <c:v>-6.1896413358563453</c:v>
                </c:pt>
                <c:pt idx="446">
                  <c:v>-5.1832617427948646</c:v>
                </c:pt>
                <c:pt idx="447">
                  <c:v>-4.1674800388024176</c:v>
                </c:pt>
                <c:pt idx="448">
                  <c:v>-3.1405459080236349</c:v>
                </c:pt>
                <c:pt idx="449">
                  <c:v>-2.1020851014714248</c:v>
                </c:pt>
                <c:pt idx="450">
                  <c:v>-1.053869135647334</c:v>
                </c:pt>
                <c:pt idx="451">
                  <c:v>0</c:v>
                </c:pt>
                <c:pt idx="452">
                  <c:v>1.053869135647334</c:v>
                </c:pt>
                <c:pt idx="453">
                  <c:v>2.1020851014714248</c:v>
                </c:pt>
                <c:pt idx="454">
                  <c:v>3.1405459080236349</c:v>
                </c:pt>
                <c:pt idx="455">
                  <c:v>4.1674800388024176</c:v>
                </c:pt>
                <c:pt idx="456">
                  <c:v>5.1832617427948646</c:v>
                </c:pt>
                <c:pt idx="457">
                  <c:v>6.1896413358563453</c:v>
                </c:pt>
                <c:pt idx="458">
                  <c:v>7.1889050221263071</c:v>
                </c:pt>
                <c:pt idx="459">
                  <c:v>8.1832729727190028</c:v>
                </c:pt>
                <c:pt idx="460">
                  <c:v>9.1745944286219139</c:v>
                </c:pt>
                <c:pt idx="461">
                  <c:v>10.164264035854194</c:v>
                </c:pt>
                <c:pt idx="462">
                  <c:v>-10.141421462303812</c:v>
                </c:pt>
                <c:pt idx="463">
                  <c:v>-9.1478376322686081</c:v>
                </c:pt>
                <c:pt idx="464">
                  <c:v>-8.1523647851033427</c:v>
                </c:pt>
                <c:pt idx="465">
                  <c:v>-7.1539497776309329</c:v>
                </c:pt>
                <c:pt idx="466">
                  <c:v>-6.1513224479074085</c:v>
                </c:pt>
                <c:pt idx="467">
                  <c:v>-5.1431085222890065</c:v>
                </c:pt>
                <c:pt idx="468">
                  <c:v>-4.1280659160673334</c:v>
                </c:pt>
                <c:pt idx="469">
                  <c:v>-3.1054489104559155</c:v>
                </c:pt>
                <c:pt idx="470">
                  <c:v>-2.0754293915351827</c:v>
                </c:pt>
                <c:pt idx="471">
                  <c:v>-1.0394074719979316</c:v>
                </c:pt>
                <c:pt idx="472">
                  <c:v>0</c:v>
                </c:pt>
                <c:pt idx="473">
                  <c:v>1.0394074719979316</c:v>
                </c:pt>
                <c:pt idx="474">
                  <c:v>2.0754293915351827</c:v>
                </c:pt>
                <c:pt idx="475">
                  <c:v>3.1054489104559155</c:v>
                </c:pt>
                <c:pt idx="476">
                  <c:v>4.1280659160673334</c:v>
                </c:pt>
                <c:pt idx="477">
                  <c:v>5.1431085222890065</c:v>
                </c:pt>
                <c:pt idx="478">
                  <c:v>6.1513224479074085</c:v>
                </c:pt>
                <c:pt idx="479">
                  <c:v>7.1539497776309329</c:v>
                </c:pt>
                <c:pt idx="480">
                  <c:v>8.1523647851033427</c:v>
                </c:pt>
                <c:pt idx="481">
                  <c:v>9.1478376322686081</c:v>
                </c:pt>
                <c:pt idx="482">
                  <c:v>10.141421462303812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3-46D0-851F-679022A18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431888"/>
        <c:axId val="570430808"/>
      </c:scatterChart>
      <c:valAx>
        <c:axId val="57043188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0430808"/>
        <c:crosses val="autoZero"/>
        <c:crossBetween val="midCat"/>
      </c:valAx>
      <c:valAx>
        <c:axId val="570430808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043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'ex7'!$A$7:$A$107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'ex7'!$B$7:$B$107</c:f>
              <c:numCache>
                <c:formatCode>General</c:formatCode>
                <c:ptCount val="101"/>
                <c:pt idx="0">
                  <c:v>0</c:v>
                </c:pt>
                <c:pt idx="1">
                  <c:v>3.465E-2</c:v>
                </c:pt>
                <c:pt idx="2">
                  <c:v>6.8600000000000008E-2</c:v>
                </c:pt>
                <c:pt idx="3">
                  <c:v>0.10185</c:v>
                </c:pt>
                <c:pt idx="4">
                  <c:v>0.13440000000000002</c:v>
                </c:pt>
                <c:pt idx="5">
                  <c:v>0.16625000000000001</c:v>
                </c:pt>
                <c:pt idx="6">
                  <c:v>0.19740000000000002</c:v>
                </c:pt>
                <c:pt idx="7">
                  <c:v>0.22785</c:v>
                </c:pt>
                <c:pt idx="8">
                  <c:v>0.25760000000000005</c:v>
                </c:pt>
                <c:pt idx="9">
                  <c:v>0.28665000000000002</c:v>
                </c:pt>
                <c:pt idx="10">
                  <c:v>0.315</c:v>
                </c:pt>
                <c:pt idx="11">
                  <c:v>0.34264999999999995</c:v>
                </c:pt>
                <c:pt idx="12">
                  <c:v>0.36959999999999993</c:v>
                </c:pt>
                <c:pt idx="13">
                  <c:v>0.39584999999999992</c:v>
                </c:pt>
                <c:pt idx="14">
                  <c:v>0.42139999999999994</c:v>
                </c:pt>
                <c:pt idx="15">
                  <c:v>0.44624999999999998</c:v>
                </c:pt>
                <c:pt idx="16">
                  <c:v>0.47040000000000004</c:v>
                </c:pt>
                <c:pt idx="17">
                  <c:v>0.49385000000000007</c:v>
                </c:pt>
                <c:pt idx="18">
                  <c:v>0.51660000000000006</c:v>
                </c:pt>
                <c:pt idx="19">
                  <c:v>0.53865000000000007</c:v>
                </c:pt>
                <c:pt idx="20">
                  <c:v>0.56000000000000005</c:v>
                </c:pt>
                <c:pt idx="21">
                  <c:v>0.58065000000000011</c:v>
                </c:pt>
                <c:pt idx="22">
                  <c:v>0.60060000000000013</c:v>
                </c:pt>
                <c:pt idx="23">
                  <c:v>0.61985000000000012</c:v>
                </c:pt>
                <c:pt idx="24">
                  <c:v>0.63840000000000019</c:v>
                </c:pt>
                <c:pt idx="25">
                  <c:v>0.65625000000000022</c:v>
                </c:pt>
                <c:pt idx="26">
                  <c:v>0.67340000000000022</c:v>
                </c:pt>
                <c:pt idx="27">
                  <c:v>0.68985000000000019</c:v>
                </c:pt>
                <c:pt idx="28">
                  <c:v>0.70560000000000023</c:v>
                </c:pt>
                <c:pt idx="29">
                  <c:v>0.72065000000000023</c:v>
                </c:pt>
                <c:pt idx="30">
                  <c:v>0.7350000000000001</c:v>
                </c:pt>
                <c:pt idx="31">
                  <c:v>0.74865000000000026</c:v>
                </c:pt>
                <c:pt idx="32">
                  <c:v>0.76160000000000017</c:v>
                </c:pt>
                <c:pt idx="33">
                  <c:v>0.77385000000000026</c:v>
                </c:pt>
                <c:pt idx="34">
                  <c:v>0.78540000000000021</c:v>
                </c:pt>
                <c:pt idx="35">
                  <c:v>0.79625000000000024</c:v>
                </c:pt>
                <c:pt idx="36">
                  <c:v>0.80640000000000012</c:v>
                </c:pt>
                <c:pt idx="37">
                  <c:v>0.81585000000000019</c:v>
                </c:pt>
                <c:pt idx="38">
                  <c:v>0.82460000000000011</c:v>
                </c:pt>
                <c:pt idx="39">
                  <c:v>0.83265000000000022</c:v>
                </c:pt>
                <c:pt idx="40">
                  <c:v>0.84000000000000019</c:v>
                </c:pt>
                <c:pt idx="41">
                  <c:v>0.84665000000000024</c:v>
                </c:pt>
                <c:pt idx="42">
                  <c:v>0.85260000000000014</c:v>
                </c:pt>
                <c:pt idx="43">
                  <c:v>0.85785000000000022</c:v>
                </c:pt>
                <c:pt idx="44">
                  <c:v>0.86240000000000017</c:v>
                </c:pt>
                <c:pt idx="45">
                  <c:v>0.86625000000000019</c:v>
                </c:pt>
                <c:pt idx="46">
                  <c:v>0.86940000000000006</c:v>
                </c:pt>
                <c:pt idx="47">
                  <c:v>0.87185000000000012</c:v>
                </c:pt>
                <c:pt idx="48">
                  <c:v>0.87360000000000004</c:v>
                </c:pt>
                <c:pt idx="49">
                  <c:v>0.87465000000000015</c:v>
                </c:pt>
                <c:pt idx="50">
                  <c:v>0.875</c:v>
                </c:pt>
                <c:pt idx="51">
                  <c:v>0.87465000000000004</c:v>
                </c:pt>
                <c:pt idx="52">
                  <c:v>0.87359999999999993</c:v>
                </c:pt>
                <c:pt idx="53">
                  <c:v>0.8718499999999999</c:v>
                </c:pt>
                <c:pt idx="54">
                  <c:v>0.86939999999999995</c:v>
                </c:pt>
                <c:pt idx="55">
                  <c:v>0.86624999999999985</c:v>
                </c:pt>
                <c:pt idx="56">
                  <c:v>0.86239999999999983</c:v>
                </c:pt>
                <c:pt idx="57">
                  <c:v>0.85784999999999989</c:v>
                </c:pt>
                <c:pt idx="58">
                  <c:v>0.85259999999999991</c:v>
                </c:pt>
                <c:pt idx="59">
                  <c:v>0.8466499999999999</c:v>
                </c:pt>
                <c:pt idx="60">
                  <c:v>0.83999999999999975</c:v>
                </c:pt>
                <c:pt idx="61">
                  <c:v>0.83264999999999978</c:v>
                </c:pt>
                <c:pt idx="62">
                  <c:v>0.82459999999999978</c:v>
                </c:pt>
                <c:pt idx="63">
                  <c:v>0.81584999999999963</c:v>
                </c:pt>
                <c:pt idx="64">
                  <c:v>0.80639999999999967</c:v>
                </c:pt>
                <c:pt idx="65">
                  <c:v>0.79624999999999968</c:v>
                </c:pt>
                <c:pt idx="66">
                  <c:v>0.78539999999999965</c:v>
                </c:pt>
                <c:pt idx="67">
                  <c:v>0.77384999999999959</c:v>
                </c:pt>
                <c:pt idx="68">
                  <c:v>0.7615999999999995</c:v>
                </c:pt>
                <c:pt idx="69">
                  <c:v>0.74864999999999948</c:v>
                </c:pt>
                <c:pt idx="70">
                  <c:v>0.73499999999999943</c:v>
                </c:pt>
                <c:pt idx="71">
                  <c:v>0.72064999999999935</c:v>
                </c:pt>
                <c:pt idx="72">
                  <c:v>0.70559999999999934</c:v>
                </c:pt>
                <c:pt idx="73">
                  <c:v>0.6898499999999993</c:v>
                </c:pt>
                <c:pt idx="74">
                  <c:v>0.67339999999999933</c:v>
                </c:pt>
                <c:pt idx="75">
                  <c:v>0.65624999999999933</c:v>
                </c:pt>
                <c:pt idx="76">
                  <c:v>0.63839999999999919</c:v>
                </c:pt>
                <c:pt idx="77">
                  <c:v>0.61984999999999912</c:v>
                </c:pt>
                <c:pt idx="78">
                  <c:v>0.60059999999999913</c:v>
                </c:pt>
                <c:pt idx="79">
                  <c:v>0.580649999999999</c:v>
                </c:pt>
                <c:pt idx="80">
                  <c:v>0.55999999999999894</c:v>
                </c:pt>
                <c:pt idx="81">
                  <c:v>0.53864999999999896</c:v>
                </c:pt>
                <c:pt idx="82">
                  <c:v>0.51659999999999884</c:v>
                </c:pt>
                <c:pt idx="83">
                  <c:v>0.49384999999999885</c:v>
                </c:pt>
                <c:pt idx="84">
                  <c:v>0.47039999999999871</c:v>
                </c:pt>
                <c:pt idx="85">
                  <c:v>0.4462499999999987</c:v>
                </c:pt>
                <c:pt idx="86">
                  <c:v>0.42139999999999866</c:v>
                </c:pt>
                <c:pt idx="87">
                  <c:v>0.39584999999999854</c:v>
                </c:pt>
                <c:pt idx="88">
                  <c:v>0.36959999999999849</c:v>
                </c:pt>
                <c:pt idx="89">
                  <c:v>0.34264999999999846</c:v>
                </c:pt>
                <c:pt idx="90">
                  <c:v>0.31499999999999839</c:v>
                </c:pt>
                <c:pt idx="91">
                  <c:v>0.28664999999999835</c:v>
                </c:pt>
                <c:pt idx="92">
                  <c:v>0.25759999999999822</c:v>
                </c:pt>
                <c:pt idx="93">
                  <c:v>0.22784999999999819</c:v>
                </c:pt>
                <c:pt idx="94">
                  <c:v>0.19739999999999813</c:v>
                </c:pt>
                <c:pt idx="95">
                  <c:v>0.16624999999999804</c:v>
                </c:pt>
                <c:pt idx="96">
                  <c:v>0.13439999999999797</c:v>
                </c:pt>
                <c:pt idx="97">
                  <c:v>0.1018499999999979</c:v>
                </c:pt>
                <c:pt idx="98">
                  <c:v>6.8599999999997829E-2</c:v>
                </c:pt>
                <c:pt idx="99">
                  <c:v>3.4649999999997745E-2</c:v>
                </c:pt>
                <c:pt idx="100">
                  <c:v>-2.3314683517128303E-15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6-45A7-93B9-5CD54BD867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'ex7'!$I$7:$I$1008</c:f>
              <c:numCache>
                <c:formatCode>General</c:formatCode>
                <c:ptCount val="1002"/>
                <c:pt idx="0">
                  <c:v>0.1</c:v>
                </c:pt>
                <c:pt idx="1">
                  <c:v>0.1</c:v>
                </c:pt>
                <c:pt idx="2">
                  <c:v>0.31500000000000006</c:v>
                </c:pt>
                <c:pt idx="3">
                  <c:v>0.31500000000000006</c:v>
                </c:pt>
                <c:pt idx="4">
                  <c:v>0.75521250000000006</c:v>
                </c:pt>
                <c:pt idx="5">
                  <c:v>0.75521250000000006</c:v>
                </c:pt>
                <c:pt idx="6">
                  <c:v>0.64703302945312491</c:v>
                </c:pt>
                <c:pt idx="7">
                  <c:v>0.64703302945312491</c:v>
                </c:pt>
                <c:pt idx="8">
                  <c:v>0.79933450887442781</c:v>
                </c:pt>
                <c:pt idx="9">
                  <c:v>0.79933450887442781</c:v>
                </c:pt>
                <c:pt idx="10">
                  <c:v>0.56139598128916779</c:v>
                </c:pt>
                <c:pt idx="11">
                  <c:v>0.56139598128916779</c:v>
                </c:pt>
                <c:pt idx="12">
                  <c:v>0.86180686718539057</c:v>
                </c:pt>
                <c:pt idx="13">
                  <c:v>0.86180686718539057</c:v>
                </c:pt>
                <c:pt idx="14">
                  <c:v>0.416835268001226</c:v>
                </c:pt>
                <c:pt idx="15">
                  <c:v>0.416835268001226</c:v>
                </c:pt>
                <c:pt idx="16">
                  <c:v>0.85079269573050242</c:v>
                </c:pt>
                <c:pt idx="17">
                  <c:v>0.85079269573050242</c:v>
                </c:pt>
                <c:pt idx="18">
                  <c:v>0.44430569617744498</c:v>
                </c:pt>
                <c:pt idx="19">
                  <c:v>0.44430569617744498</c:v>
                </c:pt>
                <c:pt idx="20">
                  <c:v>0.86414350582602328</c:v>
                </c:pt>
                <c:pt idx="21">
                  <c:v>0.86414350582602328</c:v>
                </c:pt>
                <c:pt idx="22">
                  <c:v>0.41089827507656534</c:v>
                </c:pt>
                <c:pt idx="23">
                  <c:v>0.41089827507656534</c:v>
                </c:pt>
                <c:pt idx="24">
                  <c:v>0.84721308915484006</c:v>
                </c:pt>
                <c:pt idx="25">
                  <c:v>0.84721308915484006</c:v>
                </c:pt>
                <c:pt idx="26">
                  <c:v>0.45305074751843583</c:v>
                </c:pt>
                <c:pt idx="27">
                  <c:v>0.45305074751843583</c:v>
                </c:pt>
                <c:pt idx="28">
                  <c:v>0.86728518691997825</c:v>
                </c:pt>
                <c:pt idx="29">
                  <c:v>0.86728518691997825</c:v>
                </c:pt>
                <c:pt idx="30">
                  <c:v>0.40285557014204826</c:v>
                </c:pt>
                <c:pt idx="31">
                  <c:v>0.40285557014204826</c:v>
                </c:pt>
                <c:pt idx="32">
                  <c:v>0.84197035911650731</c:v>
                </c:pt>
                <c:pt idx="33">
                  <c:v>0.84197035911650731</c:v>
                </c:pt>
                <c:pt idx="34">
                  <c:v>0.46569695720004461</c:v>
                </c:pt>
                <c:pt idx="35">
                  <c:v>0.46569695720004461</c:v>
                </c:pt>
                <c:pt idx="36">
                  <c:v>0.87088155439132542</c:v>
                </c:pt>
                <c:pt idx="37">
                  <c:v>0.87088155439132542</c:v>
                </c:pt>
                <c:pt idx="38">
                  <c:v>0.39356405414296014</c:v>
                </c:pt>
                <c:pt idx="39">
                  <c:v>0.39356405414296014</c:v>
                </c:pt>
                <c:pt idx="40">
                  <c:v>0.8353498630033106</c:v>
                </c:pt>
                <c:pt idx="41">
                  <c:v>0.8353498630033106</c:v>
                </c:pt>
                <c:pt idx="42">
                  <c:v>0.48139164284281283</c:v>
                </c:pt>
                <c:pt idx="43">
                  <c:v>0.48139164284281283</c:v>
                </c:pt>
                <c:pt idx="44">
                  <c:v>0.87378805165368689</c:v>
                </c:pt>
                <c:pt idx="45">
                  <c:v>0.87378805165368689</c:v>
                </c:pt>
                <c:pt idx="46">
                  <c:v>0.38598872354329244</c:v>
                </c:pt>
                <c:pt idx="47">
                  <c:v>0.38598872354329244</c:v>
                </c:pt>
                <c:pt idx="48">
                  <c:v>0.82950500094249269</c:v>
                </c:pt>
                <c:pt idx="49">
                  <c:v>0.82950500094249269</c:v>
                </c:pt>
                <c:pt idx="50">
                  <c:v>0.49499259023860764</c:v>
                </c:pt>
                <c:pt idx="51">
                  <c:v>0.49499259023860764</c:v>
                </c:pt>
                <c:pt idx="52">
                  <c:v>0.87491224046618532</c:v>
                </c:pt>
                <c:pt idx="53">
                  <c:v>0.87491224046618532</c:v>
                </c:pt>
                <c:pt idx="54">
                  <c:v>0.38304284182018827</c:v>
                </c:pt>
                <c:pt idx="55">
                  <c:v>0.38304284182018827</c:v>
                </c:pt>
                <c:pt idx="56">
                  <c:v>0.82712358102675865</c:v>
                </c:pt>
                <c:pt idx="57">
                  <c:v>0.82712358102675865</c:v>
                </c:pt>
                <c:pt idx="58">
                  <c:v>0.50046556957680388</c:v>
                </c:pt>
                <c:pt idx="59">
                  <c:v>0.50046556957680388</c:v>
                </c:pt>
                <c:pt idx="60">
                  <c:v>0.87499924135739204</c:v>
                </c:pt>
                <c:pt idx="61">
                  <c:v>0.87499924135739204</c:v>
                </c:pt>
                <c:pt idx="62">
                  <c:v>0.38281449143483154</c:v>
                </c:pt>
                <c:pt idx="63">
                  <c:v>0.38281449143483154</c:v>
                </c:pt>
                <c:pt idx="64">
                  <c:v>0.82693644803812993</c:v>
                </c:pt>
                <c:pt idx="65">
                  <c:v>0.82693644803812993</c:v>
                </c:pt>
                <c:pt idx="66">
                  <c:v>0.5008939563047391</c:v>
                </c:pt>
                <c:pt idx="67">
                  <c:v>0.5008939563047391</c:v>
                </c:pt>
                <c:pt idx="68">
                  <c:v>0.87499720294743832</c:v>
                </c:pt>
                <c:pt idx="69">
                  <c:v>0.87499720294743832</c:v>
                </c:pt>
                <c:pt idx="70">
                  <c:v>0.38281984223559218</c:v>
                </c:pt>
                <c:pt idx="71">
                  <c:v>0.38281984223559218</c:v>
                </c:pt>
                <c:pt idx="72">
                  <c:v>0.82694083719207978</c:v>
                </c:pt>
                <c:pt idx="73">
                  <c:v>0.82694083719207978</c:v>
                </c:pt>
                <c:pt idx="74">
                  <c:v>0.50088391141649691</c:v>
                </c:pt>
                <c:pt idx="75">
                  <c:v>0.50088391141649691</c:v>
                </c:pt>
                <c:pt idx="76">
                  <c:v>0.8749972654521273</c:v>
                </c:pt>
                <c:pt idx="77">
                  <c:v>0.8749972654521273</c:v>
                </c:pt>
                <c:pt idx="78">
                  <c:v>0.38281967816199369</c:v>
                </c:pt>
                <c:pt idx="79">
                  <c:v>0.38281967816199369</c:v>
                </c:pt>
                <c:pt idx="80">
                  <c:v>0.82694070260879438</c:v>
                </c:pt>
                <c:pt idx="81">
                  <c:v>0.82694070260879438</c:v>
                </c:pt>
                <c:pt idx="82">
                  <c:v>0.50088421942183758</c:v>
                </c:pt>
                <c:pt idx="83">
                  <c:v>0.50088421942183758</c:v>
                </c:pt>
                <c:pt idx="84">
                  <c:v>0.87499726354604912</c:v>
                </c:pt>
                <c:pt idx="85">
                  <c:v>0.87499726354604912</c:v>
                </c:pt>
                <c:pt idx="86">
                  <c:v>0.38281968316541243</c:v>
                </c:pt>
                <c:pt idx="87">
                  <c:v>0.38281968316541243</c:v>
                </c:pt>
                <c:pt idx="88">
                  <c:v>0.82694070671290987</c:v>
                </c:pt>
                <c:pt idx="89">
                  <c:v>0.82694070671290987</c:v>
                </c:pt>
                <c:pt idx="90">
                  <c:v>0.50088421002922068</c:v>
                </c:pt>
                <c:pt idx="91">
                  <c:v>0.50088421002922068</c:v>
                </c:pt>
                <c:pt idx="92">
                  <c:v>0.87499726360418473</c:v>
                </c:pt>
                <c:pt idx="93">
                  <c:v>0.87499726360418473</c:v>
                </c:pt>
                <c:pt idx="94">
                  <c:v>0.38281968301280761</c:v>
                </c:pt>
                <c:pt idx="95">
                  <c:v>0.38281968301280761</c:v>
                </c:pt>
                <c:pt idx="96">
                  <c:v>0.82694070658773378</c:v>
                </c:pt>
                <c:pt idx="97">
                  <c:v>0.82694070658773378</c:v>
                </c:pt>
                <c:pt idx="98">
                  <c:v>0.50088421031569685</c:v>
                </c:pt>
                <c:pt idx="99">
                  <c:v>0.50088421031569685</c:v>
                </c:pt>
                <c:pt idx="100">
                  <c:v>0.87499726360241159</c:v>
                </c:pt>
                <c:pt idx="101">
                  <c:v>0.87499726360241159</c:v>
                </c:pt>
                <c:pt idx="102">
                  <c:v>0.38281968301746205</c:v>
                </c:pt>
                <c:pt idx="103">
                  <c:v>0.38281968301746205</c:v>
                </c:pt>
                <c:pt idx="104">
                  <c:v>0.82694070659155172</c:v>
                </c:pt>
                <c:pt idx="105">
                  <c:v>0.82694070659155172</c:v>
                </c:pt>
                <c:pt idx="106">
                  <c:v>0.50088421030695907</c:v>
                </c:pt>
                <c:pt idx="107">
                  <c:v>0.50088421030695907</c:v>
                </c:pt>
                <c:pt idx="108">
                  <c:v>0.87499726360246577</c:v>
                </c:pt>
                <c:pt idx="109">
                  <c:v>0.87499726360246577</c:v>
                </c:pt>
                <c:pt idx="110">
                  <c:v>0.38281968301731983</c:v>
                </c:pt>
                <c:pt idx="111">
                  <c:v>0.38281968301731983</c:v>
                </c:pt>
                <c:pt idx="112">
                  <c:v>0.82694070659143515</c:v>
                </c:pt>
                <c:pt idx="113">
                  <c:v>0.82694070659143515</c:v>
                </c:pt>
                <c:pt idx="114">
                  <c:v>0.50088421030722596</c:v>
                </c:pt>
                <c:pt idx="115">
                  <c:v>0.50088421030722596</c:v>
                </c:pt>
                <c:pt idx="116">
                  <c:v>0.8749972636024641</c:v>
                </c:pt>
                <c:pt idx="117">
                  <c:v>0.8749972636024641</c:v>
                </c:pt>
                <c:pt idx="118">
                  <c:v>0.38281968301732416</c:v>
                </c:pt>
                <c:pt idx="119">
                  <c:v>0.38281968301732416</c:v>
                </c:pt>
                <c:pt idx="120">
                  <c:v>0.8269407065914387</c:v>
                </c:pt>
                <c:pt idx="121">
                  <c:v>0.8269407065914387</c:v>
                </c:pt>
                <c:pt idx="122">
                  <c:v>0.50088421030721786</c:v>
                </c:pt>
                <c:pt idx="123">
                  <c:v>0.50088421030721786</c:v>
                </c:pt>
                <c:pt idx="124">
                  <c:v>0.8749972636024641</c:v>
                </c:pt>
                <c:pt idx="125">
                  <c:v>0.8749972636024641</c:v>
                </c:pt>
                <c:pt idx="126">
                  <c:v>0.38281968301732416</c:v>
                </c:pt>
                <c:pt idx="127">
                  <c:v>0.38281968301732416</c:v>
                </c:pt>
                <c:pt idx="128">
                  <c:v>0.8269407065914387</c:v>
                </c:pt>
                <c:pt idx="129">
                  <c:v>0.8269407065914387</c:v>
                </c:pt>
                <c:pt idx="130">
                  <c:v>0.50088421030721786</c:v>
                </c:pt>
                <c:pt idx="131">
                  <c:v>0.50088421030721786</c:v>
                </c:pt>
                <c:pt idx="132">
                  <c:v>0.8749972636024641</c:v>
                </c:pt>
                <c:pt idx="133">
                  <c:v>0.8749972636024641</c:v>
                </c:pt>
                <c:pt idx="134">
                  <c:v>0.38281968301732416</c:v>
                </c:pt>
                <c:pt idx="135">
                  <c:v>0.38281968301732416</c:v>
                </c:pt>
                <c:pt idx="136">
                  <c:v>0.8269407065914387</c:v>
                </c:pt>
                <c:pt idx="137">
                  <c:v>0.8269407065914387</c:v>
                </c:pt>
                <c:pt idx="138">
                  <c:v>0.50088421030721786</c:v>
                </c:pt>
                <c:pt idx="139">
                  <c:v>0.50088421030721786</c:v>
                </c:pt>
                <c:pt idx="140">
                  <c:v>0.8749972636024641</c:v>
                </c:pt>
                <c:pt idx="141">
                  <c:v>0.8749972636024641</c:v>
                </c:pt>
                <c:pt idx="142">
                  <c:v>0.38281968301732416</c:v>
                </c:pt>
                <c:pt idx="143">
                  <c:v>0.38281968301732416</c:v>
                </c:pt>
                <c:pt idx="144">
                  <c:v>0.8269407065914387</c:v>
                </c:pt>
                <c:pt idx="145">
                  <c:v>0.8269407065914387</c:v>
                </c:pt>
                <c:pt idx="146">
                  <c:v>0.50088421030721786</c:v>
                </c:pt>
                <c:pt idx="147">
                  <c:v>0.50088421030721786</c:v>
                </c:pt>
                <c:pt idx="148">
                  <c:v>0.8749972636024641</c:v>
                </c:pt>
                <c:pt idx="149">
                  <c:v>0.8749972636024641</c:v>
                </c:pt>
                <c:pt idx="150">
                  <c:v>0.38281968301732416</c:v>
                </c:pt>
                <c:pt idx="151">
                  <c:v>0.38281968301732416</c:v>
                </c:pt>
                <c:pt idx="152">
                  <c:v>0.8269407065914387</c:v>
                </c:pt>
                <c:pt idx="153">
                  <c:v>0.8269407065914387</c:v>
                </c:pt>
                <c:pt idx="154">
                  <c:v>0.50088421030721786</c:v>
                </c:pt>
                <c:pt idx="155">
                  <c:v>0.50088421030721786</c:v>
                </c:pt>
                <c:pt idx="156">
                  <c:v>0.8749972636024641</c:v>
                </c:pt>
                <c:pt idx="157">
                  <c:v>0.8749972636024641</c:v>
                </c:pt>
                <c:pt idx="158">
                  <c:v>0.38281968301732416</c:v>
                </c:pt>
                <c:pt idx="159">
                  <c:v>0.38281968301732416</c:v>
                </c:pt>
                <c:pt idx="160">
                  <c:v>0.8269407065914387</c:v>
                </c:pt>
                <c:pt idx="161">
                  <c:v>0.8269407065914387</c:v>
                </c:pt>
                <c:pt idx="162">
                  <c:v>0.50088421030721786</c:v>
                </c:pt>
                <c:pt idx="163">
                  <c:v>0.50088421030721786</c:v>
                </c:pt>
                <c:pt idx="164">
                  <c:v>0.8749972636024641</c:v>
                </c:pt>
                <c:pt idx="165">
                  <c:v>0.8749972636024641</c:v>
                </c:pt>
                <c:pt idx="166">
                  <c:v>0.38281968301732416</c:v>
                </c:pt>
                <c:pt idx="167">
                  <c:v>0.38281968301732416</c:v>
                </c:pt>
                <c:pt idx="168">
                  <c:v>0.8269407065914387</c:v>
                </c:pt>
                <c:pt idx="169">
                  <c:v>0.8269407065914387</c:v>
                </c:pt>
                <c:pt idx="170">
                  <c:v>0.50088421030721786</c:v>
                </c:pt>
                <c:pt idx="171">
                  <c:v>0.50088421030721786</c:v>
                </c:pt>
                <c:pt idx="172">
                  <c:v>0.8749972636024641</c:v>
                </c:pt>
                <c:pt idx="173">
                  <c:v>0.8749972636024641</c:v>
                </c:pt>
                <c:pt idx="174">
                  <c:v>0.38281968301732416</c:v>
                </c:pt>
                <c:pt idx="175">
                  <c:v>0.38281968301732416</c:v>
                </c:pt>
                <c:pt idx="176">
                  <c:v>0.8269407065914387</c:v>
                </c:pt>
                <c:pt idx="177">
                  <c:v>0.8269407065914387</c:v>
                </c:pt>
                <c:pt idx="178">
                  <c:v>0.50088421030721786</c:v>
                </c:pt>
                <c:pt idx="179">
                  <c:v>0.50088421030721786</c:v>
                </c:pt>
                <c:pt idx="180">
                  <c:v>0.8749972636024641</c:v>
                </c:pt>
                <c:pt idx="181">
                  <c:v>0.8749972636024641</c:v>
                </c:pt>
                <c:pt idx="182">
                  <c:v>0.38281968301732416</c:v>
                </c:pt>
                <c:pt idx="183">
                  <c:v>0.38281968301732416</c:v>
                </c:pt>
                <c:pt idx="184">
                  <c:v>0.8269407065914387</c:v>
                </c:pt>
                <c:pt idx="185">
                  <c:v>0.8269407065914387</c:v>
                </c:pt>
                <c:pt idx="186">
                  <c:v>0.50088421030721786</c:v>
                </c:pt>
                <c:pt idx="187">
                  <c:v>0.50088421030721786</c:v>
                </c:pt>
                <c:pt idx="188">
                  <c:v>0.8749972636024641</c:v>
                </c:pt>
                <c:pt idx="189">
                  <c:v>0.8749972636024641</c:v>
                </c:pt>
                <c:pt idx="190">
                  <c:v>0.38281968301732416</c:v>
                </c:pt>
                <c:pt idx="191">
                  <c:v>0.38281968301732416</c:v>
                </c:pt>
                <c:pt idx="192">
                  <c:v>0.8269407065914387</c:v>
                </c:pt>
                <c:pt idx="193">
                  <c:v>0.8269407065914387</c:v>
                </c:pt>
                <c:pt idx="194">
                  <c:v>0.50088421030721786</c:v>
                </c:pt>
                <c:pt idx="195">
                  <c:v>0.50088421030721786</c:v>
                </c:pt>
                <c:pt idx="196">
                  <c:v>0.8749972636024641</c:v>
                </c:pt>
                <c:pt idx="197">
                  <c:v>0.8749972636024641</c:v>
                </c:pt>
                <c:pt idx="198">
                  <c:v>0.38281968301732416</c:v>
                </c:pt>
                <c:pt idx="199">
                  <c:v>0.38281968301732416</c:v>
                </c:pt>
                <c:pt idx="200">
                  <c:v>0.8269407065914387</c:v>
                </c:pt>
                <c:pt idx="201">
                  <c:v>0.8269407065914387</c:v>
                </c:pt>
                <c:pt idx="202">
                  <c:v>0.50088421030721786</c:v>
                </c:pt>
                <c:pt idx="203">
                  <c:v>0.50088421030721786</c:v>
                </c:pt>
                <c:pt idx="204">
                  <c:v>0.8749972636024641</c:v>
                </c:pt>
                <c:pt idx="205">
                  <c:v>0.8749972636024641</c:v>
                </c:pt>
                <c:pt idx="206">
                  <c:v>0.38281968301732416</c:v>
                </c:pt>
                <c:pt idx="207">
                  <c:v>0.38281968301732416</c:v>
                </c:pt>
                <c:pt idx="208">
                  <c:v>0.8269407065914387</c:v>
                </c:pt>
                <c:pt idx="209">
                  <c:v>0.8269407065914387</c:v>
                </c:pt>
                <c:pt idx="210">
                  <c:v>0.50088421030721786</c:v>
                </c:pt>
                <c:pt idx="211">
                  <c:v>0.50088421030721786</c:v>
                </c:pt>
                <c:pt idx="212">
                  <c:v>0.8749972636024641</c:v>
                </c:pt>
                <c:pt idx="213">
                  <c:v>0.8749972636024641</c:v>
                </c:pt>
                <c:pt idx="214">
                  <c:v>0.38281968301732416</c:v>
                </c:pt>
                <c:pt idx="215">
                  <c:v>0.38281968301732416</c:v>
                </c:pt>
                <c:pt idx="216">
                  <c:v>0.8269407065914387</c:v>
                </c:pt>
                <c:pt idx="217">
                  <c:v>0.8269407065914387</c:v>
                </c:pt>
                <c:pt idx="218">
                  <c:v>0.50088421030721786</c:v>
                </c:pt>
                <c:pt idx="219">
                  <c:v>0.50088421030721786</c:v>
                </c:pt>
                <c:pt idx="220">
                  <c:v>0.8749972636024641</c:v>
                </c:pt>
                <c:pt idx="221">
                  <c:v>0.8749972636024641</c:v>
                </c:pt>
                <c:pt idx="222">
                  <c:v>0.38281968301732416</c:v>
                </c:pt>
                <c:pt idx="223">
                  <c:v>0.38281968301732416</c:v>
                </c:pt>
                <c:pt idx="224">
                  <c:v>0.8269407065914387</c:v>
                </c:pt>
                <c:pt idx="225">
                  <c:v>0.8269407065914387</c:v>
                </c:pt>
                <c:pt idx="226">
                  <c:v>0.50088421030721786</c:v>
                </c:pt>
                <c:pt idx="227">
                  <c:v>0.50088421030721786</c:v>
                </c:pt>
                <c:pt idx="228">
                  <c:v>0.8749972636024641</c:v>
                </c:pt>
                <c:pt idx="229">
                  <c:v>0.8749972636024641</c:v>
                </c:pt>
                <c:pt idx="230">
                  <c:v>0.38281968301732416</c:v>
                </c:pt>
                <c:pt idx="231">
                  <c:v>0.38281968301732416</c:v>
                </c:pt>
                <c:pt idx="232">
                  <c:v>0.8269407065914387</c:v>
                </c:pt>
                <c:pt idx="233">
                  <c:v>0.8269407065914387</c:v>
                </c:pt>
                <c:pt idx="234">
                  <c:v>0.50088421030721786</c:v>
                </c:pt>
                <c:pt idx="235">
                  <c:v>0.50088421030721786</c:v>
                </c:pt>
                <c:pt idx="236">
                  <c:v>0.8749972636024641</c:v>
                </c:pt>
                <c:pt idx="237">
                  <c:v>0.8749972636024641</c:v>
                </c:pt>
                <c:pt idx="238">
                  <c:v>0.38281968301732416</c:v>
                </c:pt>
                <c:pt idx="239">
                  <c:v>0.38281968301732416</c:v>
                </c:pt>
                <c:pt idx="240">
                  <c:v>0.8269407065914387</c:v>
                </c:pt>
                <c:pt idx="241">
                  <c:v>0.8269407065914387</c:v>
                </c:pt>
                <c:pt idx="242">
                  <c:v>0.50088421030721786</c:v>
                </c:pt>
                <c:pt idx="243">
                  <c:v>0.50088421030721786</c:v>
                </c:pt>
                <c:pt idx="244">
                  <c:v>0.8749972636024641</c:v>
                </c:pt>
                <c:pt idx="245">
                  <c:v>0.8749972636024641</c:v>
                </c:pt>
                <c:pt idx="246">
                  <c:v>0.38281968301732416</c:v>
                </c:pt>
                <c:pt idx="247">
                  <c:v>0.38281968301732416</c:v>
                </c:pt>
                <c:pt idx="248">
                  <c:v>0.8269407065914387</c:v>
                </c:pt>
                <c:pt idx="249">
                  <c:v>0.8269407065914387</c:v>
                </c:pt>
                <c:pt idx="250">
                  <c:v>0.50088421030721786</c:v>
                </c:pt>
                <c:pt idx="251">
                  <c:v>0.50088421030721786</c:v>
                </c:pt>
                <c:pt idx="252">
                  <c:v>0.8749972636024641</c:v>
                </c:pt>
                <c:pt idx="253">
                  <c:v>0.8749972636024641</c:v>
                </c:pt>
                <c:pt idx="254">
                  <c:v>0.38281968301732416</c:v>
                </c:pt>
                <c:pt idx="255">
                  <c:v>0.38281968301732416</c:v>
                </c:pt>
                <c:pt idx="256">
                  <c:v>0.8269407065914387</c:v>
                </c:pt>
                <c:pt idx="257">
                  <c:v>0.8269407065914387</c:v>
                </c:pt>
                <c:pt idx="258">
                  <c:v>0.50088421030721786</c:v>
                </c:pt>
                <c:pt idx="259">
                  <c:v>0.50088421030721786</c:v>
                </c:pt>
                <c:pt idx="260">
                  <c:v>0.8749972636024641</c:v>
                </c:pt>
                <c:pt idx="261">
                  <c:v>0.8749972636024641</c:v>
                </c:pt>
                <c:pt idx="262">
                  <c:v>0.38281968301732416</c:v>
                </c:pt>
                <c:pt idx="263">
                  <c:v>0.38281968301732416</c:v>
                </c:pt>
                <c:pt idx="264">
                  <c:v>0.8269407065914387</c:v>
                </c:pt>
                <c:pt idx="265">
                  <c:v>0.8269407065914387</c:v>
                </c:pt>
                <c:pt idx="266">
                  <c:v>0.50088421030721786</c:v>
                </c:pt>
                <c:pt idx="267">
                  <c:v>0.50088421030721786</c:v>
                </c:pt>
                <c:pt idx="268">
                  <c:v>0.8749972636024641</c:v>
                </c:pt>
                <c:pt idx="269">
                  <c:v>0.8749972636024641</c:v>
                </c:pt>
                <c:pt idx="270">
                  <c:v>0.38281968301732416</c:v>
                </c:pt>
                <c:pt idx="271">
                  <c:v>0.38281968301732416</c:v>
                </c:pt>
                <c:pt idx="272">
                  <c:v>0.8269407065914387</c:v>
                </c:pt>
                <c:pt idx="273">
                  <c:v>0.8269407065914387</c:v>
                </c:pt>
                <c:pt idx="274">
                  <c:v>0.50088421030721786</c:v>
                </c:pt>
                <c:pt idx="275">
                  <c:v>0.50088421030721786</c:v>
                </c:pt>
                <c:pt idx="276">
                  <c:v>0.8749972636024641</c:v>
                </c:pt>
                <c:pt idx="277">
                  <c:v>0.8749972636024641</c:v>
                </c:pt>
                <c:pt idx="278">
                  <c:v>0.38281968301732416</c:v>
                </c:pt>
                <c:pt idx="279">
                  <c:v>0.38281968301732416</c:v>
                </c:pt>
                <c:pt idx="280">
                  <c:v>0.8269407065914387</c:v>
                </c:pt>
                <c:pt idx="281">
                  <c:v>0.8269407065914387</c:v>
                </c:pt>
                <c:pt idx="282">
                  <c:v>0.50088421030721786</c:v>
                </c:pt>
                <c:pt idx="283">
                  <c:v>0.50088421030721786</c:v>
                </c:pt>
                <c:pt idx="284">
                  <c:v>0.8749972636024641</c:v>
                </c:pt>
                <c:pt idx="285">
                  <c:v>0.8749972636024641</c:v>
                </c:pt>
                <c:pt idx="286">
                  <c:v>0.38281968301732416</c:v>
                </c:pt>
                <c:pt idx="287">
                  <c:v>0.38281968301732416</c:v>
                </c:pt>
                <c:pt idx="288">
                  <c:v>0.8269407065914387</c:v>
                </c:pt>
                <c:pt idx="289">
                  <c:v>0.8269407065914387</c:v>
                </c:pt>
                <c:pt idx="290">
                  <c:v>0.50088421030721786</c:v>
                </c:pt>
                <c:pt idx="291">
                  <c:v>0.50088421030721786</c:v>
                </c:pt>
                <c:pt idx="292">
                  <c:v>0.8749972636024641</c:v>
                </c:pt>
                <c:pt idx="293">
                  <c:v>0.8749972636024641</c:v>
                </c:pt>
                <c:pt idx="294">
                  <c:v>0.38281968301732416</c:v>
                </c:pt>
                <c:pt idx="295">
                  <c:v>0.38281968301732416</c:v>
                </c:pt>
                <c:pt idx="296">
                  <c:v>0.8269407065914387</c:v>
                </c:pt>
                <c:pt idx="297">
                  <c:v>0.8269407065914387</c:v>
                </c:pt>
                <c:pt idx="298">
                  <c:v>0.50088421030721786</c:v>
                </c:pt>
                <c:pt idx="299">
                  <c:v>0.50088421030721786</c:v>
                </c:pt>
                <c:pt idx="300">
                  <c:v>0.8749972636024641</c:v>
                </c:pt>
                <c:pt idx="301">
                  <c:v>0.8749972636024641</c:v>
                </c:pt>
                <c:pt idx="302">
                  <c:v>0.38281968301732416</c:v>
                </c:pt>
                <c:pt idx="303">
                  <c:v>0.38281968301732416</c:v>
                </c:pt>
                <c:pt idx="304">
                  <c:v>0.8269407065914387</c:v>
                </c:pt>
                <c:pt idx="305">
                  <c:v>0.8269407065914387</c:v>
                </c:pt>
                <c:pt idx="306">
                  <c:v>0.50088421030721786</c:v>
                </c:pt>
                <c:pt idx="307">
                  <c:v>0.50088421030721786</c:v>
                </c:pt>
                <c:pt idx="308">
                  <c:v>0.8749972636024641</c:v>
                </c:pt>
                <c:pt idx="309">
                  <c:v>0.8749972636024641</c:v>
                </c:pt>
                <c:pt idx="310">
                  <c:v>0.38281968301732416</c:v>
                </c:pt>
                <c:pt idx="311">
                  <c:v>0.38281968301732416</c:v>
                </c:pt>
                <c:pt idx="312">
                  <c:v>0.8269407065914387</c:v>
                </c:pt>
                <c:pt idx="313">
                  <c:v>0.8269407065914387</c:v>
                </c:pt>
                <c:pt idx="314">
                  <c:v>0.50088421030721786</c:v>
                </c:pt>
                <c:pt idx="315">
                  <c:v>0.50088421030721786</c:v>
                </c:pt>
                <c:pt idx="316">
                  <c:v>0.8749972636024641</c:v>
                </c:pt>
                <c:pt idx="317">
                  <c:v>0.8749972636024641</c:v>
                </c:pt>
                <c:pt idx="318">
                  <c:v>0.38281968301732416</c:v>
                </c:pt>
                <c:pt idx="319">
                  <c:v>0.38281968301732416</c:v>
                </c:pt>
                <c:pt idx="320">
                  <c:v>0.8269407065914387</c:v>
                </c:pt>
                <c:pt idx="321">
                  <c:v>0.8269407065914387</c:v>
                </c:pt>
                <c:pt idx="322">
                  <c:v>0.50088421030721786</c:v>
                </c:pt>
                <c:pt idx="323">
                  <c:v>0.50088421030721786</c:v>
                </c:pt>
                <c:pt idx="324">
                  <c:v>0.8749972636024641</c:v>
                </c:pt>
                <c:pt idx="325">
                  <c:v>0.8749972636024641</c:v>
                </c:pt>
                <c:pt idx="326">
                  <c:v>0.38281968301732416</c:v>
                </c:pt>
                <c:pt idx="327">
                  <c:v>0.38281968301732416</c:v>
                </c:pt>
                <c:pt idx="328">
                  <c:v>0.8269407065914387</c:v>
                </c:pt>
                <c:pt idx="329">
                  <c:v>0.8269407065914387</c:v>
                </c:pt>
                <c:pt idx="330">
                  <c:v>0.50088421030721786</c:v>
                </c:pt>
                <c:pt idx="331">
                  <c:v>0.50088421030721786</c:v>
                </c:pt>
                <c:pt idx="332">
                  <c:v>0.8749972636024641</c:v>
                </c:pt>
                <c:pt idx="333">
                  <c:v>0.8749972636024641</c:v>
                </c:pt>
                <c:pt idx="334">
                  <c:v>0.38281968301732416</c:v>
                </c:pt>
                <c:pt idx="335">
                  <c:v>0.38281968301732416</c:v>
                </c:pt>
                <c:pt idx="336">
                  <c:v>0.8269407065914387</c:v>
                </c:pt>
                <c:pt idx="337">
                  <c:v>0.8269407065914387</c:v>
                </c:pt>
                <c:pt idx="338">
                  <c:v>0.50088421030721786</c:v>
                </c:pt>
                <c:pt idx="339">
                  <c:v>0.50088421030721786</c:v>
                </c:pt>
                <c:pt idx="340">
                  <c:v>0.8749972636024641</c:v>
                </c:pt>
                <c:pt idx="341">
                  <c:v>0.8749972636024641</c:v>
                </c:pt>
                <c:pt idx="342">
                  <c:v>0.38281968301732416</c:v>
                </c:pt>
                <c:pt idx="343">
                  <c:v>0.38281968301732416</c:v>
                </c:pt>
                <c:pt idx="344">
                  <c:v>0.8269407065914387</c:v>
                </c:pt>
                <c:pt idx="345">
                  <c:v>0.8269407065914387</c:v>
                </c:pt>
                <c:pt idx="346">
                  <c:v>0.50088421030721786</c:v>
                </c:pt>
                <c:pt idx="347">
                  <c:v>0.50088421030721786</c:v>
                </c:pt>
                <c:pt idx="348">
                  <c:v>0.8749972636024641</c:v>
                </c:pt>
                <c:pt idx="349">
                  <c:v>0.8749972636024641</c:v>
                </c:pt>
                <c:pt idx="350">
                  <c:v>0.38281968301732416</c:v>
                </c:pt>
                <c:pt idx="351">
                  <c:v>0.38281968301732416</c:v>
                </c:pt>
                <c:pt idx="352">
                  <c:v>0.8269407065914387</c:v>
                </c:pt>
                <c:pt idx="353">
                  <c:v>0.8269407065914387</c:v>
                </c:pt>
                <c:pt idx="354">
                  <c:v>0.50088421030721786</c:v>
                </c:pt>
                <c:pt idx="355">
                  <c:v>0.50088421030721786</c:v>
                </c:pt>
                <c:pt idx="356">
                  <c:v>0.8749972636024641</c:v>
                </c:pt>
                <c:pt idx="357">
                  <c:v>0.8749972636024641</c:v>
                </c:pt>
                <c:pt idx="358">
                  <c:v>0.38281968301732416</c:v>
                </c:pt>
                <c:pt idx="359">
                  <c:v>0.38281968301732416</c:v>
                </c:pt>
                <c:pt idx="360">
                  <c:v>0.8269407065914387</c:v>
                </c:pt>
                <c:pt idx="361">
                  <c:v>0.8269407065914387</c:v>
                </c:pt>
                <c:pt idx="362">
                  <c:v>0.50088421030721786</c:v>
                </c:pt>
                <c:pt idx="363">
                  <c:v>0.50088421030721786</c:v>
                </c:pt>
                <c:pt idx="364">
                  <c:v>0.8749972636024641</c:v>
                </c:pt>
                <c:pt idx="365">
                  <c:v>0.8749972636024641</c:v>
                </c:pt>
                <c:pt idx="366">
                  <c:v>0.38281968301732416</c:v>
                </c:pt>
                <c:pt idx="367">
                  <c:v>0.38281968301732416</c:v>
                </c:pt>
                <c:pt idx="368">
                  <c:v>0.8269407065914387</c:v>
                </c:pt>
                <c:pt idx="369">
                  <c:v>0.8269407065914387</c:v>
                </c:pt>
                <c:pt idx="370">
                  <c:v>0.50088421030721786</c:v>
                </c:pt>
                <c:pt idx="371">
                  <c:v>0.50088421030721786</c:v>
                </c:pt>
                <c:pt idx="372">
                  <c:v>0.8749972636024641</c:v>
                </c:pt>
                <c:pt idx="373">
                  <c:v>0.8749972636024641</c:v>
                </c:pt>
                <c:pt idx="374">
                  <c:v>0.38281968301732416</c:v>
                </c:pt>
                <c:pt idx="375">
                  <c:v>0.38281968301732416</c:v>
                </c:pt>
                <c:pt idx="376">
                  <c:v>0.8269407065914387</c:v>
                </c:pt>
                <c:pt idx="377">
                  <c:v>0.8269407065914387</c:v>
                </c:pt>
                <c:pt idx="378">
                  <c:v>0.50088421030721786</c:v>
                </c:pt>
                <c:pt idx="379">
                  <c:v>0.50088421030721786</c:v>
                </c:pt>
                <c:pt idx="380">
                  <c:v>0.8749972636024641</c:v>
                </c:pt>
                <c:pt idx="381">
                  <c:v>0.8749972636024641</c:v>
                </c:pt>
                <c:pt idx="382">
                  <c:v>0.38281968301732416</c:v>
                </c:pt>
                <c:pt idx="383">
                  <c:v>0.38281968301732416</c:v>
                </c:pt>
                <c:pt idx="384">
                  <c:v>0.8269407065914387</c:v>
                </c:pt>
                <c:pt idx="385">
                  <c:v>0.8269407065914387</c:v>
                </c:pt>
                <c:pt idx="386">
                  <c:v>0.50088421030721786</c:v>
                </c:pt>
                <c:pt idx="387">
                  <c:v>0.50088421030721786</c:v>
                </c:pt>
                <c:pt idx="388">
                  <c:v>0.8749972636024641</c:v>
                </c:pt>
                <c:pt idx="389">
                  <c:v>0.8749972636024641</c:v>
                </c:pt>
                <c:pt idx="390">
                  <c:v>0.38281968301732416</c:v>
                </c:pt>
                <c:pt idx="391">
                  <c:v>0.38281968301732416</c:v>
                </c:pt>
                <c:pt idx="392">
                  <c:v>0.8269407065914387</c:v>
                </c:pt>
                <c:pt idx="393">
                  <c:v>0.8269407065914387</c:v>
                </c:pt>
                <c:pt idx="394">
                  <c:v>0.50088421030721786</c:v>
                </c:pt>
                <c:pt idx="395">
                  <c:v>0.50088421030721786</c:v>
                </c:pt>
                <c:pt idx="396">
                  <c:v>0.8749972636024641</c:v>
                </c:pt>
                <c:pt idx="397">
                  <c:v>0.8749972636024641</c:v>
                </c:pt>
                <c:pt idx="398">
                  <c:v>0.38281968301732416</c:v>
                </c:pt>
                <c:pt idx="399">
                  <c:v>0.38281968301732416</c:v>
                </c:pt>
                <c:pt idx="400">
                  <c:v>0.8269407065914387</c:v>
                </c:pt>
                <c:pt idx="401">
                  <c:v>0.8269407065914387</c:v>
                </c:pt>
              </c:numCache>
            </c:numRef>
          </c:xVal>
          <c:yVal>
            <c:numRef>
              <c:f>'ex7'!$J$7:$J$1008</c:f>
              <c:numCache>
                <c:formatCode>General</c:formatCode>
                <c:ptCount val="1002"/>
                <c:pt idx="0">
                  <c:v>0</c:v>
                </c:pt>
                <c:pt idx="1">
                  <c:v>0.31500000000000006</c:v>
                </c:pt>
                <c:pt idx="2">
                  <c:v>0.31500000000000006</c:v>
                </c:pt>
                <c:pt idx="3">
                  <c:v>0.75521250000000006</c:v>
                </c:pt>
                <c:pt idx="4">
                  <c:v>0.75521250000000006</c:v>
                </c:pt>
                <c:pt idx="5">
                  <c:v>0.64703302945312491</c:v>
                </c:pt>
                <c:pt idx="6">
                  <c:v>0.64703302945312491</c:v>
                </c:pt>
                <c:pt idx="7">
                  <c:v>0.79933450887442781</c:v>
                </c:pt>
                <c:pt idx="8">
                  <c:v>0.79933450887442781</c:v>
                </c:pt>
                <c:pt idx="9">
                  <c:v>0.56139598128916779</c:v>
                </c:pt>
                <c:pt idx="10">
                  <c:v>0.56139598128916779</c:v>
                </c:pt>
                <c:pt idx="11">
                  <c:v>0.86180686718539057</c:v>
                </c:pt>
                <c:pt idx="12">
                  <c:v>0.86180686718539057</c:v>
                </c:pt>
                <c:pt idx="13">
                  <c:v>0.416835268001226</c:v>
                </c:pt>
                <c:pt idx="14">
                  <c:v>0.416835268001226</c:v>
                </c:pt>
                <c:pt idx="15">
                  <c:v>0.85079269573050242</c:v>
                </c:pt>
                <c:pt idx="16">
                  <c:v>0.85079269573050242</c:v>
                </c:pt>
                <c:pt idx="17">
                  <c:v>0.44430569617744498</c:v>
                </c:pt>
                <c:pt idx="18">
                  <c:v>0.44430569617744498</c:v>
                </c:pt>
                <c:pt idx="19">
                  <c:v>0.86414350582602328</c:v>
                </c:pt>
                <c:pt idx="20">
                  <c:v>0.86414350582602328</c:v>
                </c:pt>
                <c:pt idx="21">
                  <c:v>0.41089827507656534</c:v>
                </c:pt>
                <c:pt idx="22">
                  <c:v>0.41089827507656534</c:v>
                </c:pt>
                <c:pt idx="23">
                  <c:v>0.84721308915484006</c:v>
                </c:pt>
                <c:pt idx="24">
                  <c:v>0.84721308915484006</c:v>
                </c:pt>
                <c:pt idx="25">
                  <c:v>0.45305074751843583</c:v>
                </c:pt>
                <c:pt idx="26">
                  <c:v>0.45305074751843583</c:v>
                </c:pt>
                <c:pt idx="27">
                  <c:v>0.86728518691997825</c:v>
                </c:pt>
                <c:pt idx="28">
                  <c:v>0.86728518691997825</c:v>
                </c:pt>
                <c:pt idx="29">
                  <c:v>0.40285557014204826</c:v>
                </c:pt>
                <c:pt idx="30">
                  <c:v>0.40285557014204826</c:v>
                </c:pt>
                <c:pt idx="31">
                  <c:v>0.84197035911650731</c:v>
                </c:pt>
                <c:pt idx="32">
                  <c:v>0.84197035911650731</c:v>
                </c:pt>
                <c:pt idx="33">
                  <c:v>0.46569695720004461</c:v>
                </c:pt>
                <c:pt idx="34">
                  <c:v>0.46569695720004461</c:v>
                </c:pt>
                <c:pt idx="35">
                  <c:v>0.87088155439132542</c:v>
                </c:pt>
                <c:pt idx="36">
                  <c:v>0.87088155439132542</c:v>
                </c:pt>
                <c:pt idx="37">
                  <c:v>0.39356405414296014</c:v>
                </c:pt>
                <c:pt idx="38">
                  <c:v>0.39356405414296014</c:v>
                </c:pt>
                <c:pt idx="39">
                  <c:v>0.8353498630033106</c:v>
                </c:pt>
                <c:pt idx="40">
                  <c:v>0.8353498630033106</c:v>
                </c:pt>
                <c:pt idx="41">
                  <c:v>0.48139164284281283</c:v>
                </c:pt>
                <c:pt idx="42">
                  <c:v>0.48139164284281283</c:v>
                </c:pt>
                <c:pt idx="43">
                  <c:v>0.87378805165368689</c:v>
                </c:pt>
                <c:pt idx="44">
                  <c:v>0.87378805165368689</c:v>
                </c:pt>
                <c:pt idx="45">
                  <c:v>0.38598872354329244</c:v>
                </c:pt>
                <c:pt idx="46">
                  <c:v>0.38598872354329244</c:v>
                </c:pt>
                <c:pt idx="47">
                  <c:v>0.82950500094249269</c:v>
                </c:pt>
                <c:pt idx="48">
                  <c:v>0.82950500094249269</c:v>
                </c:pt>
                <c:pt idx="49">
                  <c:v>0.49499259023860764</c:v>
                </c:pt>
                <c:pt idx="50">
                  <c:v>0.49499259023860764</c:v>
                </c:pt>
                <c:pt idx="51">
                  <c:v>0.87491224046618532</c:v>
                </c:pt>
                <c:pt idx="52">
                  <c:v>0.87491224046618532</c:v>
                </c:pt>
                <c:pt idx="53">
                  <c:v>0.38304284182018827</c:v>
                </c:pt>
                <c:pt idx="54">
                  <c:v>0.38304284182018827</c:v>
                </c:pt>
                <c:pt idx="55">
                  <c:v>0.82712358102675865</c:v>
                </c:pt>
                <c:pt idx="56">
                  <c:v>0.82712358102675865</c:v>
                </c:pt>
                <c:pt idx="57">
                  <c:v>0.50046556957680388</c:v>
                </c:pt>
                <c:pt idx="58">
                  <c:v>0.50046556957680388</c:v>
                </c:pt>
                <c:pt idx="59">
                  <c:v>0.87499924135739204</c:v>
                </c:pt>
                <c:pt idx="60">
                  <c:v>0.87499924135739204</c:v>
                </c:pt>
                <c:pt idx="61">
                  <c:v>0.38281449143483154</c:v>
                </c:pt>
                <c:pt idx="62">
                  <c:v>0.38281449143483154</c:v>
                </c:pt>
                <c:pt idx="63">
                  <c:v>0.82693644803812993</c:v>
                </c:pt>
                <c:pt idx="64">
                  <c:v>0.82693644803812993</c:v>
                </c:pt>
                <c:pt idx="65">
                  <c:v>0.5008939563047391</c:v>
                </c:pt>
                <c:pt idx="66">
                  <c:v>0.5008939563047391</c:v>
                </c:pt>
                <c:pt idx="67">
                  <c:v>0.87499720294743832</c:v>
                </c:pt>
                <c:pt idx="68">
                  <c:v>0.87499720294743832</c:v>
                </c:pt>
                <c:pt idx="69">
                  <c:v>0.38281984223559218</c:v>
                </c:pt>
                <c:pt idx="70">
                  <c:v>0.38281984223559218</c:v>
                </c:pt>
                <c:pt idx="71">
                  <c:v>0.82694083719207978</c:v>
                </c:pt>
                <c:pt idx="72">
                  <c:v>0.82694083719207978</c:v>
                </c:pt>
                <c:pt idx="73">
                  <c:v>0.50088391141649691</c:v>
                </c:pt>
                <c:pt idx="74">
                  <c:v>0.50088391141649691</c:v>
                </c:pt>
                <c:pt idx="75">
                  <c:v>0.8749972654521273</c:v>
                </c:pt>
                <c:pt idx="76">
                  <c:v>0.8749972654521273</c:v>
                </c:pt>
                <c:pt idx="77">
                  <c:v>0.38281967816199369</c:v>
                </c:pt>
                <c:pt idx="78">
                  <c:v>0.38281967816199369</c:v>
                </c:pt>
                <c:pt idx="79">
                  <c:v>0.82694070260879438</c:v>
                </c:pt>
                <c:pt idx="80">
                  <c:v>0.82694070260879438</c:v>
                </c:pt>
                <c:pt idx="81">
                  <c:v>0.50088421942183758</c:v>
                </c:pt>
                <c:pt idx="82">
                  <c:v>0.50088421942183758</c:v>
                </c:pt>
                <c:pt idx="83">
                  <c:v>0.87499726354604912</c:v>
                </c:pt>
                <c:pt idx="84">
                  <c:v>0.87499726354604912</c:v>
                </c:pt>
                <c:pt idx="85">
                  <c:v>0.38281968316541243</c:v>
                </c:pt>
                <c:pt idx="86">
                  <c:v>0.38281968316541243</c:v>
                </c:pt>
                <c:pt idx="87">
                  <c:v>0.82694070671290987</c:v>
                </c:pt>
                <c:pt idx="88">
                  <c:v>0.82694070671290987</c:v>
                </c:pt>
                <c:pt idx="89">
                  <c:v>0.50088421002922068</c:v>
                </c:pt>
                <c:pt idx="90">
                  <c:v>0.50088421002922068</c:v>
                </c:pt>
                <c:pt idx="91">
                  <c:v>0.87499726360418473</c:v>
                </c:pt>
                <c:pt idx="92">
                  <c:v>0.87499726360418473</c:v>
                </c:pt>
                <c:pt idx="93">
                  <c:v>0.38281968301280761</c:v>
                </c:pt>
                <c:pt idx="94">
                  <c:v>0.38281968301280761</c:v>
                </c:pt>
                <c:pt idx="95">
                  <c:v>0.82694070658773378</c:v>
                </c:pt>
                <c:pt idx="96">
                  <c:v>0.82694070658773378</c:v>
                </c:pt>
                <c:pt idx="97">
                  <c:v>0.50088421031569685</c:v>
                </c:pt>
                <c:pt idx="98">
                  <c:v>0.50088421031569685</c:v>
                </c:pt>
                <c:pt idx="99">
                  <c:v>0.87499726360241159</c:v>
                </c:pt>
                <c:pt idx="100">
                  <c:v>0.87499726360241159</c:v>
                </c:pt>
                <c:pt idx="101">
                  <c:v>0.38281968301746205</c:v>
                </c:pt>
                <c:pt idx="102">
                  <c:v>0.38281968301746205</c:v>
                </c:pt>
                <c:pt idx="103">
                  <c:v>0.82694070659155172</c:v>
                </c:pt>
                <c:pt idx="104">
                  <c:v>0.82694070659155172</c:v>
                </c:pt>
                <c:pt idx="105">
                  <c:v>0.50088421030695907</c:v>
                </c:pt>
                <c:pt idx="106">
                  <c:v>0.50088421030695907</c:v>
                </c:pt>
                <c:pt idx="107">
                  <c:v>0.87499726360246577</c:v>
                </c:pt>
                <c:pt idx="108">
                  <c:v>0.87499726360246577</c:v>
                </c:pt>
                <c:pt idx="109">
                  <c:v>0.38281968301731983</c:v>
                </c:pt>
                <c:pt idx="110">
                  <c:v>0.38281968301731983</c:v>
                </c:pt>
                <c:pt idx="111">
                  <c:v>0.82694070659143515</c:v>
                </c:pt>
                <c:pt idx="112">
                  <c:v>0.82694070659143515</c:v>
                </c:pt>
                <c:pt idx="113">
                  <c:v>0.50088421030722596</c:v>
                </c:pt>
                <c:pt idx="114">
                  <c:v>0.50088421030722596</c:v>
                </c:pt>
                <c:pt idx="115">
                  <c:v>0.8749972636024641</c:v>
                </c:pt>
                <c:pt idx="116">
                  <c:v>0.8749972636024641</c:v>
                </c:pt>
                <c:pt idx="117">
                  <c:v>0.38281968301732416</c:v>
                </c:pt>
                <c:pt idx="118">
                  <c:v>0.38281968301732416</c:v>
                </c:pt>
                <c:pt idx="119">
                  <c:v>0.8269407065914387</c:v>
                </c:pt>
                <c:pt idx="120">
                  <c:v>0.8269407065914387</c:v>
                </c:pt>
                <c:pt idx="121">
                  <c:v>0.50088421030721786</c:v>
                </c:pt>
                <c:pt idx="122">
                  <c:v>0.50088421030721786</c:v>
                </c:pt>
                <c:pt idx="123">
                  <c:v>0.8749972636024641</c:v>
                </c:pt>
                <c:pt idx="124">
                  <c:v>0.8749972636024641</c:v>
                </c:pt>
                <c:pt idx="125">
                  <c:v>0.38281968301732416</c:v>
                </c:pt>
                <c:pt idx="126">
                  <c:v>0.38281968301732416</c:v>
                </c:pt>
                <c:pt idx="127">
                  <c:v>0.8269407065914387</c:v>
                </c:pt>
                <c:pt idx="128">
                  <c:v>0.8269407065914387</c:v>
                </c:pt>
                <c:pt idx="129">
                  <c:v>0.50088421030721786</c:v>
                </c:pt>
                <c:pt idx="130">
                  <c:v>0.50088421030721786</c:v>
                </c:pt>
                <c:pt idx="131">
                  <c:v>0.8749972636024641</c:v>
                </c:pt>
                <c:pt idx="132">
                  <c:v>0.8749972636024641</c:v>
                </c:pt>
                <c:pt idx="133">
                  <c:v>0.38281968301732416</c:v>
                </c:pt>
                <c:pt idx="134">
                  <c:v>0.38281968301732416</c:v>
                </c:pt>
                <c:pt idx="135">
                  <c:v>0.8269407065914387</c:v>
                </c:pt>
                <c:pt idx="136">
                  <c:v>0.8269407065914387</c:v>
                </c:pt>
                <c:pt idx="137">
                  <c:v>0.50088421030721786</c:v>
                </c:pt>
                <c:pt idx="138">
                  <c:v>0.50088421030721786</c:v>
                </c:pt>
                <c:pt idx="139">
                  <c:v>0.8749972636024641</c:v>
                </c:pt>
                <c:pt idx="140">
                  <c:v>0.8749972636024641</c:v>
                </c:pt>
                <c:pt idx="141">
                  <c:v>0.38281968301732416</c:v>
                </c:pt>
                <c:pt idx="142">
                  <c:v>0.38281968301732416</c:v>
                </c:pt>
                <c:pt idx="143">
                  <c:v>0.8269407065914387</c:v>
                </c:pt>
                <c:pt idx="144">
                  <c:v>0.8269407065914387</c:v>
                </c:pt>
                <c:pt idx="145">
                  <c:v>0.50088421030721786</c:v>
                </c:pt>
                <c:pt idx="146">
                  <c:v>0.50088421030721786</c:v>
                </c:pt>
                <c:pt idx="147">
                  <c:v>0.8749972636024641</c:v>
                </c:pt>
                <c:pt idx="148">
                  <c:v>0.8749972636024641</c:v>
                </c:pt>
                <c:pt idx="149">
                  <c:v>0.38281968301732416</c:v>
                </c:pt>
                <c:pt idx="150">
                  <c:v>0.38281968301732416</c:v>
                </c:pt>
                <c:pt idx="151">
                  <c:v>0.8269407065914387</c:v>
                </c:pt>
                <c:pt idx="152">
                  <c:v>0.8269407065914387</c:v>
                </c:pt>
                <c:pt idx="153">
                  <c:v>0.50088421030721786</c:v>
                </c:pt>
                <c:pt idx="154">
                  <c:v>0.50088421030721786</c:v>
                </c:pt>
                <c:pt idx="155">
                  <c:v>0.8749972636024641</c:v>
                </c:pt>
                <c:pt idx="156">
                  <c:v>0.8749972636024641</c:v>
                </c:pt>
                <c:pt idx="157">
                  <c:v>0.38281968301732416</c:v>
                </c:pt>
                <c:pt idx="158">
                  <c:v>0.38281968301732416</c:v>
                </c:pt>
                <c:pt idx="159">
                  <c:v>0.8269407065914387</c:v>
                </c:pt>
                <c:pt idx="160">
                  <c:v>0.8269407065914387</c:v>
                </c:pt>
                <c:pt idx="161">
                  <c:v>0.50088421030721786</c:v>
                </c:pt>
                <c:pt idx="162">
                  <c:v>0.50088421030721786</c:v>
                </c:pt>
                <c:pt idx="163">
                  <c:v>0.8749972636024641</c:v>
                </c:pt>
                <c:pt idx="164">
                  <c:v>0.8749972636024641</c:v>
                </c:pt>
                <c:pt idx="165">
                  <c:v>0.38281968301732416</c:v>
                </c:pt>
                <c:pt idx="166">
                  <c:v>0.38281968301732416</c:v>
                </c:pt>
                <c:pt idx="167">
                  <c:v>0.8269407065914387</c:v>
                </c:pt>
                <c:pt idx="168">
                  <c:v>0.8269407065914387</c:v>
                </c:pt>
                <c:pt idx="169">
                  <c:v>0.50088421030721786</c:v>
                </c:pt>
                <c:pt idx="170">
                  <c:v>0.50088421030721786</c:v>
                </c:pt>
                <c:pt idx="171">
                  <c:v>0.8749972636024641</c:v>
                </c:pt>
                <c:pt idx="172">
                  <c:v>0.8749972636024641</c:v>
                </c:pt>
                <c:pt idx="173">
                  <c:v>0.38281968301732416</c:v>
                </c:pt>
                <c:pt idx="174">
                  <c:v>0.38281968301732416</c:v>
                </c:pt>
                <c:pt idx="175">
                  <c:v>0.8269407065914387</c:v>
                </c:pt>
                <c:pt idx="176">
                  <c:v>0.8269407065914387</c:v>
                </c:pt>
                <c:pt idx="177">
                  <c:v>0.50088421030721786</c:v>
                </c:pt>
                <c:pt idx="178">
                  <c:v>0.50088421030721786</c:v>
                </c:pt>
                <c:pt idx="179">
                  <c:v>0.8749972636024641</c:v>
                </c:pt>
                <c:pt idx="180">
                  <c:v>0.8749972636024641</c:v>
                </c:pt>
                <c:pt idx="181">
                  <c:v>0.38281968301732416</c:v>
                </c:pt>
                <c:pt idx="182">
                  <c:v>0.38281968301732416</c:v>
                </c:pt>
                <c:pt idx="183">
                  <c:v>0.8269407065914387</c:v>
                </c:pt>
                <c:pt idx="184">
                  <c:v>0.8269407065914387</c:v>
                </c:pt>
                <c:pt idx="185">
                  <c:v>0.50088421030721786</c:v>
                </c:pt>
                <c:pt idx="186">
                  <c:v>0.50088421030721786</c:v>
                </c:pt>
                <c:pt idx="187">
                  <c:v>0.8749972636024641</c:v>
                </c:pt>
                <c:pt idx="188">
                  <c:v>0.8749972636024641</c:v>
                </c:pt>
                <c:pt idx="189">
                  <c:v>0.38281968301732416</c:v>
                </c:pt>
                <c:pt idx="190">
                  <c:v>0.38281968301732416</c:v>
                </c:pt>
                <c:pt idx="191">
                  <c:v>0.8269407065914387</c:v>
                </c:pt>
                <c:pt idx="192">
                  <c:v>0.8269407065914387</c:v>
                </c:pt>
                <c:pt idx="193">
                  <c:v>0.50088421030721786</c:v>
                </c:pt>
                <c:pt idx="194">
                  <c:v>0.50088421030721786</c:v>
                </c:pt>
                <c:pt idx="195">
                  <c:v>0.8749972636024641</c:v>
                </c:pt>
                <c:pt idx="196">
                  <c:v>0.8749972636024641</c:v>
                </c:pt>
                <c:pt idx="197">
                  <c:v>0.38281968301732416</c:v>
                </c:pt>
                <c:pt idx="198">
                  <c:v>0.38281968301732416</c:v>
                </c:pt>
                <c:pt idx="199">
                  <c:v>0.8269407065914387</c:v>
                </c:pt>
                <c:pt idx="200">
                  <c:v>0.8269407065914387</c:v>
                </c:pt>
                <c:pt idx="201">
                  <c:v>0.50088421030721786</c:v>
                </c:pt>
                <c:pt idx="202">
                  <c:v>0.50088421030721786</c:v>
                </c:pt>
                <c:pt idx="203">
                  <c:v>0.8749972636024641</c:v>
                </c:pt>
                <c:pt idx="204">
                  <c:v>0.8749972636024641</c:v>
                </c:pt>
                <c:pt idx="205">
                  <c:v>0.38281968301732416</c:v>
                </c:pt>
                <c:pt idx="206">
                  <c:v>0.38281968301732416</c:v>
                </c:pt>
                <c:pt idx="207">
                  <c:v>0.8269407065914387</c:v>
                </c:pt>
                <c:pt idx="208">
                  <c:v>0.8269407065914387</c:v>
                </c:pt>
                <c:pt idx="209">
                  <c:v>0.50088421030721786</c:v>
                </c:pt>
                <c:pt idx="210">
                  <c:v>0.50088421030721786</c:v>
                </c:pt>
                <c:pt idx="211">
                  <c:v>0.8749972636024641</c:v>
                </c:pt>
                <c:pt idx="212">
                  <c:v>0.8749972636024641</c:v>
                </c:pt>
                <c:pt idx="213">
                  <c:v>0.38281968301732416</c:v>
                </c:pt>
                <c:pt idx="214">
                  <c:v>0.38281968301732416</c:v>
                </c:pt>
                <c:pt idx="215">
                  <c:v>0.8269407065914387</c:v>
                </c:pt>
                <c:pt idx="216">
                  <c:v>0.8269407065914387</c:v>
                </c:pt>
                <c:pt idx="217">
                  <c:v>0.50088421030721786</c:v>
                </c:pt>
                <c:pt idx="218">
                  <c:v>0.50088421030721786</c:v>
                </c:pt>
                <c:pt idx="219">
                  <c:v>0.8749972636024641</c:v>
                </c:pt>
                <c:pt idx="220">
                  <c:v>0.8749972636024641</c:v>
                </c:pt>
                <c:pt idx="221">
                  <c:v>0.38281968301732416</c:v>
                </c:pt>
                <c:pt idx="222">
                  <c:v>0.38281968301732416</c:v>
                </c:pt>
                <c:pt idx="223">
                  <c:v>0.8269407065914387</c:v>
                </c:pt>
                <c:pt idx="224">
                  <c:v>0.8269407065914387</c:v>
                </c:pt>
                <c:pt idx="225">
                  <c:v>0.50088421030721786</c:v>
                </c:pt>
                <c:pt idx="226">
                  <c:v>0.50088421030721786</c:v>
                </c:pt>
                <c:pt idx="227">
                  <c:v>0.8749972636024641</c:v>
                </c:pt>
                <c:pt idx="228">
                  <c:v>0.8749972636024641</c:v>
                </c:pt>
                <c:pt idx="229">
                  <c:v>0.38281968301732416</c:v>
                </c:pt>
                <c:pt idx="230">
                  <c:v>0.38281968301732416</c:v>
                </c:pt>
                <c:pt idx="231">
                  <c:v>0.8269407065914387</c:v>
                </c:pt>
                <c:pt idx="232">
                  <c:v>0.8269407065914387</c:v>
                </c:pt>
                <c:pt idx="233">
                  <c:v>0.50088421030721786</c:v>
                </c:pt>
                <c:pt idx="234">
                  <c:v>0.50088421030721786</c:v>
                </c:pt>
                <c:pt idx="235">
                  <c:v>0.8749972636024641</c:v>
                </c:pt>
                <c:pt idx="236">
                  <c:v>0.8749972636024641</c:v>
                </c:pt>
                <c:pt idx="237">
                  <c:v>0.38281968301732416</c:v>
                </c:pt>
                <c:pt idx="238">
                  <c:v>0.38281968301732416</c:v>
                </c:pt>
                <c:pt idx="239">
                  <c:v>0.8269407065914387</c:v>
                </c:pt>
                <c:pt idx="240">
                  <c:v>0.8269407065914387</c:v>
                </c:pt>
                <c:pt idx="241">
                  <c:v>0.50088421030721786</c:v>
                </c:pt>
                <c:pt idx="242">
                  <c:v>0.50088421030721786</c:v>
                </c:pt>
                <c:pt idx="243">
                  <c:v>0.8749972636024641</c:v>
                </c:pt>
                <c:pt idx="244">
                  <c:v>0.8749972636024641</c:v>
                </c:pt>
                <c:pt idx="245">
                  <c:v>0.38281968301732416</c:v>
                </c:pt>
                <c:pt idx="246">
                  <c:v>0.38281968301732416</c:v>
                </c:pt>
                <c:pt idx="247">
                  <c:v>0.8269407065914387</c:v>
                </c:pt>
                <c:pt idx="248">
                  <c:v>0.8269407065914387</c:v>
                </c:pt>
                <c:pt idx="249">
                  <c:v>0.50088421030721786</c:v>
                </c:pt>
                <c:pt idx="250">
                  <c:v>0.50088421030721786</c:v>
                </c:pt>
                <c:pt idx="251">
                  <c:v>0.8749972636024641</c:v>
                </c:pt>
                <c:pt idx="252">
                  <c:v>0.8749972636024641</c:v>
                </c:pt>
                <c:pt idx="253">
                  <c:v>0.38281968301732416</c:v>
                </c:pt>
                <c:pt idx="254">
                  <c:v>0.38281968301732416</c:v>
                </c:pt>
                <c:pt idx="255">
                  <c:v>0.8269407065914387</c:v>
                </c:pt>
                <c:pt idx="256">
                  <c:v>0.8269407065914387</c:v>
                </c:pt>
                <c:pt idx="257">
                  <c:v>0.50088421030721786</c:v>
                </c:pt>
                <c:pt idx="258">
                  <c:v>0.50088421030721786</c:v>
                </c:pt>
                <c:pt idx="259">
                  <c:v>0.8749972636024641</c:v>
                </c:pt>
                <c:pt idx="260">
                  <c:v>0.8749972636024641</c:v>
                </c:pt>
                <c:pt idx="261">
                  <c:v>0.38281968301732416</c:v>
                </c:pt>
                <c:pt idx="262">
                  <c:v>0.38281968301732416</c:v>
                </c:pt>
                <c:pt idx="263">
                  <c:v>0.8269407065914387</c:v>
                </c:pt>
                <c:pt idx="264">
                  <c:v>0.8269407065914387</c:v>
                </c:pt>
                <c:pt idx="265">
                  <c:v>0.50088421030721786</c:v>
                </c:pt>
                <c:pt idx="266">
                  <c:v>0.50088421030721786</c:v>
                </c:pt>
                <c:pt idx="267">
                  <c:v>0.8749972636024641</c:v>
                </c:pt>
                <c:pt idx="268">
                  <c:v>0.8749972636024641</c:v>
                </c:pt>
                <c:pt idx="269">
                  <c:v>0.38281968301732416</c:v>
                </c:pt>
                <c:pt idx="270">
                  <c:v>0.38281968301732416</c:v>
                </c:pt>
                <c:pt idx="271">
                  <c:v>0.8269407065914387</c:v>
                </c:pt>
                <c:pt idx="272">
                  <c:v>0.8269407065914387</c:v>
                </c:pt>
                <c:pt idx="273">
                  <c:v>0.50088421030721786</c:v>
                </c:pt>
                <c:pt idx="274">
                  <c:v>0.50088421030721786</c:v>
                </c:pt>
                <c:pt idx="275">
                  <c:v>0.8749972636024641</c:v>
                </c:pt>
                <c:pt idx="276">
                  <c:v>0.8749972636024641</c:v>
                </c:pt>
                <c:pt idx="277">
                  <c:v>0.38281968301732416</c:v>
                </c:pt>
                <c:pt idx="278">
                  <c:v>0.38281968301732416</c:v>
                </c:pt>
                <c:pt idx="279">
                  <c:v>0.8269407065914387</c:v>
                </c:pt>
                <c:pt idx="280">
                  <c:v>0.8269407065914387</c:v>
                </c:pt>
                <c:pt idx="281">
                  <c:v>0.50088421030721786</c:v>
                </c:pt>
                <c:pt idx="282">
                  <c:v>0.50088421030721786</c:v>
                </c:pt>
                <c:pt idx="283">
                  <c:v>0.8749972636024641</c:v>
                </c:pt>
                <c:pt idx="284">
                  <c:v>0.8749972636024641</c:v>
                </c:pt>
                <c:pt idx="285">
                  <c:v>0.38281968301732416</c:v>
                </c:pt>
                <c:pt idx="286">
                  <c:v>0.38281968301732416</c:v>
                </c:pt>
                <c:pt idx="287">
                  <c:v>0.8269407065914387</c:v>
                </c:pt>
                <c:pt idx="288">
                  <c:v>0.8269407065914387</c:v>
                </c:pt>
                <c:pt idx="289">
                  <c:v>0.50088421030721786</c:v>
                </c:pt>
                <c:pt idx="290">
                  <c:v>0.50088421030721786</c:v>
                </c:pt>
                <c:pt idx="291">
                  <c:v>0.8749972636024641</c:v>
                </c:pt>
                <c:pt idx="292">
                  <c:v>0.8749972636024641</c:v>
                </c:pt>
                <c:pt idx="293">
                  <c:v>0.38281968301732416</c:v>
                </c:pt>
                <c:pt idx="294">
                  <c:v>0.38281968301732416</c:v>
                </c:pt>
                <c:pt idx="295">
                  <c:v>0.8269407065914387</c:v>
                </c:pt>
                <c:pt idx="296">
                  <c:v>0.8269407065914387</c:v>
                </c:pt>
                <c:pt idx="297">
                  <c:v>0.50088421030721786</c:v>
                </c:pt>
                <c:pt idx="298">
                  <c:v>0.50088421030721786</c:v>
                </c:pt>
                <c:pt idx="299">
                  <c:v>0.8749972636024641</c:v>
                </c:pt>
                <c:pt idx="300">
                  <c:v>0.8749972636024641</c:v>
                </c:pt>
                <c:pt idx="301">
                  <c:v>0.38281968301732416</c:v>
                </c:pt>
                <c:pt idx="302">
                  <c:v>0.38281968301732416</c:v>
                </c:pt>
                <c:pt idx="303">
                  <c:v>0.8269407065914387</c:v>
                </c:pt>
                <c:pt idx="304">
                  <c:v>0.8269407065914387</c:v>
                </c:pt>
                <c:pt idx="305">
                  <c:v>0.50088421030721786</c:v>
                </c:pt>
                <c:pt idx="306">
                  <c:v>0.50088421030721786</c:v>
                </c:pt>
                <c:pt idx="307">
                  <c:v>0.8749972636024641</c:v>
                </c:pt>
                <c:pt idx="308">
                  <c:v>0.8749972636024641</c:v>
                </c:pt>
                <c:pt idx="309">
                  <c:v>0.38281968301732416</c:v>
                </c:pt>
                <c:pt idx="310">
                  <c:v>0.38281968301732416</c:v>
                </c:pt>
                <c:pt idx="311">
                  <c:v>0.8269407065914387</c:v>
                </c:pt>
                <c:pt idx="312">
                  <c:v>0.8269407065914387</c:v>
                </c:pt>
                <c:pt idx="313">
                  <c:v>0.50088421030721786</c:v>
                </c:pt>
                <c:pt idx="314">
                  <c:v>0.50088421030721786</c:v>
                </c:pt>
                <c:pt idx="315">
                  <c:v>0.8749972636024641</c:v>
                </c:pt>
                <c:pt idx="316">
                  <c:v>0.8749972636024641</c:v>
                </c:pt>
                <c:pt idx="317">
                  <c:v>0.38281968301732416</c:v>
                </c:pt>
                <c:pt idx="318">
                  <c:v>0.38281968301732416</c:v>
                </c:pt>
                <c:pt idx="319">
                  <c:v>0.8269407065914387</c:v>
                </c:pt>
                <c:pt idx="320">
                  <c:v>0.8269407065914387</c:v>
                </c:pt>
                <c:pt idx="321">
                  <c:v>0.50088421030721786</c:v>
                </c:pt>
                <c:pt idx="322">
                  <c:v>0.50088421030721786</c:v>
                </c:pt>
                <c:pt idx="323">
                  <c:v>0.8749972636024641</c:v>
                </c:pt>
                <c:pt idx="324">
                  <c:v>0.8749972636024641</c:v>
                </c:pt>
                <c:pt idx="325">
                  <c:v>0.38281968301732416</c:v>
                </c:pt>
                <c:pt idx="326">
                  <c:v>0.38281968301732416</c:v>
                </c:pt>
                <c:pt idx="327">
                  <c:v>0.8269407065914387</c:v>
                </c:pt>
                <c:pt idx="328">
                  <c:v>0.8269407065914387</c:v>
                </c:pt>
                <c:pt idx="329">
                  <c:v>0.50088421030721786</c:v>
                </c:pt>
                <c:pt idx="330">
                  <c:v>0.50088421030721786</c:v>
                </c:pt>
                <c:pt idx="331">
                  <c:v>0.8749972636024641</c:v>
                </c:pt>
                <c:pt idx="332">
                  <c:v>0.8749972636024641</c:v>
                </c:pt>
                <c:pt idx="333">
                  <c:v>0.38281968301732416</c:v>
                </c:pt>
                <c:pt idx="334">
                  <c:v>0.38281968301732416</c:v>
                </c:pt>
                <c:pt idx="335">
                  <c:v>0.8269407065914387</c:v>
                </c:pt>
                <c:pt idx="336">
                  <c:v>0.8269407065914387</c:v>
                </c:pt>
                <c:pt idx="337">
                  <c:v>0.50088421030721786</c:v>
                </c:pt>
                <c:pt idx="338">
                  <c:v>0.50088421030721786</c:v>
                </c:pt>
                <c:pt idx="339">
                  <c:v>0.8749972636024641</c:v>
                </c:pt>
                <c:pt idx="340">
                  <c:v>0.8749972636024641</c:v>
                </c:pt>
                <c:pt idx="341">
                  <c:v>0.38281968301732416</c:v>
                </c:pt>
                <c:pt idx="342">
                  <c:v>0.38281968301732416</c:v>
                </c:pt>
                <c:pt idx="343">
                  <c:v>0.8269407065914387</c:v>
                </c:pt>
                <c:pt idx="344">
                  <c:v>0.8269407065914387</c:v>
                </c:pt>
                <c:pt idx="345">
                  <c:v>0.50088421030721786</c:v>
                </c:pt>
                <c:pt idx="346">
                  <c:v>0.50088421030721786</c:v>
                </c:pt>
                <c:pt idx="347">
                  <c:v>0.8749972636024641</c:v>
                </c:pt>
                <c:pt idx="348">
                  <c:v>0.8749972636024641</c:v>
                </c:pt>
                <c:pt idx="349">
                  <c:v>0.38281968301732416</c:v>
                </c:pt>
                <c:pt idx="350">
                  <c:v>0.38281968301732416</c:v>
                </c:pt>
                <c:pt idx="351">
                  <c:v>0.8269407065914387</c:v>
                </c:pt>
                <c:pt idx="352">
                  <c:v>0.8269407065914387</c:v>
                </c:pt>
                <c:pt idx="353">
                  <c:v>0.50088421030721786</c:v>
                </c:pt>
                <c:pt idx="354">
                  <c:v>0.50088421030721786</c:v>
                </c:pt>
                <c:pt idx="355">
                  <c:v>0.8749972636024641</c:v>
                </c:pt>
                <c:pt idx="356">
                  <c:v>0.8749972636024641</c:v>
                </c:pt>
                <c:pt idx="357">
                  <c:v>0.38281968301732416</c:v>
                </c:pt>
                <c:pt idx="358">
                  <c:v>0.38281968301732416</c:v>
                </c:pt>
                <c:pt idx="359">
                  <c:v>0.8269407065914387</c:v>
                </c:pt>
                <c:pt idx="360">
                  <c:v>0.8269407065914387</c:v>
                </c:pt>
                <c:pt idx="361">
                  <c:v>0.50088421030721786</c:v>
                </c:pt>
                <c:pt idx="362">
                  <c:v>0.50088421030721786</c:v>
                </c:pt>
                <c:pt idx="363">
                  <c:v>0.8749972636024641</c:v>
                </c:pt>
                <c:pt idx="364">
                  <c:v>0.8749972636024641</c:v>
                </c:pt>
                <c:pt idx="365">
                  <c:v>0.38281968301732416</c:v>
                </c:pt>
                <c:pt idx="366">
                  <c:v>0.38281968301732416</c:v>
                </c:pt>
                <c:pt idx="367">
                  <c:v>0.8269407065914387</c:v>
                </c:pt>
                <c:pt idx="368">
                  <c:v>0.8269407065914387</c:v>
                </c:pt>
                <c:pt idx="369">
                  <c:v>0.50088421030721786</c:v>
                </c:pt>
                <c:pt idx="370">
                  <c:v>0.50088421030721786</c:v>
                </c:pt>
                <c:pt idx="371">
                  <c:v>0.8749972636024641</c:v>
                </c:pt>
                <c:pt idx="372">
                  <c:v>0.8749972636024641</c:v>
                </c:pt>
                <c:pt idx="373">
                  <c:v>0.38281968301732416</c:v>
                </c:pt>
                <c:pt idx="374">
                  <c:v>0.38281968301732416</c:v>
                </c:pt>
                <c:pt idx="375">
                  <c:v>0.8269407065914387</c:v>
                </c:pt>
                <c:pt idx="376">
                  <c:v>0.8269407065914387</c:v>
                </c:pt>
                <c:pt idx="377">
                  <c:v>0.50088421030721786</c:v>
                </c:pt>
                <c:pt idx="378">
                  <c:v>0.50088421030721786</c:v>
                </c:pt>
                <c:pt idx="379">
                  <c:v>0.8749972636024641</c:v>
                </c:pt>
                <c:pt idx="380">
                  <c:v>0.8749972636024641</c:v>
                </c:pt>
                <c:pt idx="381">
                  <c:v>0.38281968301732416</c:v>
                </c:pt>
                <c:pt idx="382">
                  <c:v>0.38281968301732416</c:v>
                </c:pt>
                <c:pt idx="383">
                  <c:v>0.8269407065914387</c:v>
                </c:pt>
                <c:pt idx="384">
                  <c:v>0.8269407065914387</c:v>
                </c:pt>
                <c:pt idx="385">
                  <c:v>0.50088421030721786</c:v>
                </c:pt>
                <c:pt idx="386">
                  <c:v>0.50088421030721786</c:v>
                </c:pt>
                <c:pt idx="387">
                  <c:v>0.8749972636024641</c:v>
                </c:pt>
                <c:pt idx="388">
                  <c:v>0.8749972636024641</c:v>
                </c:pt>
                <c:pt idx="389">
                  <c:v>0.38281968301732416</c:v>
                </c:pt>
                <c:pt idx="390">
                  <c:v>0.38281968301732416</c:v>
                </c:pt>
                <c:pt idx="391">
                  <c:v>0.8269407065914387</c:v>
                </c:pt>
                <c:pt idx="392">
                  <c:v>0.8269407065914387</c:v>
                </c:pt>
                <c:pt idx="393">
                  <c:v>0.50088421030721786</c:v>
                </c:pt>
                <c:pt idx="394">
                  <c:v>0.50088421030721786</c:v>
                </c:pt>
                <c:pt idx="395">
                  <c:v>0.8749972636024641</c:v>
                </c:pt>
                <c:pt idx="396">
                  <c:v>0.8749972636024641</c:v>
                </c:pt>
                <c:pt idx="397">
                  <c:v>0.38281968301732416</c:v>
                </c:pt>
                <c:pt idx="398">
                  <c:v>0.38281968301732416</c:v>
                </c:pt>
                <c:pt idx="399">
                  <c:v>0.8269407065914387</c:v>
                </c:pt>
                <c:pt idx="400">
                  <c:v>0.8269407065914387</c:v>
                </c:pt>
                <c:pt idx="401">
                  <c:v>0.50088421030721786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26-45A7-93B9-5CD54BD86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57712"/>
        <c:axId val="532653296"/>
      </c:scatterChart>
      <c:valAx>
        <c:axId val="46085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653296"/>
        <c:crosses val="autoZero"/>
        <c:crossBetween val="midCat"/>
      </c:valAx>
      <c:valAx>
        <c:axId val="53265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085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ex1_2자동화!$H$6:$H$206</c:f>
              <c:numCache>
                <c:formatCode>General</c:formatCode>
                <c:ptCount val="201"/>
                <c:pt idx="0">
                  <c:v>0</c:v>
                </c:pt>
                <c:pt idx="1">
                  <c:v>3.8682381720438124</c:v>
                </c:pt>
                <c:pt idx="2">
                  <c:v>7.6985294488335798</c:v>
                </c:pt>
                <c:pt idx="3">
                  <c:v>11.491959342722934</c:v>
                </c:pt>
                <c:pt idx="4">
                  <c:v>15.249574658601547</c:v>
                </c:pt>
                <c:pt idx="5">
                  <c:v>18.972385369761589</c:v>
                </c:pt>
                <c:pt idx="6">
                  <c:v>22.661366380551687</c:v>
                </c:pt>
                <c:pt idx="7">
                  <c:v>26.317459183788184</c:v>
                </c:pt>
                <c:pt idx="8">
                  <c:v>29.941573420232793</c:v>
                </c:pt>
                <c:pt idx="9">
                  <c:v>33.534588346846093</c:v>
                </c:pt>
                <c:pt idx="10">
                  <c:v>37.097354219981042</c:v>
                </c:pt>
                <c:pt idx="11">
                  <c:v>40.630693599184461</c:v>
                </c:pt>
                <c:pt idx="12">
                  <c:v>44.135402576822081</c:v>
                </c:pt>
                <c:pt idx="13">
                  <c:v>47.612251938329841</c:v>
                </c:pt>
                <c:pt idx="14">
                  <c:v>51.061988257516902</c:v>
                </c:pt>
                <c:pt idx="15">
                  <c:v>54.485334931000494</c:v>
                </c:pt>
                <c:pt idx="16">
                  <c:v>57.882993155536226</c:v>
                </c:pt>
                <c:pt idx="17">
                  <c:v>61.255642851717177</c:v>
                </c:pt>
                <c:pt idx="18">
                  <c:v>64.603943537248156</c:v>
                </c:pt>
                <c:pt idx="19">
                  <c:v>67.92853515275587</c:v>
                </c:pt>
                <c:pt idx="20">
                  <c:v>71.230038842869334</c:v>
                </c:pt>
                <c:pt idx="21">
                  <c:v>74.509057695095805</c:v>
                </c:pt>
                <c:pt idx="22">
                  <c:v>77.766177438824073</c:v>
                </c:pt>
                <c:pt idx="23">
                  <c:v>81.001967106608035</c:v>
                </c:pt>
                <c:pt idx="24">
                  <c:v>84.216979659717126</c:v>
                </c:pt>
                <c:pt idx="25">
                  <c:v>87.411752579785599</c:v>
                </c:pt>
                <c:pt idx="26">
                  <c:v>90.586808428248816</c:v>
                </c:pt>
                <c:pt idx="27">
                  <c:v>93.742655375120208</c:v>
                </c:pt>
                <c:pt idx="28">
                  <c:v>96.879787698536902</c:v>
                </c:pt>
                <c:pt idx="29">
                  <c:v>99.998686256384332</c:v>
                </c:pt>
                <c:pt idx="30">
                  <c:v>103.09981893119928</c:v>
                </c:pt>
                <c:pt idx="31">
                  <c:v>106.18364104944693</c:v>
                </c:pt>
                <c:pt idx="32">
                  <c:v>109.25059577616925</c:v>
                </c:pt>
                <c:pt idx="33">
                  <c:v>112.30111448590942</c:v>
                </c:pt>
                <c:pt idx="34">
                  <c:v>115.33561711072944</c:v>
                </c:pt>
                <c:pt idx="35">
                  <c:v>118.354512466055</c:v>
                </c:pt>
                <c:pt idx="36">
                  <c:v>121.35819855500354</c:v>
                </c:pt>
                <c:pt idx="37">
                  <c:v>124.34706285177703</c:v>
                </c:pt>
                <c:pt idx="38">
                  <c:v>127.32148256463104</c:v>
                </c:pt>
                <c:pt idx="39">
                  <c:v>130.2818248788661</c:v>
                </c:pt>
                <c:pt idx="40">
                  <c:v>133.22844718022546</c:v>
                </c:pt>
                <c:pt idx="41">
                  <c:v>136.16169725902679</c:v>
                </c:pt>
                <c:pt idx="42">
                  <c:v>139.08191349530304</c:v>
                </c:pt>
                <c:pt idx="43">
                  <c:v>141.98942502518128</c:v>
                </c:pt>
                <c:pt idx="44">
                  <c:v>144.88455188868798</c:v>
                </c:pt>
                <c:pt idx="45">
                  <c:v>147.76760515913526</c:v>
                </c:pt>
                <c:pt idx="46">
                  <c:v>150.63888705421826</c:v>
                </c:pt>
                <c:pt idx="47">
                  <c:v>153.49869102893729</c:v>
                </c:pt>
                <c:pt idx="48">
                  <c:v>156.34730185045404</c:v>
                </c:pt>
                <c:pt idx="49">
                  <c:v>159.18499565499931</c:v>
                </c:pt>
                <c:pt idx="50">
                  <c:v>162.01203998697264</c:v>
                </c:pt>
                <c:pt idx="51">
                  <c:v>164.82869382041483</c:v>
                </c:pt>
                <c:pt idx="52">
                  <c:v>167.63520756309438</c:v>
                </c:pt>
                <c:pt idx="53">
                  <c:v>170.43182304353101</c:v>
                </c:pt>
                <c:pt idx="54">
                  <c:v>173.2187734813873</c:v>
                </c:pt>
                <c:pt idx="55">
                  <c:v>175.99628344179413</c:v>
                </c:pt>
                <c:pt idx="56">
                  <c:v>178.76456877434023</c:v>
                </c:pt>
                <c:pt idx="57">
                  <c:v>181.52383653765202</c:v>
                </c:pt>
                <c:pt idx="58">
                  <c:v>184.27428491071811</c:v>
                </c:pt>
                <c:pt idx="59">
                  <c:v>187.01610309237196</c:v>
                </c:pt>
                <c:pt idx="60">
                  <c:v>189.74947119063529</c:v>
                </c:pt>
                <c:pt idx="61">
                  <c:v>192.47456010393873</c:v>
                </c:pt>
                <c:pt idx="62">
                  <c:v>195.19153139656845</c:v>
                </c:pt>
                <c:pt idx="63">
                  <c:v>197.90053717102839</c:v>
                </c:pt>
                <c:pt idx="64">
                  <c:v>200.60171994034471</c:v>
                </c:pt>
                <c:pt idx="65">
                  <c:v>203.29521250365633</c:v>
                </c:pt>
                <c:pt idx="66">
                  <c:v>205.98113782871485</c:v>
                </c:pt>
                <c:pt idx="67">
                  <c:v>208.65960894513807</c:v>
                </c:pt>
                <c:pt idx="68">
                  <c:v>211.33072885240304</c:v>
                </c:pt>
                <c:pt idx="69">
                  <c:v>213.99459044660617</c:v>
                </c:pt>
                <c:pt idx="70">
                  <c:v>216.65127646994205</c:v>
                </c:pt>
                <c:pt idx="71">
                  <c:v>219.30085948664575</c:v>
                </c:pt>
                <c:pt idx="72">
                  <c:v>221.94340188879889</c:v>
                </c:pt>
                <c:pt idx="73">
                  <c:v>224.57895593491921</c:v>
                </c:pt>
                <c:pt idx="74">
                  <c:v>227.20756382364752</c:v>
                </c:pt>
                <c:pt idx="75">
                  <c:v>229.82925780413544</c:v>
                </c:pt>
                <c:pt idx="76">
                  <c:v>232.44406032394974</c:v>
                </c:pt>
                <c:pt idx="77">
                  <c:v>235.05198421448031</c:v>
                </c:pt>
                <c:pt idx="78">
                  <c:v>237.65303291300808</c:v>
                </c:pt>
                <c:pt idx="79">
                  <c:v>240.24720071979436</c:v>
                </c:pt>
                <c:pt idx="80">
                  <c:v>242.83447308783283</c:v>
                </c:pt>
                <c:pt idx="81">
                  <c:v>245.4148269422881</c:v>
                </c:pt>
                <c:pt idx="82">
                  <c:v>247.98823102615526</c:v>
                </c:pt>
                <c:pt idx="83">
                  <c:v>250.55464626832423</c:v>
                </c:pt>
                <c:pt idx="84">
                  <c:v>253.11402617002659</c:v>
                </c:pt>
                <c:pt idx="85">
                  <c:v>255.66631720557305</c:v>
                </c:pt>
                <c:pt idx="86">
                  <c:v>258.21145923334745</c:v>
                </c:pt>
                <c:pt idx="87">
                  <c:v>260.74938591318664</c:v>
                </c:pt>
                <c:pt idx="88">
                  <c:v>263.28002512652637</c:v>
                </c:pt>
                <c:pt idx="89">
                  <c:v>265.80329939600693</c:v>
                </c:pt>
                <c:pt idx="90">
                  <c:v>268.31912630158882</c:v>
                </c:pt>
                <c:pt idx="91">
                  <c:v>270.82741889060554</c:v>
                </c:pt>
                <c:pt idx="92">
                  <c:v>273.32808607956434</c:v>
                </c:pt>
                <c:pt idx="93">
                  <c:v>275.82103304587787</c:v>
                </c:pt>
                <c:pt idx="94">
                  <c:v>278.30616160806392</c:v>
                </c:pt>
                <c:pt idx="95">
                  <c:v>280.78337059327578</c:v>
                </c:pt>
                <c:pt idx="96">
                  <c:v>283.25255619132048</c:v>
                </c:pt>
                <c:pt idx="97">
                  <c:v>285.71361229458154</c:v>
                </c:pt>
                <c:pt idx="98">
                  <c:v>288.16643082348793</c:v>
                </c:pt>
                <c:pt idx="99">
                  <c:v>290.61090203736262</c:v>
                </c:pt>
                <c:pt idx="100">
                  <c:v>293.04691483064346</c:v>
                </c:pt>
                <c:pt idx="101">
                  <c:v>295.47435701460006</c:v>
                </c:pt>
                <c:pt idx="102">
                  <c:v>297.8931155847751</c:v>
                </c:pt>
                <c:pt idx="103">
                  <c:v>300.30307697446005</c:v>
                </c:pt>
                <c:pt idx="104">
                  <c:v>302.70412729457763</c:v>
                </c:pt>
                <c:pt idx="105">
                  <c:v>305.0961525603883</c:v>
                </c:pt>
                <c:pt idx="106">
                  <c:v>307.47903890546945</c:v>
                </c:pt>
                <c:pt idx="107">
                  <c:v>309.85267278343514</c:v>
                </c:pt>
                <c:pt idx="108">
                  <c:v>312.21694115787432</c:v>
                </c:pt>
                <c:pt idx="109">
                  <c:v>314.57173168098842</c:v>
                </c:pt>
                <c:pt idx="110">
                  <c:v>316.91693286140435</c:v>
                </c:pt>
                <c:pt idx="111">
                  <c:v>319.25243422163231</c:v>
                </c:pt>
                <c:pt idx="112">
                  <c:v>321.57812644562546</c:v>
                </c:pt>
                <c:pt idx="113">
                  <c:v>323.8939015168844</c:v>
                </c:pt>
                <c:pt idx="114">
                  <c:v>326.19965284753425</c:v>
                </c:pt>
                <c:pt idx="115">
                  <c:v>328.495275398785</c:v>
                </c:pt>
                <c:pt idx="116">
                  <c:v>330.78066579316851</c:v>
                </c:pt>
                <c:pt idx="117">
                  <c:v>333.05572241892776</c:v>
                </c:pt>
                <c:pt idx="118">
                  <c:v>335.32034552691755</c:v>
                </c:pt>
                <c:pt idx="119">
                  <c:v>337.57443732035739</c:v>
                </c:pt>
                <c:pt idx="120">
                  <c:v>339.817902037762</c:v>
                </c:pt>
                <c:pt idx="121">
                  <c:v>342.05064602935852</c:v>
                </c:pt>
                <c:pt idx="122">
                  <c:v>344.27257782728447</c:v>
                </c:pt>
                <c:pt idx="123">
                  <c:v>346.48360820984561</c:v>
                </c:pt>
                <c:pt idx="124">
                  <c:v>348.68365026010048</c:v>
                </c:pt>
                <c:pt idx="125">
                  <c:v>350.87261941902415</c:v>
                </c:pt>
                <c:pt idx="126">
                  <c:v>353.05043353349276</c:v>
                </c:pt>
                <c:pt idx="127">
                  <c:v>355.2170128993186</c:v>
                </c:pt>
                <c:pt idx="128">
                  <c:v>357.37228029955531</c:v>
                </c:pt>
                <c:pt idx="129">
                  <c:v>359.51616103828223</c:v>
                </c:pt>
                <c:pt idx="130">
                  <c:v>361.6485829700689</c:v>
                </c:pt>
                <c:pt idx="131">
                  <c:v>363.76947652531072</c:v>
                </c:pt>
                <c:pt idx="132">
                  <c:v>365.87877473162018</c:v>
                </c:pt>
                <c:pt idx="133">
                  <c:v>367.9764132314491</c:v>
                </c:pt>
                <c:pt idx="134">
                  <c:v>370.06233029611155</c:v>
                </c:pt>
                <c:pt idx="135">
                  <c:v>372.13646683637</c:v>
                </c:pt>
                <c:pt idx="136">
                  <c:v>374.19876640974121</c:v>
                </c:pt>
                <c:pt idx="137">
                  <c:v>376.24917522467223</c:v>
                </c:pt>
                <c:pt idx="138">
                  <c:v>378.28764214173225</c:v>
                </c:pt>
                <c:pt idx="139">
                  <c:v>380.31411867196027</c:v>
                </c:pt>
                <c:pt idx="140">
                  <c:v>382.32855897250386</c:v>
                </c:pt>
                <c:pt idx="141">
                  <c:v>384.33091983967978</c:v>
                </c:pt>
                <c:pt idx="142">
                  <c:v>386.32116069958323</c:v>
                </c:pt>
                <c:pt idx="143">
                  <c:v>388.2992435963676</c:v>
                </c:pt>
                <c:pt idx="144">
                  <c:v>390.26513317831331</c:v>
                </c:pt>
                <c:pt idx="145">
                  <c:v>392.21879668180043</c:v>
                </c:pt>
                <c:pt idx="146">
                  <c:v>394.1602039132959</c:v>
                </c:pt>
                <c:pt idx="147">
                  <c:v>396.08932722946315</c:v>
                </c:pt>
                <c:pt idx="148">
                  <c:v>398.00614151549803</c:v>
                </c:pt>
                <c:pt idx="149">
                  <c:v>399.91062416179244</c:v>
                </c:pt>
                <c:pt idx="150">
                  <c:v>401.80275503902294</c:v>
                </c:pt>
                <c:pt idx="151">
                  <c:v>403.68251647175998</c:v>
                </c:pt>
                <c:pt idx="152">
                  <c:v>405.54989321068877</c:v>
                </c:pt>
                <c:pt idx="153">
                  <c:v>407.40487240353161</c:v>
                </c:pt>
                <c:pt idx="154">
                  <c:v>409.24744356475742</c:v>
                </c:pt>
                <c:pt idx="155">
                  <c:v>411.07759854416224</c:v>
                </c:pt>
                <c:pt idx="156">
                  <c:v>412.89533149440149</c:v>
                </c:pt>
                <c:pt idx="157">
                  <c:v>414.70063883755222</c:v>
                </c:pt>
                <c:pt idx="158">
                  <c:v>416.49351923078115</c:v>
                </c:pt>
                <c:pt idx="159">
                  <c:v>418.27397353119164</c:v>
                </c:pt>
                <c:pt idx="160">
                  <c:v>420.04200475992042</c:v>
                </c:pt>
                <c:pt idx="161">
                  <c:v>421.79761806555211</c:v>
                </c:pt>
                <c:pt idx="162">
                  <c:v>423.5408206869181</c:v>
                </c:pt>
                <c:pt idx="163">
                  <c:v>425.27162191534279</c:v>
                </c:pt>
                <c:pt idx="164">
                  <c:v>426.990033056399</c:v>
                </c:pt>
                <c:pt idx="165">
                  <c:v>428.69606739123145</c:v>
                </c:pt>
                <c:pt idx="166">
                  <c:v>430.38974013750538</c:v>
                </c:pt>
                <c:pt idx="167">
                  <c:v>432.07106841003474</c:v>
                </c:pt>
                <c:pt idx="168">
                  <c:v>433.74007118114321</c:v>
                </c:pt>
                <c:pt idx="169">
                  <c:v>435.39676924080794</c:v>
                </c:pt>
                <c:pt idx="170">
                  <c:v>437.04118515663475</c:v>
                </c:pt>
                <c:pt idx="171">
                  <c:v>438.67334323371148</c:v>
                </c:pt>
                <c:pt idx="172">
                  <c:v>440.29326947438358</c:v>
                </c:pt>
                <c:pt idx="173">
                  <c:v>441.90099153799514</c:v>
                </c:pt>
                <c:pt idx="174">
                  <c:v>443.49653870063526</c:v>
                </c:pt>
                <c:pt idx="175">
                  <c:v>445.07994181492927</c:v>
                </c:pt>
                <c:pt idx="176">
                  <c:v>446.65123326991164</c:v>
                </c:pt>
                <c:pt idx="177">
                  <c:v>448.21044695101557</c:v>
                </c:pt>
                <c:pt idx="178">
                  <c:v>449.75761820021336</c:v>
                </c:pt>
                <c:pt idx="179">
                  <c:v>451.29278377633858</c:v>
                </c:pt>
                <c:pt idx="180">
                  <c:v>452.81598181562111</c:v>
                </c:pt>
                <c:pt idx="181">
                  <c:v>454.32725179246307</c:v>
                </c:pt>
                <c:pt idx="182">
                  <c:v>455.82663448048277</c:v>
                </c:pt>
                <c:pt idx="183">
                  <c:v>457.31417191385219</c:v>
                </c:pt>
                <c:pt idx="184">
                  <c:v>458.789907348952</c:v>
                </c:pt>
                <c:pt idx="185">
                  <c:v>460.25388522636672</c:v>
                </c:pt>
                <c:pt idx="186">
                  <c:v>461.70615113324101</c:v>
                </c:pt>
                <c:pt idx="187">
                  <c:v>463.14675176601713</c:v>
                </c:pt>
                <c:pt idx="188">
                  <c:v>464.57573489357173</c:v>
                </c:pt>
                <c:pt idx="189">
                  <c:v>465.99314932076936</c:v>
                </c:pt>
                <c:pt idx="190">
                  <c:v>467.39904485244864</c:v>
                </c:pt>
                <c:pt idx="191">
                  <c:v>468.7934722578558</c:v>
                </c:pt>
                <c:pt idx="192">
                  <c:v>470.17648323553908</c:v>
                </c:pt>
                <c:pt idx="193">
                  <c:v>471.54813037871668</c:v>
                </c:pt>
                <c:pt idx="194">
                  <c:v>472.90846714112939</c:v>
                </c:pt>
                <c:pt idx="195">
                  <c:v>474.25754780338843</c:v>
                </c:pt>
                <c:pt idx="196">
                  <c:v>475.59542743982769</c:v>
                </c:pt>
                <c:pt idx="197">
                  <c:v>476.92216188586895</c:v>
                </c:pt>
                <c:pt idx="198">
                  <c:v>478.2378077059073</c:v>
                </c:pt>
                <c:pt idx="199">
                  <c:v>479.54242216172349</c:v>
                </c:pt>
                <c:pt idx="200">
                  <c:v>480.8360631814287</c:v>
                </c:pt>
              </c:numCache>
            </c:numRef>
          </c:xVal>
          <c:yVal>
            <c:numRef>
              <c:f>ex1_2자동화!$K$7</c:f>
              <c:numCache>
                <c:formatCode>General</c:formatCode>
                <c:ptCount val="1"/>
                <c:pt idx="0">
                  <c:v>9.0149980491791588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C9-42E3-8CF2-2445FBB8402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ex1_2자동화!$H$6:$H$206</c:f>
              <c:numCache>
                <c:formatCode>General</c:formatCode>
                <c:ptCount val="201"/>
                <c:pt idx="0">
                  <c:v>0</c:v>
                </c:pt>
                <c:pt idx="1">
                  <c:v>3.8682381720438124</c:v>
                </c:pt>
                <c:pt idx="2">
                  <c:v>7.6985294488335798</c:v>
                </c:pt>
                <c:pt idx="3">
                  <c:v>11.491959342722934</c:v>
                </c:pt>
                <c:pt idx="4">
                  <c:v>15.249574658601547</c:v>
                </c:pt>
                <c:pt idx="5">
                  <c:v>18.972385369761589</c:v>
                </c:pt>
                <c:pt idx="6">
                  <c:v>22.661366380551687</c:v>
                </c:pt>
                <c:pt idx="7">
                  <c:v>26.317459183788184</c:v>
                </c:pt>
                <c:pt idx="8">
                  <c:v>29.941573420232793</c:v>
                </c:pt>
                <c:pt idx="9">
                  <c:v>33.534588346846093</c:v>
                </c:pt>
                <c:pt idx="10">
                  <c:v>37.097354219981042</c:v>
                </c:pt>
                <c:pt idx="11">
                  <c:v>40.630693599184461</c:v>
                </c:pt>
                <c:pt idx="12">
                  <c:v>44.135402576822081</c:v>
                </c:pt>
                <c:pt idx="13">
                  <c:v>47.612251938329841</c:v>
                </c:pt>
                <c:pt idx="14">
                  <c:v>51.061988257516902</c:v>
                </c:pt>
                <c:pt idx="15">
                  <c:v>54.485334931000494</c:v>
                </c:pt>
                <c:pt idx="16">
                  <c:v>57.882993155536226</c:v>
                </c:pt>
                <c:pt idx="17">
                  <c:v>61.255642851717177</c:v>
                </c:pt>
                <c:pt idx="18">
                  <c:v>64.603943537248156</c:v>
                </c:pt>
                <c:pt idx="19">
                  <c:v>67.92853515275587</c:v>
                </c:pt>
                <c:pt idx="20">
                  <c:v>71.230038842869334</c:v>
                </c:pt>
                <c:pt idx="21">
                  <c:v>74.509057695095805</c:v>
                </c:pt>
                <c:pt idx="22">
                  <c:v>77.766177438824073</c:v>
                </c:pt>
                <c:pt idx="23">
                  <c:v>81.001967106608035</c:v>
                </c:pt>
                <c:pt idx="24">
                  <c:v>84.216979659717126</c:v>
                </c:pt>
                <c:pt idx="25">
                  <c:v>87.411752579785599</c:v>
                </c:pt>
                <c:pt idx="26">
                  <c:v>90.586808428248816</c:v>
                </c:pt>
                <c:pt idx="27">
                  <c:v>93.742655375120208</c:v>
                </c:pt>
                <c:pt idx="28">
                  <c:v>96.879787698536902</c:v>
                </c:pt>
                <c:pt idx="29">
                  <c:v>99.998686256384332</c:v>
                </c:pt>
                <c:pt idx="30">
                  <c:v>103.09981893119928</c:v>
                </c:pt>
                <c:pt idx="31">
                  <c:v>106.18364104944693</c:v>
                </c:pt>
                <c:pt idx="32">
                  <c:v>109.25059577616925</c:v>
                </c:pt>
                <c:pt idx="33">
                  <c:v>112.30111448590942</c:v>
                </c:pt>
                <c:pt idx="34">
                  <c:v>115.33561711072944</c:v>
                </c:pt>
                <c:pt idx="35">
                  <c:v>118.354512466055</c:v>
                </c:pt>
                <c:pt idx="36">
                  <c:v>121.35819855500354</c:v>
                </c:pt>
                <c:pt idx="37">
                  <c:v>124.34706285177703</c:v>
                </c:pt>
                <c:pt idx="38">
                  <c:v>127.32148256463104</c:v>
                </c:pt>
                <c:pt idx="39">
                  <c:v>130.2818248788661</c:v>
                </c:pt>
                <c:pt idx="40">
                  <c:v>133.22844718022546</c:v>
                </c:pt>
                <c:pt idx="41">
                  <c:v>136.16169725902679</c:v>
                </c:pt>
                <c:pt idx="42">
                  <c:v>139.08191349530304</c:v>
                </c:pt>
                <c:pt idx="43">
                  <c:v>141.98942502518128</c:v>
                </c:pt>
                <c:pt idx="44">
                  <c:v>144.88455188868798</c:v>
                </c:pt>
                <c:pt idx="45">
                  <c:v>147.76760515913526</c:v>
                </c:pt>
                <c:pt idx="46">
                  <c:v>150.63888705421826</c:v>
                </c:pt>
                <c:pt idx="47">
                  <c:v>153.49869102893729</c:v>
                </c:pt>
                <c:pt idx="48">
                  <c:v>156.34730185045404</c:v>
                </c:pt>
                <c:pt idx="49">
                  <c:v>159.18499565499931</c:v>
                </c:pt>
                <c:pt idx="50">
                  <c:v>162.01203998697264</c:v>
                </c:pt>
                <c:pt idx="51">
                  <c:v>164.82869382041483</c:v>
                </c:pt>
                <c:pt idx="52">
                  <c:v>167.63520756309438</c:v>
                </c:pt>
                <c:pt idx="53">
                  <c:v>170.43182304353101</c:v>
                </c:pt>
                <c:pt idx="54">
                  <c:v>173.2187734813873</c:v>
                </c:pt>
                <c:pt idx="55">
                  <c:v>175.99628344179413</c:v>
                </c:pt>
                <c:pt idx="56">
                  <c:v>178.76456877434023</c:v>
                </c:pt>
                <c:pt idx="57">
                  <c:v>181.52383653765202</c:v>
                </c:pt>
                <c:pt idx="58">
                  <c:v>184.27428491071811</c:v>
                </c:pt>
                <c:pt idx="59">
                  <c:v>187.01610309237196</c:v>
                </c:pt>
                <c:pt idx="60">
                  <c:v>189.74947119063529</c:v>
                </c:pt>
                <c:pt idx="61">
                  <c:v>192.47456010393873</c:v>
                </c:pt>
                <c:pt idx="62">
                  <c:v>195.19153139656845</c:v>
                </c:pt>
                <c:pt idx="63">
                  <c:v>197.90053717102839</c:v>
                </c:pt>
                <c:pt idx="64">
                  <c:v>200.60171994034471</c:v>
                </c:pt>
                <c:pt idx="65">
                  <c:v>203.29521250365633</c:v>
                </c:pt>
                <c:pt idx="66">
                  <c:v>205.98113782871485</c:v>
                </c:pt>
                <c:pt idx="67">
                  <c:v>208.65960894513807</c:v>
                </c:pt>
                <c:pt idx="68">
                  <c:v>211.33072885240304</c:v>
                </c:pt>
                <c:pt idx="69">
                  <c:v>213.99459044660617</c:v>
                </c:pt>
                <c:pt idx="70">
                  <c:v>216.65127646994205</c:v>
                </c:pt>
                <c:pt idx="71">
                  <c:v>219.30085948664575</c:v>
                </c:pt>
                <c:pt idx="72">
                  <c:v>221.94340188879889</c:v>
                </c:pt>
                <c:pt idx="73">
                  <c:v>224.57895593491921</c:v>
                </c:pt>
                <c:pt idx="74">
                  <c:v>227.20756382364752</c:v>
                </c:pt>
                <c:pt idx="75">
                  <c:v>229.82925780413544</c:v>
                </c:pt>
                <c:pt idx="76">
                  <c:v>232.44406032394974</c:v>
                </c:pt>
                <c:pt idx="77">
                  <c:v>235.05198421448031</c:v>
                </c:pt>
                <c:pt idx="78">
                  <c:v>237.65303291300808</c:v>
                </c:pt>
                <c:pt idx="79">
                  <c:v>240.24720071979436</c:v>
                </c:pt>
                <c:pt idx="80">
                  <c:v>242.83447308783283</c:v>
                </c:pt>
                <c:pt idx="81">
                  <c:v>245.4148269422881</c:v>
                </c:pt>
                <c:pt idx="82">
                  <c:v>247.98823102615526</c:v>
                </c:pt>
                <c:pt idx="83">
                  <c:v>250.55464626832423</c:v>
                </c:pt>
                <c:pt idx="84">
                  <c:v>253.11402617002659</c:v>
                </c:pt>
                <c:pt idx="85">
                  <c:v>255.66631720557305</c:v>
                </c:pt>
                <c:pt idx="86">
                  <c:v>258.21145923334745</c:v>
                </c:pt>
                <c:pt idx="87">
                  <c:v>260.74938591318664</c:v>
                </c:pt>
                <c:pt idx="88">
                  <c:v>263.28002512652637</c:v>
                </c:pt>
                <c:pt idx="89">
                  <c:v>265.80329939600693</c:v>
                </c:pt>
                <c:pt idx="90">
                  <c:v>268.31912630158882</c:v>
                </c:pt>
                <c:pt idx="91">
                  <c:v>270.82741889060554</c:v>
                </c:pt>
                <c:pt idx="92">
                  <c:v>273.32808607956434</c:v>
                </c:pt>
                <c:pt idx="93">
                  <c:v>275.82103304587787</c:v>
                </c:pt>
                <c:pt idx="94">
                  <c:v>278.30616160806392</c:v>
                </c:pt>
                <c:pt idx="95">
                  <c:v>280.78337059327578</c:v>
                </c:pt>
                <c:pt idx="96">
                  <c:v>283.25255619132048</c:v>
                </c:pt>
                <c:pt idx="97">
                  <c:v>285.71361229458154</c:v>
                </c:pt>
                <c:pt idx="98">
                  <c:v>288.16643082348793</c:v>
                </c:pt>
                <c:pt idx="99">
                  <c:v>290.61090203736262</c:v>
                </c:pt>
                <c:pt idx="100">
                  <c:v>293.04691483064346</c:v>
                </c:pt>
                <c:pt idx="101">
                  <c:v>295.47435701460006</c:v>
                </c:pt>
                <c:pt idx="102">
                  <c:v>297.8931155847751</c:v>
                </c:pt>
                <c:pt idx="103">
                  <c:v>300.30307697446005</c:v>
                </c:pt>
                <c:pt idx="104">
                  <c:v>302.70412729457763</c:v>
                </c:pt>
                <c:pt idx="105">
                  <c:v>305.0961525603883</c:v>
                </c:pt>
                <c:pt idx="106">
                  <c:v>307.47903890546945</c:v>
                </c:pt>
                <c:pt idx="107">
                  <c:v>309.85267278343514</c:v>
                </c:pt>
                <c:pt idx="108">
                  <c:v>312.21694115787432</c:v>
                </c:pt>
                <c:pt idx="109">
                  <c:v>314.57173168098842</c:v>
                </c:pt>
                <c:pt idx="110">
                  <c:v>316.91693286140435</c:v>
                </c:pt>
                <c:pt idx="111">
                  <c:v>319.25243422163231</c:v>
                </c:pt>
                <c:pt idx="112">
                  <c:v>321.57812644562546</c:v>
                </c:pt>
                <c:pt idx="113">
                  <c:v>323.8939015168844</c:v>
                </c:pt>
                <c:pt idx="114">
                  <c:v>326.19965284753425</c:v>
                </c:pt>
                <c:pt idx="115">
                  <c:v>328.495275398785</c:v>
                </c:pt>
                <c:pt idx="116">
                  <c:v>330.78066579316851</c:v>
                </c:pt>
                <c:pt idx="117">
                  <c:v>333.05572241892776</c:v>
                </c:pt>
                <c:pt idx="118">
                  <c:v>335.32034552691755</c:v>
                </c:pt>
                <c:pt idx="119">
                  <c:v>337.57443732035739</c:v>
                </c:pt>
                <c:pt idx="120">
                  <c:v>339.817902037762</c:v>
                </c:pt>
                <c:pt idx="121">
                  <c:v>342.05064602935852</c:v>
                </c:pt>
                <c:pt idx="122">
                  <c:v>344.27257782728447</c:v>
                </c:pt>
                <c:pt idx="123">
                  <c:v>346.48360820984561</c:v>
                </c:pt>
                <c:pt idx="124">
                  <c:v>348.68365026010048</c:v>
                </c:pt>
                <c:pt idx="125">
                  <c:v>350.87261941902415</c:v>
                </c:pt>
                <c:pt idx="126">
                  <c:v>353.05043353349276</c:v>
                </c:pt>
                <c:pt idx="127">
                  <c:v>355.2170128993186</c:v>
                </c:pt>
                <c:pt idx="128">
                  <c:v>357.37228029955531</c:v>
                </c:pt>
                <c:pt idx="129">
                  <c:v>359.51616103828223</c:v>
                </c:pt>
                <c:pt idx="130">
                  <c:v>361.6485829700689</c:v>
                </c:pt>
                <c:pt idx="131">
                  <c:v>363.76947652531072</c:v>
                </c:pt>
                <c:pt idx="132">
                  <c:v>365.87877473162018</c:v>
                </c:pt>
                <c:pt idx="133">
                  <c:v>367.9764132314491</c:v>
                </c:pt>
                <c:pt idx="134">
                  <c:v>370.06233029611155</c:v>
                </c:pt>
                <c:pt idx="135">
                  <c:v>372.13646683637</c:v>
                </c:pt>
                <c:pt idx="136">
                  <c:v>374.19876640974121</c:v>
                </c:pt>
                <c:pt idx="137">
                  <c:v>376.24917522467223</c:v>
                </c:pt>
                <c:pt idx="138">
                  <c:v>378.28764214173225</c:v>
                </c:pt>
                <c:pt idx="139">
                  <c:v>380.31411867196027</c:v>
                </c:pt>
                <c:pt idx="140">
                  <c:v>382.32855897250386</c:v>
                </c:pt>
                <c:pt idx="141">
                  <c:v>384.33091983967978</c:v>
                </c:pt>
                <c:pt idx="142">
                  <c:v>386.32116069958323</c:v>
                </c:pt>
                <c:pt idx="143">
                  <c:v>388.2992435963676</c:v>
                </c:pt>
                <c:pt idx="144">
                  <c:v>390.26513317831331</c:v>
                </c:pt>
                <c:pt idx="145">
                  <c:v>392.21879668180043</c:v>
                </c:pt>
                <c:pt idx="146">
                  <c:v>394.1602039132959</c:v>
                </c:pt>
                <c:pt idx="147">
                  <c:v>396.08932722946315</c:v>
                </c:pt>
                <c:pt idx="148">
                  <c:v>398.00614151549803</c:v>
                </c:pt>
                <c:pt idx="149">
                  <c:v>399.91062416179244</c:v>
                </c:pt>
                <c:pt idx="150">
                  <c:v>401.80275503902294</c:v>
                </c:pt>
                <c:pt idx="151">
                  <c:v>403.68251647175998</c:v>
                </c:pt>
                <c:pt idx="152">
                  <c:v>405.54989321068877</c:v>
                </c:pt>
                <c:pt idx="153">
                  <c:v>407.40487240353161</c:v>
                </c:pt>
                <c:pt idx="154">
                  <c:v>409.24744356475742</c:v>
                </c:pt>
                <c:pt idx="155">
                  <c:v>411.07759854416224</c:v>
                </c:pt>
                <c:pt idx="156">
                  <c:v>412.89533149440149</c:v>
                </c:pt>
                <c:pt idx="157">
                  <c:v>414.70063883755222</c:v>
                </c:pt>
                <c:pt idx="158">
                  <c:v>416.49351923078115</c:v>
                </c:pt>
                <c:pt idx="159">
                  <c:v>418.27397353119164</c:v>
                </c:pt>
                <c:pt idx="160">
                  <c:v>420.04200475992042</c:v>
                </c:pt>
                <c:pt idx="161">
                  <c:v>421.79761806555211</c:v>
                </c:pt>
                <c:pt idx="162">
                  <c:v>423.5408206869181</c:v>
                </c:pt>
                <c:pt idx="163">
                  <c:v>425.27162191534279</c:v>
                </c:pt>
                <c:pt idx="164">
                  <c:v>426.990033056399</c:v>
                </c:pt>
                <c:pt idx="165">
                  <c:v>428.69606739123145</c:v>
                </c:pt>
                <c:pt idx="166">
                  <c:v>430.38974013750538</c:v>
                </c:pt>
                <c:pt idx="167">
                  <c:v>432.07106841003474</c:v>
                </c:pt>
                <c:pt idx="168">
                  <c:v>433.74007118114321</c:v>
                </c:pt>
                <c:pt idx="169">
                  <c:v>435.39676924080794</c:v>
                </c:pt>
                <c:pt idx="170">
                  <c:v>437.04118515663475</c:v>
                </c:pt>
                <c:pt idx="171">
                  <c:v>438.67334323371148</c:v>
                </c:pt>
                <c:pt idx="172">
                  <c:v>440.29326947438358</c:v>
                </c:pt>
                <c:pt idx="173">
                  <c:v>441.90099153799514</c:v>
                </c:pt>
                <c:pt idx="174">
                  <c:v>443.49653870063526</c:v>
                </c:pt>
                <c:pt idx="175">
                  <c:v>445.07994181492927</c:v>
                </c:pt>
                <c:pt idx="176">
                  <c:v>446.65123326991164</c:v>
                </c:pt>
                <c:pt idx="177">
                  <c:v>448.21044695101557</c:v>
                </c:pt>
                <c:pt idx="178">
                  <c:v>449.75761820021336</c:v>
                </c:pt>
                <c:pt idx="179">
                  <c:v>451.29278377633858</c:v>
                </c:pt>
                <c:pt idx="180">
                  <c:v>452.81598181562111</c:v>
                </c:pt>
                <c:pt idx="181">
                  <c:v>454.32725179246307</c:v>
                </c:pt>
                <c:pt idx="182">
                  <c:v>455.82663448048277</c:v>
                </c:pt>
                <c:pt idx="183">
                  <c:v>457.31417191385219</c:v>
                </c:pt>
                <c:pt idx="184">
                  <c:v>458.789907348952</c:v>
                </c:pt>
                <c:pt idx="185">
                  <c:v>460.25388522636672</c:v>
                </c:pt>
                <c:pt idx="186">
                  <c:v>461.70615113324101</c:v>
                </c:pt>
                <c:pt idx="187">
                  <c:v>463.14675176601713</c:v>
                </c:pt>
                <c:pt idx="188">
                  <c:v>464.57573489357173</c:v>
                </c:pt>
                <c:pt idx="189">
                  <c:v>465.99314932076936</c:v>
                </c:pt>
                <c:pt idx="190">
                  <c:v>467.39904485244864</c:v>
                </c:pt>
                <c:pt idx="191">
                  <c:v>468.7934722578558</c:v>
                </c:pt>
                <c:pt idx="192">
                  <c:v>470.17648323553908</c:v>
                </c:pt>
                <c:pt idx="193">
                  <c:v>471.54813037871668</c:v>
                </c:pt>
                <c:pt idx="194">
                  <c:v>472.90846714112939</c:v>
                </c:pt>
                <c:pt idx="195">
                  <c:v>474.25754780338843</c:v>
                </c:pt>
                <c:pt idx="196">
                  <c:v>475.59542743982769</c:v>
                </c:pt>
                <c:pt idx="197">
                  <c:v>476.92216188586895</c:v>
                </c:pt>
                <c:pt idx="198">
                  <c:v>478.2378077059073</c:v>
                </c:pt>
                <c:pt idx="199">
                  <c:v>479.54242216172349</c:v>
                </c:pt>
                <c:pt idx="200">
                  <c:v>480.8360631814287</c:v>
                </c:pt>
              </c:numCache>
            </c:numRef>
          </c:xVal>
          <c:yVal>
            <c:numRef>
              <c:f>ex1_2자동화!$K$6:$K$206</c:f>
              <c:numCache>
                <c:formatCode>General</c:formatCode>
                <c:ptCount val="201"/>
                <c:pt idx="0">
                  <c:v>0</c:v>
                </c:pt>
                <c:pt idx="1">
                  <c:v>9.0149980491791588</c:v>
                </c:pt>
                <c:pt idx="2">
                  <c:v>17.843560182193706</c:v>
                </c:pt>
                <c:pt idx="3">
                  <c:v>26.489159322650181</c:v>
                </c:pt>
                <c:pt idx="4">
                  <c:v>34.955133523796654</c:v>
                </c:pt>
                <c:pt idx="5">
                  <c:v>43.244692330907604</c:v>
                </c:pt>
                <c:pt idx="6">
                  <c:v>51.360922760509887</c:v>
                </c:pt>
                <c:pt idx="7">
                  <c:v>59.306794923658401</c:v>
                </c:pt>
                <c:pt idx="8">
                  <c:v>67.085167318238661</c:v>
                </c:pt>
                <c:pt idx="9">
                  <c:v>74.698791813249485</c:v>
                </c:pt>
                <c:pt idx="10">
                  <c:v>82.150318346181763</c:v>
                </c:pt>
                <c:pt idx="11">
                  <c:v>89.442299352938619</c:v>
                </c:pt>
                <c:pt idx="12">
                  <c:v>96.577193948222401</c:v>
                </c:pt>
                <c:pt idx="13">
                  <c:v>103.55737187292955</c:v>
                </c:pt>
                <c:pt idx="14">
                  <c:v>110.38511722383187</c:v>
                </c:pt>
                <c:pt idx="15">
                  <c:v>117.06263197967054</c:v>
                </c:pt>
                <c:pt idx="16">
                  <c:v>123.59203933673695</c:v>
                </c:pt>
                <c:pt idx="17">
                  <c:v>129.97538686605202</c:v>
                </c:pt>
                <c:pt idx="18">
                  <c:v>136.21464950337554</c:v>
                </c:pt>
                <c:pt idx="19">
                  <c:v>142.31173238247092</c:v>
                </c:pt>
                <c:pt idx="20">
                  <c:v>148.26847352131213</c:v>
                </c:pt>
                <c:pt idx="21">
                  <c:v>154.08664637024268</c:v>
                </c:pt>
                <c:pt idx="22">
                  <c:v>159.76796223047566</c:v>
                </c:pt>
                <c:pt idx="23">
                  <c:v>165.31407255075399</c:v>
                </c:pt>
                <c:pt idx="24">
                  <c:v>170.72657110946724</c:v>
                </c:pt>
                <c:pt idx="25">
                  <c:v>176.00699608904151</c:v>
                </c:pt>
                <c:pt idx="26">
                  <c:v>181.15683204897857</c:v>
                </c:pt>
                <c:pt idx="27">
                  <c:v>186.1775118035165</c:v>
                </c:pt>
                <c:pt idx="28">
                  <c:v>191.07041820951292</c:v>
                </c:pt>
                <c:pt idx="29">
                  <c:v>195.8368858698137</c:v>
                </c:pt>
                <c:pt idx="30">
                  <c:v>200.47820275705777</c:v>
                </c:pt>
                <c:pt idx="31">
                  <c:v>204.99561176258626</c:v>
                </c:pt>
                <c:pt idx="32">
                  <c:v>209.39031217486436</c:v>
                </c:pt>
                <c:pt idx="33">
                  <c:v>213.66346109158948</c:v>
                </c:pt>
                <c:pt idx="34">
                  <c:v>217.81617476944581</c:v>
                </c:pt>
                <c:pt idx="35">
                  <c:v>221.84952991527334</c:v>
                </c:pt>
                <c:pt idx="36">
                  <c:v>225.76456492224685</c:v>
                </c:pt>
                <c:pt idx="37">
                  <c:v>229.56228105450674</c:v>
                </c:pt>
                <c:pt idx="38">
                  <c:v>233.24364358354885</c:v>
                </c:pt>
                <c:pt idx="39">
                  <c:v>236.80958287956227</c:v>
                </c:pt>
                <c:pt idx="40">
                  <c:v>240.26099546080354</c:v>
                </c:pt>
                <c:pt idx="41">
                  <c:v>243.59874500401153</c:v>
                </c:pt>
                <c:pt idx="42">
                  <c:v>246.82366331879859</c:v>
                </c:pt>
                <c:pt idx="43">
                  <c:v>249.93655128890163</c:v>
                </c:pt>
                <c:pt idx="44">
                  <c:v>252.93817978313825</c:v>
                </c:pt>
                <c:pt idx="45">
                  <c:v>255.829290538891</c:v>
                </c:pt>
                <c:pt idx="46">
                  <c:v>258.61059702093348</c:v>
                </c:pt>
                <c:pt idx="47">
                  <c:v>261.28278525841648</c:v>
                </c:pt>
                <c:pt idx="48">
                  <c:v>263.84651466284947</c:v>
                </c:pt>
                <c:pt idx="49">
                  <c:v>266.30241882993971</c:v>
                </c:pt>
                <c:pt idx="50">
                  <c:v>268.6511063281896</c:v>
                </c:pt>
                <c:pt idx="51">
                  <c:v>270.89316147719592</c:v>
                </c:pt>
                <c:pt idx="52">
                  <c:v>273.02914511864395</c:v>
                </c:pt>
                <c:pt idx="53">
                  <c:v>275.05959538303841</c:v>
                </c:pt>
                <c:pt idx="54">
                  <c:v>276.985028455259</c:v>
                </c:pt>
                <c:pt idx="55">
                  <c:v>278.80593934206439</c:v>
                </c:pt>
                <c:pt idx="56">
                  <c:v>280.52280264468902</c:v>
                </c:pt>
                <c:pt idx="57">
                  <c:v>282.13607333967485</c:v>
                </c:pt>
                <c:pt idx="58">
                  <c:v>283.6461875710437</c:v>
                </c:pt>
                <c:pt idx="59">
                  <c:v>285.05356345683998</c:v>
                </c:pt>
                <c:pt idx="60">
                  <c:v>286.35860191294222</c:v>
                </c:pt>
                <c:pt idx="61">
                  <c:v>287.56168749684815</c:v>
                </c:pt>
                <c:pt idx="62">
                  <c:v>288.66318927386965</c:v>
                </c:pt>
                <c:pt idx="63">
                  <c:v>289.66346170781981</c:v>
                </c:pt>
                <c:pt idx="64">
                  <c:v>290.56284557782908</c:v>
                </c:pt>
                <c:pt idx="65">
                  <c:v>291.36166892238401</c:v>
                </c:pt>
                <c:pt idx="66">
                  <c:v>292.06024801104132</c:v>
                </c:pt>
                <c:pt idx="67">
                  <c:v>292.65888834353643</c:v>
                </c:pt>
                <c:pt idx="68">
                  <c:v>293.15788567519138</c:v>
                </c:pt>
                <c:pt idx="69">
                  <c:v>293.55752706665049</c:v>
                </c:pt>
                <c:pt idx="70">
                  <c:v>293.85809195506147</c:v>
                </c:pt>
                <c:pt idx="71">
                  <c:v>294.05985324290504</c:v>
                </c:pt>
                <c:pt idx="72">
                  <c:v>294.16307839979896</c:v>
                </c:pt>
                <c:pt idx="73">
                  <c:v>294.16803057180255</c:v>
                </c:pt>
                <c:pt idx="74">
                  <c:v>294.07496969206613</c:v>
                </c:pt>
                <c:pt idx="75">
                  <c:v>293.88415358614554</c:v>
                </c:pt>
                <c:pt idx="76">
                  <c:v>293.59583906496351</c:v>
                </c:pt>
                <c:pt idx="77">
                  <c:v>293.21028299827026</c:v>
                </c:pt>
                <c:pt idx="78">
                  <c:v>292.72774336154106</c:v>
                </c:pt>
                <c:pt idx="79">
                  <c:v>292.14848024954716</c:v>
                </c:pt>
                <c:pt idx="80">
                  <c:v>291.47275685032633</c:v>
                </c:pt>
                <c:pt idx="81">
                  <c:v>290.70084037393809</c:v>
                </c:pt>
                <c:pt idx="82">
                  <c:v>289.83300293117344</c:v>
                </c:pt>
                <c:pt idx="83">
                  <c:v>288.86952235826271</c:v>
                </c:pt>
                <c:pt idx="84">
                  <c:v>287.81068298454375</c:v>
                </c:pt>
                <c:pt idx="85">
                  <c:v>286.65677634097398</c:v>
                </c:pt>
                <c:pt idx="86">
                  <c:v>285.40810180825997</c:v>
                </c:pt>
                <c:pt idx="87">
                  <c:v>284.06496720420733</c:v>
                </c:pt>
                <c:pt idx="88">
                  <c:v>282.62768931063772</c:v>
                </c:pt>
                <c:pt idx="89">
                  <c:v>281.09659434086865</c:v>
                </c:pt>
                <c:pt idx="90">
                  <c:v>279.47201834929444</c:v>
                </c:pt>
                <c:pt idx="91">
                  <c:v>277.75430758504473</c:v>
                </c:pt>
                <c:pt idx="92">
                  <c:v>275.94381879203496</c:v>
                </c:pt>
                <c:pt idx="93">
                  <c:v>274.04091945796654</c:v>
                </c:pt>
                <c:pt idx="94">
                  <c:v>272.045988014996</c:v>
                </c:pt>
                <c:pt idx="95">
                  <c:v>269.95941399488123</c:v>
                </c:pt>
                <c:pt idx="96">
                  <c:v>267.78159814144368</c:v>
                </c:pt>
                <c:pt idx="97">
                  <c:v>265.5129524831645</c:v>
                </c:pt>
                <c:pt idx="98">
                  <c:v>263.15390036867723</c:v>
                </c:pt>
                <c:pt idx="99">
                  <c:v>260.70487646783226</c:v>
                </c:pt>
                <c:pt idx="100">
                  <c:v>258.16632674090278</c:v>
                </c:pt>
                <c:pt idx="101">
                  <c:v>255.53870837838139</c:v>
                </c:pt>
                <c:pt idx="102">
                  <c:v>252.82248971368855</c:v>
                </c:pt>
                <c:pt idx="103">
                  <c:v>250.01815011098171</c:v>
                </c:pt>
                <c:pt idx="104">
                  <c:v>247.1261798301226</c:v>
                </c:pt>
                <c:pt idx="105">
                  <c:v>244.14707987073072</c:v>
                </c:pt>
                <c:pt idx="106">
                  <c:v>241.08136179712551</c:v>
                </c:pt>
                <c:pt idx="107">
                  <c:v>237.92954754584062</c:v>
                </c:pt>
                <c:pt idx="108">
                  <c:v>234.6921692172813</c:v>
                </c:pt>
                <c:pt idx="109">
                  <c:v>231.36976885298901</c:v>
                </c:pt>
                <c:pt idx="110">
                  <c:v>227.96289819987953</c:v>
                </c:pt>
                <c:pt idx="111">
                  <c:v>224.47211846272845</c:v>
                </c:pt>
                <c:pt idx="112">
                  <c:v>220.89800004609322</c:v>
                </c:pt>
                <c:pt idx="113">
                  <c:v>217.24112228678243</c:v>
                </c:pt>
                <c:pt idx="114">
                  <c:v>213.50207317791072</c:v>
                </c:pt>
                <c:pt idx="115">
                  <c:v>209.68144908551091</c:v>
                </c:pt>
                <c:pt idx="116">
                  <c:v>205.77985445861404</c:v>
                </c:pt>
                <c:pt idx="117">
                  <c:v>201.79790153365087</c:v>
                </c:pt>
                <c:pt idx="118">
                  <c:v>197.73621003397682</c:v>
                </c:pt>
                <c:pt idx="119">
                  <c:v>193.59540686527367</c:v>
                </c:pt>
                <c:pt idx="120">
                  <c:v>189.37612580753728</c:v>
                </c:pt>
                <c:pt idx="121">
                  <c:v>185.07900720431874</c:v>
                </c:pt>
                <c:pt idx="122">
                  <c:v>180.70469764984847</c:v>
                </c:pt>
                <c:pt idx="123">
                  <c:v>176.25384967463637</c:v>
                </c:pt>
                <c:pt idx="124">
                  <c:v>171.72712143010824</c:v>
                </c:pt>
                <c:pt idx="125">
                  <c:v>167.12517637280681</c:v>
                </c:pt>
                <c:pt idx="126">
                  <c:v>162.44868294865637</c:v>
                </c:pt>
                <c:pt idx="127">
                  <c:v>157.69831427776231</c:v>
                </c:pt>
                <c:pt idx="128">
                  <c:v>152.87474784018985</c:v>
                </c:pt>
                <c:pt idx="129">
                  <c:v>147.97866516314221</c:v>
                </c:pt>
                <c:pt idx="130">
                  <c:v>143.01075150993367</c:v>
                </c:pt>
                <c:pt idx="131">
                  <c:v>137.97169557113077</c:v>
                </c:pt>
                <c:pt idx="132">
                  <c:v>132.86218915821317</c:v>
                </c:pt>
                <c:pt idx="133">
                  <c:v>127.68292690008458</c:v>
                </c:pt>
                <c:pt idx="134">
                  <c:v>122.43460594274438</c:v>
                </c:pt>
                <c:pt idx="135">
                  <c:v>117.11792565241116</c:v>
                </c:pt>
                <c:pt idx="136">
                  <c:v>111.73358732237095</c:v>
                </c:pt>
                <c:pt idx="137">
                  <c:v>106.28229388380504</c:v>
                </c:pt>
                <c:pt idx="138">
                  <c:v>100.76474962083478</c:v>
                </c:pt>
                <c:pt idx="139">
                  <c:v>95.18165989000434</c:v>
                </c:pt>
                <c:pt idx="140">
                  <c:v>89.53373084440608</c:v>
                </c:pt>
                <c:pt idx="141">
                  <c:v>83.82166916263742</c:v>
                </c:pt>
                <c:pt idx="142">
                  <c:v>78.046181782763398</c:v>
                </c:pt>
                <c:pt idx="143">
                  <c:v>72.207975641443909</c:v>
                </c:pt>
                <c:pt idx="144">
                  <c:v>66.307757418370812</c:v>
                </c:pt>
                <c:pt idx="145">
                  <c:v>60.346233286146287</c:v>
                </c:pt>
                <c:pt idx="146">
                  <c:v>54.324108665720431</c:v>
                </c:pt>
                <c:pt idx="147">
                  <c:v>48.242087987493449</c:v>
                </c:pt>
                <c:pt idx="148">
                  <c:v>42.100874458175227</c:v>
                </c:pt>
                <c:pt idx="149">
                  <c:v>35.901169833483188</c:v>
                </c:pt>
                <c:pt idx="150">
                  <c:v>29.643674196747778</c:v>
                </c:pt>
                <c:pt idx="151">
                  <c:v>23.329085743483791</c:v>
                </c:pt>
                <c:pt idx="152">
                  <c:v>16.958100571974999</c:v>
                </c:pt>
                <c:pt idx="153">
                  <c:v>10.531412479909282</c:v>
                </c:pt>
                <c:pt idx="154">
                  <c:v>4.0497127670915516</c:v>
                </c:pt>
                <c:pt idx="155">
                  <c:v>-2.486309955747779</c:v>
                </c:pt>
                <c:pt idx="156">
                  <c:v>-9.0759699520400829</c:v>
                </c:pt>
                <c:pt idx="157">
                  <c:v>-15.718584538361593</c:v>
                </c:pt>
                <c:pt idx="158">
                  <c:v>-22.413474257320633</c:v>
                </c:pt>
                <c:pt idx="159">
                  <c:v>-29.159963044365234</c:v>
                </c:pt>
                <c:pt idx="160">
                  <c:v>-35.95737838853502</c:v>
                </c:pt>
                <c:pt idx="161">
                  <c:v>-42.805051487188322</c:v>
                </c:pt>
                <c:pt idx="162">
                  <c:v>-49.702317394742479</c:v>
                </c:pt>
                <c:pt idx="163">
                  <c:v>-56.648515165470911</c:v>
                </c:pt>
                <c:pt idx="164">
                  <c:v>-63.642987990408571</c:v>
                </c:pt>
                <c:pt idx="165">
                  <c:v>-70.685083328420518</c:v>
                </c:pt>
                <c:pt idx="166">
                  <c:v>-77.774153031495715</c:v>
                </c:pt>
                <c:pt idx="167">
                  <c:v>-84.909553464332376</c:v>
                </c:pt>
                <c:pt idx="168">
                  <c:v>-92.090645618285976</c:v>
                </c:pt>
                <c:pt idx="169">
                  <c:v>-99.316795219755519</c:v>
                </c:pt>
                <c:pt idx="170">
                  <c:v>-106.5873728330877</c:v>
                </c:pt>
                <c:pt idx="171">
                  <c:v>-113.90175395808224</c:v>
                </c:pt>
                <c:pt idx="172">
                  <c:v>-121.25931912218532</c:v>
                </c:pt>
                <c:pt idx="173">
                  <c:v>-128.65945396746099</c:v>
                </c:pt>
                <c:pt idx="174">
                  <c:v>-136.10154933243354</c:v>
                </c:pt>
                <c:pt idx="175">
                  <c:v>-143.58500132889608</c:v>
                </c:pt>
                <c:pt idx="176">
                  <c:v>-151.10921141378344</c:v>
                </c:pt>
                <c:pt idx="177">
                  <c:v>-158.67358645620894</c:v>
                </c:pt>
                <c:pt idx="178">
                  <c:v>-166.27753879976694</c:v>
                </c:pt>
                <c:pt idx="179">
                  <c:v>-173.92048632020442</c:v>
                </c:pt>
                <c:pt idx="180">
                  <c:v>-181.60185247856612</c:v>
                </c:pt>
                <c:pt idx="181">
                  <c:v>-189.32106636991935</c:v>
                </c:pt>
                <c:pt idx="182">
                  <c:v>-197.07756276776487</c:v>
                </c:pt>
                <c:pt idx="183">
                  <c:v>-204.87078216424132</c:v>
                </c:pt>
                <c:pt idx="184">
                  <c:v>-212.70017080623143</c:v>
                </c:pt>
                <c:pt idx="185">
                  <c:v>-220.56518072747812</c:v>
                </c:pt>
                <c:pt idx="186">
                  <c:v>-228.46526977681907</c:v>
                </c:pt>
                <c:pt idx="187">
                  <c:v>-236.39990164264816</c:v>
                </c:pt>
                <c:pt idx="188">
                  <c:v>-244.36854587371229</c:v>
                </c:pt>
                <c:pt idx="189">
                  <c:v>-252.37067789635145</c:v>
                </c:pt>
                <c:pt idx="190">
                  <c:v>-260.40577902828988</c:v>
                </c:pt>
                <c:pt idx="191">
                  <c:v>-268.47333648908489</c:v>
                </c:pt>
                <c:pt idx="192">
                  <c:v>-276.57284340734032</c:v>
                </c:pt>
                <c:pt idx="193">
                  <c:v>-284.70379882478932</c:v>
                </c:pt>
                <c:pt idx="194">
                  <c:v>-292.86570769735164</c:v>
                </c:pt>
                <c:pt idx="195">
                  <c:v>-301.05808089326877</c:v>
                </c:pt>
                <c:pt idx="196">
                  <c:v>-309.28043518841895</c:v>
                </c:pt>
                <c:pt idx="197">
                  <c:v>-317.5322932589138</c:v>
                </c:pt>
                <c:pt idx="198">
                  <c:v>-325.81318367107605</c:v>
                </c:pt>
                <c:pt idx="199">
                  <c:v>-334.12264086889667</c:v>
                </c:pt>
                <c:pt idx="200">
                  <c:v>-342.46020515906895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C9-42E3-8CF2-2445FBB8402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ex1_2자동화!$B$6:$B$206</c:f>
              <c:numCache>
                <c:formatCode>General</c:formatCode>
                <c:ptCount val="201"/>
                <c:pt idx="0">
                  <c:v>0</c:v>
                </c:pt>
                <c:pt idx="1">
                  <c:v>3.9073112848927396</c:v>
                </c:pt>
                <c:pt idx="2">
                  <c:v>7.8146225697854792</c:v>
                </c:pt>
                <c:pt idx="3">
                  <c:v>11.72193385467822</c:v>
                </c:pt>
                <c:pt idx="4">
                  <c:v>15.629245139570958</c:v>
                </c:pt>
                <c:pt idx="5">
                  <c:v>19.536556424463697</c:v>
                </c:pt>
                <c:pt idx="6">
                  <c:v>23.443867709356436</c:v>
                </c:pt>
                <c:pt idx="7">
                  <c:v>27.351178994249175</c:v>
                </c:pt>
                <c:pt idx="8">
                  <c:v>31.258490279141913</c:v>
                </c:pt>
                <c:pt idx="9">
                  <c:v>35.165801564034652</c:v>
                </c:pt>
                <c:pt idx="10">
                  <c:v>39.073112848927387</c:v>
                </c:pt>
                <c:pt idx="11">
                  <c:v>42.980424133820129</c:v>
                </c:pt>
                <c:pt idx="12">
                  <c:v>46.887735418712872</c:v>
                </c:pt>
                <c:pt idx="13">
                  <c:v>50.795046703605614</c:v>
                </c:pt>
                <c:pt idx="14">
                  <c:v>54.702357988498356</c:v>
                </c:pt>
                <c:pt idx="15">
                  <c:v>58.609669273391098</c:v>
                </c:pt>
                <c:pt idx="16">
                  <c:v>62.516980558283841</c:v>
                </c:pt>
                <c:pt idx="17">
                  <c:v>66.42429184317659</c:v>
                </c:pt>
                <c:pt idx="18">
                  <c:v>70.331603128069332</c:v>
                </c:pt>
                <c:pt idx="19">
                  <c:v>74.238914412962075</c:v>
                </c:pt>
                <c:pt idx="20">
                  <c:v>78.146225697854803</c:v>
                </c:pt>
                <c:pt idx="21">
                  <c:v>82.053536982747545</c:v>
                </c:pt>
                <c:pt idx="22">
                  <c:v>85.960848267640287</c:v>
                </c:pt>
                <c:pt idx="23">
                  <c:v>89.868159552533029</c:v>
                </c:pt>
                <c:pt idx="24">
                  <c:v>93.775470837425772</c:v>
                </c:pt>
                <c:pt idx="25">
                  <c:v>97.682782122318514</c:v>
                </c:pt>
                <c:pt idx="26">
                  <c:v>101.59009340721126</c:v>
                </c:pt>
                <c:pt idx="27">
                  <c:v>105.49740469210401</c:v>
                </c:pt>
                <c:pt idx="28">
                  <c:v>109.40471597699675</c:v>
                </c:pt>
                <c:pt idx="29">
                  <c:v>113.3120272618895</c:v>
                </c:pt>
                <c:pt idx="30">
                  <c:v>117.21933854678224</c:v>
                </c:pt>
                <c:pt idx="31">
                  <c:v>121.12664983167498</c:v>
                </c:pt>
                <c:pt idx="32">
                  <c:v>125.03396111656772</c:v>
                </c:pt>
                <c:pt idx="33">
                  <c:v>128.94127240146045</c:v>
                </c:pt>
                <c:pt idx="34">
                  <c:v>132.84858368635321</c:v>
                </c:pt>
                <c:pt idx="35">
                  <c:v>136.75589497124594</c:v>
                </c:pt>
                <c:pt idx="36">
                  <c:v>140.66320625613869</c:v>
                </c:pt>
                <c:pt idx="37">
                  <c:v>144.57051754103142</c:v>
                </c:pt>
                <c:pt idx="38">
                  <c:v>148.47782882592418</c:v>
                </c:pt>
                <c:pt idx="39">
                  <c:v>152.38514011081693</c:v>
                </c:pt>
                <c:pt idx="40">
                  <c:v>156.29245139570963</c:v>
                </c:pt>
                <c:pt idx="41">
                  <c:v>160.19976268060236</c:v>
                </c:pt>
                <c:pt idx="42">
                  <c:v>164.10707396549509</c:v>
                </c:pt>
                <c:pt idx="43">
                  <c:v>168.01438525038782</c:v>
                </c:pt>
                <c:pt idx="44">
                  <c:v>171.92169653528055</c:v>
                </c:pt>
                <c:pt idx="45">
                  <c:v>175.82900782017327</c:v>
                </c:pt>
                <c:pt idx="46">
                  <c:v>179.736319105066</c:v>
                </c:pt>
                <c:pt idx="47">
                  <c:v>183.64363038995873</c:v>
                </c:pt>
                <c:pt idx="48">
                  <c:v>187.55094167485146</c:v>
                </c:pt>
                <c:pt idx="49">
                  <c:v>191.45825295974419</c:v>
                </c:pt>
                <c:pt idx="50">
                  <c:v>195.36556424463691</c:v>
                </c:pt>
                <c:pt idx="51">
                  <c:v>199.27287552952961</c:v>
                </c:pt>
                <c:pt idx="52">
                  <c:v>203.18018681442234</c:v>
                </c:pt>
                <c:pt idx="53">
                  <c:v>207.08749809931507</c:v>
                </c:pt>
                <c:pt idx="54">
                  <c:v>210.9948093842078</c:v>
                </c:pt>
                <c:pt idx="55">
                  <c:v>214.90212066910053</c:v>
                </c:pt>
                <c:pt idx="56">
                  <c:v>218.80943195399325</c:v>
                </c:pt>
                <c:pt idx="57">
                  <c:v>222.71674323888598</c:v>
                </c:pt>
                <c:pt idx="58">
                  <c:v>226.62405452377871</c:v>
                </c:pt>
                <c:pt idx="59">
                  <c:v>230.53136580867144</c:v>
                </c:pt>
                <c:pt idx="60">
                  <c:v>234.43867709356417</c:v>
                </c:pt>
                <c:pt idx="61">
                  <c:v>238.34598837845689</c:v>
                </c:pt>
                <c:pt idx="62">
                  <c:v>242.25329966334959</c:v>
                </c:pt>
                <c:pt idx="63">
                  <c:v>246.16061094824232</c:v>
                </c:pt>
                <c:pt idx="64">
                  <c:v>250.06792223313505</c:v>
                </c:pt>
                <c:pt idx="65">
                  <c:v>253.97523351802778</c:v>
                </c:pt>
                <c:pt idx="66">
                  <c:v>257.88254480292051</c:v>
                </c:pt>
                <c:pt idx="67">
                  <c:v>261.78985608781323</c:v>
                </c:pt>
                <c:pt idx="68">
                  <c:v>265.69716737270596</c:v>
                </c:pt>
                <c:pt idx="69">
                  <c:v>269.60447865759869</c:v>
                </c:pt>
                <c:pt idx="70">
                  <c:v>273.51178994249142</c:v>
                </c:pt>
                <c:pt idx="71">
                  <c:v>277.41910122738415</c:v>
                </c:pt>
                <c:pt idx="72">
                  <c:v>281.32641251227687</c:v>
                </c:pt>
                <c:pt idx="73">
                  <c:v>285.2337237971696</c:v>
                </c:pt>
                <c:pt idx="74">
                  <c:v>289.14103508206233</c:v>
                </c:pt>
                <c:pt idx="75">
                  <c:v>293.04834636695506</c:v>
                </c:pt>
                <c:pt idx="76">
                  <c:v>296.95565765184779</c:v>
                </c:pt>
                <c:pt idx="77">
                  <c:v>300.86296893674051</c:v>
                </c:pt>
                <c:pt idx="78">
                  <c:v>304.77028022163324</c:v>
                </c:pt>
                <c:pt idx="79">
                  <c:v>308.67759150652591</c:v>
                </c:pt>
                <c:pt idx="80">
                  <c:v>312.58490279141864</c:v>
                </c:pt>
                <c:pt idx="81">
                  <c:v>316.49221407631137</c:v>
                </c:pt>
                <c:pt idx="82">
                  <c:v>320.3995253612041</c:v>
                </c:pt>
                <c:pt idx="83">
                  <c:v>324.30683664609683</c:v>
                </c:pt>
                <c:pt idx="84">
                  <c:v>328.21414793098955</c:v>
                </c:pt>
                <c:pt idx="85">
                  <c:v>332.12145921588228</c:v>
                </c:pt>
                <c:pt idx="86">
                  <c:v>336.02877050077501</c:v>
                </c:pt>
                <c:pt idx="87">
                  <c:v>339.93608178566774</c:v>
                </c:pt>
                <c:pt idx="88">
                  <c:v>343.84339307056047</c:v>
                </c:pt>
                <c:pt idx="89">
                  <c:v>347.75070435545319</c:v>
                </c:pt>
                <c:pt idx="90">
                  <c:v>351.65801564034592</c:v>
                </c:pt>
                <c:pt idx="91">
                  <c:v>355.56532692523865</c:v>
                </c:pt>
                <c:pt idx="92">
                  <c:v>359.47263821013138</c:v>
                </c:pt>
                <c:pt idx="93">
                  <c:v>363.37994949502411</c:v>
                </c:pt>
                <c:pt idx="94">
                  <c:v>367.28726077991683</c:v>
                </c:pt>
                <c:pt idx="95">
                  <c:v>371.19457206480956</c:v>
                </c:pt>
                <c:pt idx="96">
                  <c:v>375.10188334970229</c:v>
                </c:pt>
                <c:pt idx="97">
                  <c:v>379.00919463459502</c:v>
                </c:pt>
                <c:pt idx="98">
                  <c:v>382.91650591948775</c:v>
                </c:pt>
                <c:pt idx="99">
                  <c:v>386.82381720438048</c:v>
                </c:pt>
                <c:pt idx="100">
                  <c:v>390.7311284892732</c:v>
                </c:pt>
                <c:pt idx="101">
                  <c:v>394.63843977416593</c:v>
                </c:pt>
                <c:pt idx="102">
                  <c:v>398.5457510590586</c:v>
                </c:pt>
                <c:pt idx="103">
                  <c:v>402.45306234395133</c:v>
                </c:pt>
                <c:pt idx="104">
                  <c:v>406.36037362884406</c:v>
                </c:pt>
                <c:pt idx="105">
                  <c:v>410.26768491373679</c:v>
                </c:pt>
                <c:pt idx="106">
                  <c:v>414.17499619862951</c:v>
                </c:pt>
                <c:pt idx="107">
                  <c:v>418.08230748352224</c:v>
                </c:pt>
                <c:pt idx="108">
                  <c:v>421.98961876841497</c:v>
                </c:pt>
                <c:pt idx="109">
                  <c:v>425.8969300533077</c:v>
                </c:pt>
                <c:pt idx="110">
                  <c:v>429.80424133820043</c:v>
                </c:pt>
                <c:pt idx="111">
                  <c:v>433.71155262309316</c:v>
                </c:pt>
                <c:pt idx="112">
                  <c:v>437.61886390798588</c:v>
                </c:pt>
                <c:pt idx="113">
                  <c:v>441.52617519287861</c:v>
                </c:pt>
                <c:pt idx="114">
                  <c:v>445.43348647777134</c:v>
                </c:pt>
                <c:pt idx="115">
                  <c:v>449.34079776266407</c:v>
                </c:pt>
                <c:pt idx="116">
                  <c:v>453.2481090475568</c:v>
                </c:pt>
                <c:pt idx="117">
                  <c:v>457.15542033244952</c:v>
                </c:pt>
                <c:pt idx="118">
                  <c:v>461.06273161734225</c:v>
                </c:pt>
                <c:pt idx="119">
                  <c:v>464.97004290223498</c:v>
                </c:pt>
                <c:pt idx="120">
                  <c:v>468.87735418712771</c:v>
                </c:pt>
                <c:pt idx="121">
                  <c:v>472.78466547202044</c:v>
                </c:pt>
                <c:pt idx="122">
                  <c:v>476.69197675691316</c:v>
                </c:pt>
                <c:pt idx="123">
                  <c:v>480.59928804180589</c:v>
                </c:pt>
                <c:pt idx="124">
                  <c:v>484.50659932669862</c:v>
                </c:pt>
                <c:pt idx="125">
                  <c:v>488.41391061159129</c:v>
                </c:pt>
                <c:pt idx="126">
                  <c:v>492.32122189648402</c:v>
                </c:pt>
                <c:pt idx="127">
                  <c:v>496.22853318137675</c:v>
                </c:pt>
                <c:pt idx="128">
                  <c:v>500.13584446626948</c:v>
                </c:pt>
                <c:pt idx="129">
                  <c:v>504.0431557511622</c:v>
                </c:pt>
                <c:pt idx="130">
                  <c:v>507.95046703605493</c:v>
                </c:pt>
                <c:pt idx="131">
                  <c:v>511.85777832094766</c:v>
                </c:pt>
                <c:pt idx="132">
                  <c:v>515.76508960584044</c:v>
                </c:pt>
                <c:pt idx="133">
                  <c:v>519.67240089073312</c:v>
                </c:pt>
                <c:pt idx="134">
                  <c:v>523.5797121756259</c:v>
                </c:pt>
                <c:pt idx="135">
                  <c:v>527.48702346051857</c:v>
                </c:pt>
                <c:pt idx="136">
                  <c:v>531.39433474541124</c:v>
                </c:pt>
                <c:pt idx="137">
                  <c:v>535.30164603030403</c:v>
                </c:pt>
                <c:pt idx="138">
                  <c:v>539.2089573151967</c:v>
                </c:pt>
                <c:pt idx="139">
                  <c:v>543.11626860008948</c:v>
                </c:pt>
                <c:pt idx="140">
                  <c:v>547.02357988498215</c:v>
                </c:pt>
                <c:pt idx="141">
                  <c:v>550.93089116987494</c:v>
                </c:pt>
                <c:pt idx="142">
                  <c:v>554.83820245476761</c:v>
                </c:pt>
                <c:pt idx="143">
                  <c:v>558.7455137396604</c:v>
                </c:pt>
                <c:pt idx="144">
                  <c:v>562.65282502455307</c:v>
                </c:pt>
                <c:pt idx="145">
                  <c:v>566.56013630944585</c:v>
                </c:pt>
                <c:pt idx="146">
                  <c:v>570.46744759433852</c:v>
                </c:pt>
                <c:pt idx="147">
                  <c:v>574.37475887923131</c:v>
                </c:pt>
                <c:pt idx="148">
                  <c:v>578.28207016412398</c:v>
                </c:pt>
                <c:pt idx="149">
                  <c:v>582.18938144901676</c:v>
                </c:pt>
                <c:pt idx="150">
                  <c:v>586.09669273390944</c:v>
                </c:pt>
                <c:pt idx="151">
                  <c:v>590.00400401880222</c:v>
                </c:pt>
                <c:pt idx="152">
                  <c:v>593.91131530369489</c:v>
                </c:pt>
                <c:pt idx="153">
                  <c:v>597.81862658858768</c:v>
                </c:pt>
                <c:pt idx="154">
                  <c:v>601.72593787348035</c:v>
                </c:pt>
                <c:pt idx="155">
                  <c:v>605.63324915837313</c:v>
                </c:pt>
                <c:pt idx="156">
                  <c:v>609.5405604432658</c:v>
                </c:pt>
                <c:pt idx="157">
                  <c:v>613.44787172815859</c:v>
                </c:pt>
                <c:pt idx="158">
                  <c:v>617.35518301305126</c:v>
                </c:pt>
                <c:pt idx="159">
                  <c:v>621.26249429794393</c:v>
                </c:pt>
                <c:pt idx="160">
                  <c:v>625.16980558283672</c:v>
                </c:pt>
                <c:pt idx="161">
                  <c:v>629.07711686772939</c:v>
                </c:pt>
                <c:pt idx="162">
                  <c:v>632.98442815262229</c:v>
                </c:pt>
                <c:pt idx="163">
                  <c:v>636.89173943751507</c:v>
                </c:pt>
                <c:pt idx="164">
                  <c:v>640.79905072240786</c:v>
                </c:pt>
                <c:pt idx="165">
                  <c:v>644.70636200730064</c:v>
                </c:pt>
                <c:pt idx="166">
                  <c:v>648.61367329219343</c:v>
                </c:pt>
                <c:pt idx="167">
                  <c:v>652.52098457708621</c:v>
                </c:pt>
                <c:pt idx="168">
                  <c:v>656.428295861979</c:v>
                </c:pt>
                <c:pt idx="169">
                  <c:v>660.33560714687178</c:v>
                </c:pt>
                <c:pt idx="170">
                  <c:v>664.24291843176456</c:v>
                </c:pt>
                <c:pt idx="171">
                  <c:v>668.15022971665735</c:v>
                </c:pt>
                <c:pt idx="172">
                  <c:v>672.05754100155013</c:v>
                </c:pt>
                <c:pt idx="173">
                  <c:v>675.96485228644292</c:v>
                </c:pt>
                <c:pt idx="174">
                  <c:v>679.87216357133582</c:v>
                </c:pt>
                <c:pt idx="175">
                  <c:v>683.7794748562286</c:v>
                </c:pt>
                <c:pt idx="176">
                  <c:v>687.68678614112139</c:v>
                </c:pt>
                <c:pt idx="177">
                  <c:v>691.59409742601417</c:v>
                </c:pt>
                <c:pt idx="178">
                  <c:v>695.50140871090696</c:v>
                </c:pt>
                <c:pt idx="179">
                  <c:v>699.40871999579974</c:v>
                </c:pt>
                <c:pt idx="180">
                  <c:v>703.31603128069253</c:v>
                </c:pt>
                <c:pt idx="181">
                  <c:v>707.22334256558531</c:v>
                </c:pt>
                <c:pt idx="182">
                  <c:v>711.1306538504781</c:v>
                </c:pt>
                <c:pt idx="183">
                  <c:v>715.03796513537088</c:v>
                </c:pt>
                <c:pt idx="184">
                  <c:v>718.94527642026367</c:v>
                </c:pt>
                <c:pt idx="185">
                  <c:v>722.85258770515657</c:v>
                </c:pt>
                <c:pt idx="186">
                  <c:v>726.75989899004935</c:v>
                </c:pt>
                <c:pt idx="187">
                  <c:v>730.66721027494214</c:v>
                </c:pt>
                <c:pt idx="188">
                  <c:v>734.57452155983492</c:v>
                </c:pt>
                <c:pt idx="189">
                  <c:v>738.48183284472771</c:v>
                </c:pt>
                <c:pt idx="190">
                  <c:v>742.38914412962049</c:v>
                </c:pt>
                <c:pt idx="191">
                  <c:v>746.29645541451328</c:v>
                </c:pt>
                <c:pt idx="192">
                  <c:v>750.20376669940606</c:v>
                </c:pt>
                <c:pt idx="193">
                  <c:v>754.11107798429884</c:v>
                </c:pt>
                <c:pt idx="194">
                  <c:v>758.01838926919163</c:v>
                </c:pt>
                <c:pt idx="195">
                  <c:v>761.92570055408441</c:v>
                </c:pt>
                <c:pt idx="196">
                  <c:v>765.83301183897731</c:v>
                </c:pt>
                <c:pt idx="197">
                  <c:v>769.7403231238701</c:v>
                </c:pt>
                <c:pt idx="198">
                  <c:v>773.64763440876288</c:v>
                </c:pt>
                <c:pt idx="199">
                  <c:v>777.55494569365567</c:v>
                </c:pt>
                <c:pt idx="200">
                  <c:v>781.46225697854845</c:v>
                </c:pt>
              </c:numCache>
            </c:numRef>
          </c:xVal>
          <c:yVal>
            <c:numRef>
              <c:f>ex1_2자동화!$C$6:$C$206</c:f>
              <c:numCache>
                <c:formatCode>General</c:formatCode>
                <c:ptCount val="201"/>
                <c:pt idx="0">
                  <c:v>0</c:v>
                </c:pt>
                <c:pt idx="1">
                  <c:v>9.1560485345244036</c:v>
                </c:pt>
                <c:pt idx="2">
                  <c:v>18.214097069048805</c:v>
                </c:pt>
                <c:pt idx="3">
                  <c:v>27.174145603573212</c:v>
                </c:pt>
                <c:pt idx="4">
                  <c:v>36.036194138097613</c:v>
                </c:pt>
                <c:pt idx="5">
                  <c:v>44.800242672622012</c:v>
                </c:pt>
                <c:pt idx="6">
                  <c:v>53.466291207146412</c:v>
                </c:pt>
                <c:pt idx="7">
                  <c:v>62.03433974167082</c:v>
                </c:pt>
                <c:pt idx="8">
                  <c:v>70.504388276195215</c:v>
                </c:pt>
                <c:pt idx="9">
                  <c:v>78.876436810719625</c:v>
                </c:pt>
                <c:pt idx="10">
                  <c:v>87.150485345244007</c:v>
                </c:pt>
                <c:pt idx="11">
                  <c:v>95.326533879768419</c:v>
                </c:pt>
                <c:pt idx="12">
                  <c:v>103.40458241429283</c:v>
                </c:pt>
                <c:pt idx="13">
                  <c:v>111.38463094881723</c:v>
                </c:pt>
                <c:pt idx="14">
                  <c:v>119.26667948334166</c:v>
                </c:pt>
                <c:pt idx="15">
                  <c:v>127.05072801786605</c:v>
                </c:pt>
                <c:pt idx="16">
                  <c:v>134.73677655239047</c:v>
                </c:pt>
                <c:pt idx="17">
                  <c:v>142.32482508691487</c:v>
                </c:pt>
                <c:pt idx="18">
                  <c:v>149.81487362143929</c:v>
                </c:pt>
                <c:pt idx="19">
                  <c:v>157.2069221559637</c:v>
                </c:pt>
                <c:pt idx="20">
                  <c:v>164.50097069048809</c:v>
                </c:pt>
                <c:pt idx="21">
                  <c:v>171.6970192250125</c:v>
                </c:pt>
                <c:pt idx="22">
                  <c:v>178.79506775953692</c:v>
                </c:pt>
                <c:pt idx="23">
                  <c:v>185.7951162940613</c:v>
                </c:pt>
                <c:pt idx="24">
                  <c:v>192.69716482858573</c:v>
                </c:pt>
                <c:pt idx="25">
                  <c:v>199.50121336311011</c:v>
                </c:pt>
                <c:pt idx="26">
                  <c:v>206.20726189763454</c:v>
                </c:pt>
                <c:pt idx="27">
                  <c:v>212.81531043215895</c:v>
                </c:pt>
                <c:pt idx="28">
                  <c:v>219.32535896668335</c:v>
                </c:pt>
                <c:pt idx="29">
                  <c:v>225.73740750120774</c:v>
                </c:pt>
                <c:pt idx="30">
                  <c:v>232.0514560357322</c:v>
                </c:pt>
                <c:pt idx="31">
                  <c:v>238.26750457025656</c:v>
                </c:pt>
                <c:pt idx="32">
                  <c:v>244.38555310478097</c:v>
                </c:pt>
                <c:pt idx="33">
                  <c:v>250.40560163930542</c:v>
                </c:pt>
                <c:pt idx="34">
                  <c:v>256.3276501738298</c:v>
                </c:pt>
                <c:pt idx="35">
                  <c:v>262.15169870835416</c:v>
                </c:pt>
                <c:pt idx="36">
                  <c:v>267.87774724287857</c:v>
                </c:pt>
                <c:pt idx="37">
                  <c:v>273.50579577740302</c:v>
                </c:pt>
                <c:pt idx="38">
                  <c:v>279.03584431192741</c:v>
                </c:pt>
                <c:pt idx="39">
                  <c:v>284.46789284645183</c:v>
                </c:pt>
                <c:pt idx="40">
                  <c:v>289.80194138097619</c:v>
                </c:pt>
                <c:pt idx="41">
                  <c:v>295.03798991550053</c:v>
                </c:pt>
                <c:pt idx="42">
                  <c:v>300.17603845002498</c:v>
                </c:pt>
                <c:pt idx="43">
                  <c:v>305.21608698454941</c:v>
                </c:pt>
                <c:pt idx="44">
                  <c:v>310.15813551907371</c:v>
                </c:pt>
                <c:pt idx="45">
                  <c:v>315.00218405359811</c:v>
                </c:pt>
                <c:pt idx="46">
                  <c:v>319.74823258812251</c:v>
                </c:pt>
                <c:pt idx="47">
                  <c:v>324.39628112264688</c:v>
                </c:pt>
                <c:pt idx="48">
                  <c:v>328.94632965717125</c:v>
                </c:pt>
                <c:pt idx="49">
                  <c:v>333.39837819169566</c:v>
                </c:pt>
                <c:pt idx="50">
                  <c:v>337.75242672622005</c:v>
                </c:pt>
                <c:pt idx="51">
                  <c:v>342.00847526074443</c:v>
                </c:pt>
                <c:pt idx="52">
                  <c:v>346.16652379526886</c:v>
                </c:pt>
                <c:pt idx="53">
                  <c:v>350.22657232979316</c:v>
                </c:pt>
                <c:pt idx="54">
                  <c:v>354.18862086431761</c:v>
                </c:pt>
                <c:pt idx="55">
                  <c:v>358.052669398842</c:v>
                </c:pt>
                <c:pt idx="56">
                  <c:v>361.81871793336643</c:v>
                </c:pt>
                <c:pt idx="57">
                  <c:v>365.48676646789079</c:v>
                </c:pt>
                <c:pt idx="58">
                  <c:v>369.05681500241525</c:v>
                </c:pt>
                <c:pt idx="59">
                  <c:v>372.52886353693953</c:v>
                </c:pt>
                <c:pt idx="60">
                  <c:v>375.90291207146396</c:v>
                </c:pt>
                <c:pt idx="61">
                  <c:v>379.17896060598838</c:v>
                </c:pt>
                <c:pt idx="62">
                  <c:v>382.35700914051279</c:v>
                </c:pt>
                <c:pt idx="63">
                  <c:v>385.43705767503718</c:v>
                </c:pt>
                <c:pt idx="64">
                  <c:v>388.41910620956151</c:v>
                </c:pt>
                <c:pt idx="65">
                  <c:v>391.30315474408599</c:v>
                </c:pt>
                <c:pt idx="66">
                  <c:v>394.0892032786104</c:v>
                </c:pt>
                <c:pt idx="67">
                  <c:v>396.7772518131348</c:v>
                </c:pt>
                <c:pt idx="68">
                  <c:v>399.36730034765912</c:v>
                </c:pt>
                <c:pt idx="69">
                  <c:v>401.85934888218355</c:v>
                </c:pt>
                <c:pt idx="70">
                  <c:v>404.25339741670797</c:v>
                </c:pt>
                <c:pt idx="71">
                  <c:v>406.54944595123243</c:v>
                </c:pt>
                <c:pt idx="72">
                  <c:v>408.74749448575682</c:v>
                </c:pt>
                <c:pt idx="73">
                  <c:v>410.84754302028114</c:v>
                </c:pt>
                <c:pt idx="74">
                  <c:v>412.84959155480556</c:v>
                </c:pt>
                <c:pt idx="75">
                  <c:v>414.75364008932996</c:v>
                </c:pt>
                <c:pt idx="76">
                  <c:v>416.55968862385441</c:v>
                </c:pt>
                <c:pt idx="77">
                  <c:v>418.26773715837885</c:v>
                </c:pt>
                <c:pt idx="78">
                  <c:v>419.87778569290316</c:v>
                </c:pt>
                <c:pt idx="79">
                  <c:v>421.38983422742757</c:v>
                </c:pt>
                <c:pt idx="80">
                  <c:v>422.80388276195202</c:v>
                </c:pt>
                <c:pt idx="81">
                  <c:v>424.11993129647652</c:v>
                </c:pt>
                <c:pt idx="82">
                  <c:v>425.33797983100089</c:v>
                </c:pt>
                <c:pt idx="83">
                  <c:v>426.45802836552525</c:v>
                </c:pt>
                <c:pt idx="84">
                  <c:v>427.48007690004971</c:v>
                </c:pt>
                <c:pt idx="85">
                  <c:v>428.4041254345741</c:v>
                </c:pt>
                <c:pt idx="86">
                  <c:v>429.23017396909853</c:v>
                </c:pt>
                <c:pt idx="87">
                  <c:v>429.95822250362284</c:v>
                </c:pt>
                <c:pt idx="88">
                  <c:v>430.5882710381473</c:v>
                </c:pt>
                <c:pt idx="89">
                  <c:v>431.12031957267175</c:v>
                </c:pt>
                <c:pt idx="90">
                  <c:v>431.55436810719618</c:v>
                </c:pt>
                <c:pt idx="91">
                  <c:v>431.89041664172061</c:v>
                </c:pt>
                <c:pt idx="92">
                  <c:v>432.12846517624496</c:v>
                </c:pt>
                <c:pt idx="93">
                  <c:v>432.26851371076941</c:v>
                </c:pt>
                <c:pt idx="94">
                  <c:v>432.31056224529385</c:v>
                </c:pt>
                <c:pt idx="95">
                  <c:v>432.25461077981828</c:v>
                </c:pt>
                <c:pt idx="96">
                  <c:v>432.10065931434269</c:v>
                </c:pt>
                <c:pt idx="97">
                  <c:v>431.84870784886704</c:v>
                </c:pt>
                <c:pt idx="98">
                  <c:v>431.49875638339148</c:v>
                </c:pt>
                <c:pt idx="99">
                  <c:v>431.05080491791591</c:v>
                </c:pt>
                <c:pt idx="100">
                  <c:v>430.50485345244044</c:v>
                </c:pt>
                <c:pt idx="101">
                  <c:v>429.86090198696473</c:v>
                </c:pt>
                <c:pt idx="102">
                  <c:v>429.11895052148918</c:v>
                </c:pt>
                <c:pt idx="103">
                  <c:v>428.27899905601362</c:v>
                </c:pt>
                <c:pt idx="104">
                  <c:v>427.3410475905381</c:v>
                </c:pt>
                <c:pt idx="105">
                  <c:v>426.30509612506251</c:v>
                </c:pt>
                <c:pt idx="106">
                  <c:v>425.17114465958684</c:v>
                </c:pt>
                <c:pt idx="107">
                  <c:v>423.93919319411134</c:v>
                </c:pt>
                <c:pt idx="108">
                  <c:v>422.60924172863577</c:v>
                </c:pt>
                <c:pt idx="109">
                  <c:v>421.18129026316024</c:v>
                </c:pt>
                <c:pt idx="110">
                  <c:v>419.65533879768464</c:v>
                </c:pt>
                <c:pt idx="111">
                  <c:v>418.03138733220896</c:v>
                </c:pt>
                <c:pt idx="112">
                  <c:v>416.30943586673357</c:v>
                </c:pt>
                <c:pt idx="113">
                  <c:v>414.48948440125776</c:v>
                </c:pt>
                <c:pt idx="114">
                  <c:v>412.57153293578233</c:v>
                </c:pt>
                <c:pt idx="115">
                  <c:v>410.55558147030672</c:v>
                </c:pt>
                <c:pt idx="116">
                  <c:v>408.44163000483127</c:v>
                </c:pt>
                <c:pt idx="117">
                  <c:v>406.22967853935575</c:v>
                </c:pt>
                <c:pt idx="118">
                  <c:v>403.91972707388015</c:v>
                </c:pt>
                <c:pt idx="119">
                  <c:v>401.51177560840449</c:v>
                </c:pt>
                <c:pt idx="120">
                  <c:v>399.00582414292899</c:v>
                </c:pt>
                <c:pt idx="121">
                  <c:v>396.40187267745353</c:v>
                </c:pt>
                <c:pt idx="122">
                  <c:v>393.69992121197799</c:v>
                </c:pt>
                <c:pt idx="123">
                  <c:v>390.89996974650228</c:v>
                </c:pt>
                <c:pt idx="124">
                  <c:v>388.00201828102661</c:v>
                </c:pt>
                <c:pt idx="125">
                  <c:v>385.00606681555109</c:v>
                </c:pt>
                <c:pt idx="126">
                  <c:v>381.91211535007551</c:v>
                </c:pt>
                <c:pt idx="127">
                  <c:v>378.72016388460008</c:v>
                </c:pt>
                <c:pt idx="128">
                  <c:v>375.43021241912459</c:v>
                </c:pt>
                <c:pt idx="129">
                  <c:v>372.04226095364902</c:v>
                </c:pt>
                <c:pt idx="130">
                  <c:v>368.5563094881735</c:v>
                </c:pt>
                <c:pt idx="131">
                  <c:v>364.9723580226979</c:v>
                </c:pt>
                <c:pt idx="132">
                  <c:v>361.29040655722213</c:v>
                </c:pt>
                <c:pt idx="133">
                  <c:v>357.51045509174662</c:v>
                </c:pt>
                <c:pt idx="134">
                  <c:v>353.63250362627116</c:v>
                </c:pt>
                <c:pt idx="135">
                  <c:v>349.65655216079551</c:v>
                </c:pt>
                <c:pt idx="136">
                  <c:v>345.58260069532002</c:v>
                </c:pt>
                <c:pt idx="137">
                  <c:v>341.41064922984447</c:v>
                </c:pt>
                <c:pt idx="138">
                  <c:v>337.14069776436895</c:v>
                </c:pt>
                <c:pt idx="139">
                  <c:v>332.77274629889348</c:v>
                </c:pt>
                <c:pt idx="140">
                  <c:v>328.30679483341794</c:v>
                </c:pt>
                <c:pt idx="141">
                  <c:v>323.74284336794221</c:v>
                </c:pt>
                <c:pt idx="142">
                  <c:v>319.08089190246665</c:v>
                </c:pt>
                <c:pt idx="143">
                  <c:v>314.32094043699112</c:v>
                </c:pt>
                <c:pt idx="144">
                  <c:v>309.46298897151564</c:v>
                </c:pt>
                <c:pt idx="145">
                  <c:v>304.50703750603998</c:v>
                </c:pt>
                <c:pt idx="146">
                  <c:v>299.45308604056459</c:v>
                </c:pt>
                <c:pt idx="147">
                  <c:v>294.30113457508901</c:v>
                </c:pt>
                <c:pt idx="148">
                  <c:v>289.05118310961348</c:v>
                </c:pt>
                <c:pt idx="149">
                  <c:v>283.70323164413799</c:v>
                </c:pt>
                <c:pt idx="150">
                  <c:v>278.25728017866254</c:v>
                </c:pt>
                <c:pt idx="151">
                  <c:v>272.71332871318668</c:v>
                </c:pt>
                <c:pt idx="152">
                  <c:v>267.0713772477111</c:v>
                </c:pt>
                <c:pt idx="153">
                  <c:v>261.33142578223556</c:v>
                </c:pt>
                <c:pt idx="154">
                  <c:v>255.49347431676028</c:v>
                </c:pt>
                <c:pt idx="155">
                  <c:v>249.55752285128483</c:v>
                </c:pt>
                <c:pt idx="156">
                  <c:v>243.52357138580919</c:v>
                </c:pt>
                <c:pt idx="157">
                  <c:v>237.3916199203336</c:v>
                </c:pt>
                <c:pt idx="158">
                  <c:v>231.16166845485805</c:v>
                </c:pt>
                <c:pt idx="159">
                  <c:v>224.83371698938254</c:v>
                </c:pt>
                <c:pt idx="160">
                  <c:v>218.40776552390685</c:v>
                </c:pt>
                <c:pt idx="161">
                  <c:v>211.88381405843143</c:v>
                </c:pt>
                <c:pt idx="162">
                  <c:v>205.26186259295582</c:v>
                </c:pt>
                <c:pt idx="163">
                  <c:v>198.54191112748026</c:v>
                </c:pt>
                <c:pt idx="164">
                  <c:v>191.72395966200452</c:v>
                </c:pt>
                <c:pt idx="165">
                  <c:v>184.80800819652904</c:v>
                </c:pt>
                <c:pt idx="166">
                  <c:v>177.79405673105316</c:v>
                </c:pt>
                <c:pt idx="167">
                  <c:v>170.68210526557755</c:v>
                </c:pt>
                <c:pt idx="168">
                  <c:v>163.47215380010198</c:v>
                </c:pt>
                <c:pt idx="169">
                  <c:v>156.164202334626</c:v>
                </c:pt>
                <c:pt idx="170">
                  <c:v>148.75825086915052</c:v>
                </c:pt>
                <c:pt idx="171">
                  <c:v>141.25429940367485</c:v>
                </c:pt>
                <c:pt idx="172">
                  <c:v>133.652347938199</c:v>
                </c:pt>
                <c:pt idx="173">
                  <c:v>125.95239647272342</c:v>
                </c:pt>
                <c:pt idx="174">
                  <c:v>118.15444500724766</c:v>
                </c:pt>
                <c:pt idx="175">
                  <c:v>110.25849354177194</c:v>
                </c:pt>
                <c:pt idx="176">
                  <c:v>102.26454207629649</c:v>
                </c:pt>
                <c:pt idx="177">
                  <c:v>94.172590610820635</c:v>
                </c:pt>
                <c:pt idx="178">
                  <c:v>85.982639145345047</c:v>
                </c:pt>
                <c:pt idx="179">
                  <c:v>77.694687679869048</c:v>
                </c:pt>
                <c:pt idx="180">
                  <c:v>69.308736214393548</c:v>
                </c:pt>
                <c:pt idx="181">
                  <c:v>60.824784748917864</c:v>
                </c:pt>
                <c:pt idx="182">
                  <c:v>52.242833283441996</c:v>
                </c:pt>
                <c:pt idx="183">
                  <c:v>43.562881817966399</c:v>
                </c:pt>
                <c:pt idx="184">
                  <c:v>34.784930352490846</c:v>
                </c:pt>
                <c:pt idx="185">
                  <c:v>25.90897888701511</c:v>
                </c:pt>
                <c:pt idx="186">
                  <c:v>16.935027421539189</c:v>
                </c:pt>
                <c:pt idx="187">
                  <c:v>7.8630759560635397</c:v>
                </c:pt>
                <c:pt idx="188">
                  <c:v>-1.3068755094120661</c:v>
                </c:pt>
                <c:pt idx="189">
                  <c:v>-10.574826974887628</c:v>
                </c:pt>
                <c:pt idx="190">
                  <c:v>-19.940778440363601</c:v>
                </c:pt>
                <c:pt idx="191">
                  <c:v>-29.404729905839304</c:v>
                </c:pt>
                <c:pt idx="192">
                  <c:v>-38.96668137131519</c:v>
                </c:pt>
                <c:pt idx="193">
                  <c:v>-48.626632836790805</c:v>
                </c:pt>
                <c:pt idx="194">
                  <c:v>-58.384584302266603</c:v>
                </c:pt>
                <c:pt idx="195">
                  <c:v>-68.240535767742358</c:v>
                </c:pt>
                <c:pt idx="196">
                  <c:v>-78.194487233217842</c:v>
                </c:pt>
                <c:pt idx="197">
                  <c:v>-88.246438698693737</c:v>
                </c:pt>
                <c:pt idx="198">
                  <c:v>-98.396390164169588</c:v>
                </c:pt>
                <c:pt idx="199">
                  <c:v>-108.64434162964517</c:v>
                </c:pt>
                <c:pt idx="200">
                  <c:v>-118.99029309512116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C9-42E3-8CF2-2445FBB84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940048"/>
        <c:axId val="563942568"/>
      </c:scatterChart>
      <c:valAx>
        <c:axId val="56394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3942568"/>
        <c:crosses val="autoZero"/>
        <c:crossBetween val="midCat"/>
      </c:valAx>
      <c:valAx>
        <c:axId val="56394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394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ex1_2자동화!$R$6:$R$90</c:f>
              <c:numCache>
                <c:formatCode>General</c:formatCode>
                <c:ptCount val="85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</c:numCache>
            </c:numRef>
          </c:xVal>
          <c:yVal>
            <c:numRef>
              <c:f>ex1_2자동화!$S$6:$S$90</c:f>
              <c:numCache>
                <c:formatCode>General</c:formatCode>
                <c:ptCount val="85"/>
                <c:pt idx="0">
                  <c:v>516.20805147957526</c:v>
                </c:pt>
                <c:pt idx="1">
                  <c:v>519.56827938477716</c:v>
                </c:pt>
                <c:pt idx="2">
                  <c:v>527.94928041570154</c:v>
                </c:pt>
                <c:pt idx="3">
                  <c:v>531.06688161335524</c:v>
                </c:pt>
                <c:pt idx="4">
                  <c:v>534.08510066981478</c:v>
                </c:pt>
                <c:pt idx="5">
                  <c:v>537.0036087024879</c:v>
                </c:pt>
                <c:pt idx="6">
                  <c:v>544.73457429819257</c:v>
                </c:pt>
                <c:pt idx="7">
                  <c:v>547.40931395038126</c:v>
                </c:pt>
                <c:pt idx="8">
                  <c:v>549.9835224162274</c:v>
                </c:pt>
                <c:pt idx="9">
                  <c:v>552.45686463583536</c:v>
                </c:pt>
                <c:pt idx="10">
                  <c:v>559.53986655892675</c:v>
                </c:pt>
                <c:pt idx="11">
                  <c:v>561.76806266984318</c:v>
                </c:pt>
                <c:pt idx="12">
                  <c:v>563.89452671374772</c:v>
                </c:pt>
                <c:pt idx="13">
                  <c:v>565.91891610757636</c:v>
                </c:pt>
                <c:pt idx="14">
                  <c:v>567.84088731156316</c:v>
                </c:pt>
                <c:pt idx="15">
                  <c:v>574.13266748907972</c:v>
                </c:pt>
                <c:pt idx="16">
                  <c:v>575.80731366430928</c:v>
                </c:pt>
                <c:pt idx="17">
                  <c:v>577.37862054747188</c:v>
                </c:pt>
                <c:pt idx="18">
                  <c:v>578.84623554642576</c:v>
                </c:pt>
                <c:pt idx="19">
                  <c:v>580.20980467347738</c:v>
                </c:pt>
                <c:pt idx="20">
                  <c:v>581.46897245550679</c:v>
                </c:pt>
                <c:pt idx="21">
                  <c:v>582.62338184630084</c:v>
                </c:pt>
                <c:pt idx="22">
                  <c:v>587.83161714185633</c:v>
                </c:pt>
                <c:pt idx="23">
                  <c:v>588.7349554211504</c:v>
                </c:pt>
                <c:pt idx="24">
                  <c:v>589.53253816299809</c:v>
                </c:pt>
                <c:pt idx="25">
                  <c:v>590.22399744694394</c:v>
                </c:pt>
                <c:pt idx="26">
                  <c:v>590.80896343111192</c:v>
                </c:pt>
                <c:pt idx="27">
                  <c:v>591.28706428044211</c:v>
                </c:pt>
                <c:pt idx="28">
                  <c:v>591.6579260977195</c:v>
                </c:pt>
                <c:pt idx="29">
                  <c:v>591.92117285753102</c:v>
                </c:pt>
                <c:pt idx="30">
                  <c:v>592.07642634328568</c:v>
                </c:pt>
                <c:pt idx="31">
                  <c:v>592.12330608742514</c:v>
                </c:pt>
                <c:pt idx="32">
                  <c:v>592.06142931501006</c:v>
                </c:pt>
                <c:pt idx="33">
                  <c:v>591.89041089082855</c:v>
                </c:pt>
                <c:pt idx="34">
                  <c:v>591.60986327023272</c:v>
                </c:pt>
                <c:pt idx="35">
                  <c:v>591.21939645388966</c:v>
                </c:pt>
                <c:pt idx="36">
                  <c:v>590.71861794667927</c:v>
                </c:pt>
                <c:pt idx="37">
                  <c:v>590.10713272096166</c:v>
                </c:pt>
                <c:pt idx="38">
                  <c:v>589.38454318447702</c:v>
                </c:pt>
                <c:pt idx="39">
                  <c:v>588.55044915314863</c:v>
                </c:pt>
                <c:pt idx="40">
                  <c:v>587.60444782908769</c:v>
                </c:pt>
                <c:pt idx="41">
                  <c:v>586.54613378410716</c:v>
                </c:pt>
                <c:pt idx="42">
                  <c:v>585.37509894910056</c:v>
                </c:pt>
                <c:pt idx="43">
                  <c:v>584.09093260964255</c:v>
                </c:pt>
                <c:pt idx="44">
                  <c:v>582.69322140820691</c:v>
                </c:pt>
                <c:pt idx="45">
                  <c:v>581.18154935342477</c:v>
                </c:pt>
                <c:pt idx="46">
                  <c:v>579.55549783684205</c:v>
                </c:pt>
                <c:pt idx="47">
                  <c:v>577.81464565764441</c:v>
                </c:pt>
                <c:pt idx="48">
                  <c:v>575.95856905589551</c:v>
                </c:pt>
                <c:pt idx="49">
                  <c:v>573.9868417548231</c:v>
                </c:pt>
                <c:pt idx="50">
                  <c:v>571.89903501275603</c:v>
                </c:pt>
                <c:pt idx="51">
                  <c:v>569.69471768536005</c:v>
                </c:pt>
                <c:pt idx="52">
                  <c:v>564.40571110476822</c:v>
                </c:pt>
                <c:pt idx="53">
                  <c:v>562.00639483554244</c:v>
                </c:pt>
                <c:pt idx="54">
                  <c:v>559.48926034555484</c:v>
                </c:pt>
                <c:pt idx="55">
                  <c:v>556.85386927459979</c:v>
                </c:pt>
                <c:pt idx="56">
                  <c:v>554.09978125235625</c:v>
                </c:pt>
                <c:pt idx="57">
                  <c:v>551.22655403630779</c:v>
                </c:pt>
                <c:pt idx="58">
                  <c:v>545.48396510526516</c:v>
                </c:pt>
                <c:pt idx="59">
                  <c:v>542.41067095205233</c:v>
                </c:pt>
                <c:pt idx="60">
                  <c:v>539.21690898817337</c:v>
                </c:pt>
                <c:pt idx="61">
                  <c:v>535.90223220052383</c:v>
                </c:pt>
                <c:pt idx="62">
                  <c:v>532.46619254275663</c:v>
                </c:pt>
                <c:pt idx="63">
                  <c:v>526.33939532847046</c:v>
                </c:pt>
                <c:pt idx="64">
                  <c:v>522.69908030660929</c:v>
                </c:pt>
                <c:pt idx="65">
                  <c:v>518.9360671745228</c:v>
                </c:pt>
                <c:pt idx="66">
                  <c:v>515.04990696664458</c:v>
                </c:pt>
                <c:pt idx="67">
                  <c:v>508.61432516499207</c:v>
                </c:pt>
                <c:pt idx="68">
                  <c:v>504.52058352484823</c:v>
                </c:pt>
                <c:pt idx="69">
                  <c:v>500.30236627458828</c:v>
                </c:pt>
                <c:pt idx="70">
                  <c:v>493.63810803409007</c:v>
                </c:pt>
                <c:pt idx="71">
                  <c:v>489.20991900714699</c:v>
                </c:pt>
                <c:pt idx="72">
                  <c:v>484.65594074782598</c:v>
                </c:pt>
                <c:pt idx="73">
                  <c:v>477.76073081600083</c:v>
                </c:pt>
                <c:pt idx="74">
                  <c:v>472.99443612754823</c:v>
                </c:pt>
                <c:pt idx="75">
                  <c:v>468.10106404227497</c:v>
                </c:pt>
                <c:pt idx="76">
                  <c:v>460.97273102225881</c:v>
                </c:pt>
                <c:pt idx="77">
                  <c:v>455.86476493260119</c:v>
                </c:pt>
                <c:pt idx="78">
                  <c:v>450.62847229987142</c:v>
                </c:pt>
                <c:pt idx="79">
                  <c:v>443.264979336431</c:v>
                </c:pt>
                <c:pt idx="80">
                  <c:v>437.81190971313868</c:v>
                </c:pt>
                <c:pt idx="81">
                  <c:v>430.29995483575129</c:v>
                </c:pt>
                <c:pt idx="82">
                  <c:v>424.62880486069133</c:v>
                </c:pt>
                <c:pt idx="83">
                  <c:v>418.8273853946211</c:v>
                </c:pt>
                <c:pt idx="84">
                  <c:v>411.07759854416224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7-44BD-ACB7-CD0DBA623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315248"/>
        <c:axId val="569139408"/>
      </c:scatterChart>
      <c:valAx>
        <c:axId val="57231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9139408"/>
        <c:crosses val="autoZero"/>
        <c:crossBetween val="midCat"/>
      </c:valAx>
      <c:valAx>
        <c:axId val="56913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231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ex7자동화!$A$7:$A$107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ex7자동화!$B$7:$B$107</c:f>
              <c:numCache>
                <c:formatCode>General</c:formatCode>
                <c:ptCount val="101"/>
                <c:pt idx="0">
                  <c:v>0</c:v>
                </c:pt>
                <c:pt idx="1">
                  <c:v>3.9600000000000003E-2</c:v>
                </c:pt>
                <c:pt idx="2">
                  <c:v>7.8399999999999997E-2</c:v>
                </c:pt>
                <c:pt idx="3">
                  <c:v>0.11639999999999999</c:v>
                </c:pt>
                <c:pt idx="4">
                  <c:v>0.15359999999999999</c:v>
                </c:pt>
                <c:pt idx="5">
                  <c:v>0.19</c:v>
                </c:pt>
                <c:pt idx="6">
                  <c:v>0.22559999999999999</c:v>
                </c:pt>
                <c:pt idx="7">
                  <c:v>0.26040000000000002</c:v>
                </c:pt>
                <c:pt idx="8">
                  <c:v>0.2944</c:v>
                </c:pt>
                <c:pt idx="9">
                  <c:v>0.3276</c:v>
                </c:pt>
                <c:pt idx="10">
                  <c:v>0.36</c:v>
                </c:pt>
                <c:pt idx="11">
                  <c:v>0.39159999999999995</c:v>
                </c:pt>
                <c:pt idx="12">
                  <c:v>0.42239999999999994</c:v>
                </c:pt>
                <c:pt idx="13">
                  <c:v>0.45239999999999991</c:v>
                </c:pt>
                <c:pt idx="14">
                  <c:v>0.48159999999999992</c:v>
                </c:pt>
                <c:pt idx="15">
                  <c:v>0.51</c:v>
                </c:pt>
                <c:pt idx="16">
                  <c:v>0.53759999999999997</c:v>
                </c:pt>
                <c:pt idx="17">
                  <c:v>0.56440000000000001</c:v>
                </c:pt>
                <c:pt idx="18">
                  <c:v>0.59040000000000004</c:v>
                </c:pt>
                <c:pt idx="19">
                  <c:v>0.61560000000000004</c:v>
                </c:pt>
                <c:pt idx="20">
                  <c:v>0.64000000000000012</c:v>
                </c:pt>
                <c:pt idx="21">
                  <c:v>0.66360000000000008</c:v>
                </c:pt>
                <c:pt idx="22">
                  <c:v>0.68640000000000012</c:v>
                </c:pt>
                <c:pt idx="23">
                  <c:v>0.70840000000000014</c:v>
                </c:pt>
                <c:pt idx="24">
                  <c:v>0.72960000000000014</c:v>
                </c:pt>
                <c:pt idx="25">
                  <c:v>0.75000000000000022</c:v>
                </c:pt>
                <c:pt idx="26">
                  <c:v>0.76960000000000017</c:v>
                </c:pt>
                <c:pt idx="27">
                  <c:v>0.78840000000000021</c:v>
                </c:pt>
                <c:pt idx="28">
                  <c:v>0.80640000000000023</c:v>
                </c:pt>
                <c:pt idx="29">
                  <c:v>0.82360000000000022</c:v>
                </c:pt>
                <c:pt idx="30">
                  <c:v>0.84000000000000019</c:v>
                </c:pt>
                <c:pt idx="31">
                  <c:v>0.85560000000000025</c:v>
                </c:pt>
                <c:pt idx="32">
                  <c:v>0.87040000000000028</c:v>
                </c:pt>
                <c:pt idx="33">
                  <c:v>0.8844000000000003</c:v>
                </c:pt>
                <c:pt idx="34">
                  <c:v>0.89760000000000029</c:v>
                </c:pt>
                <c:pt idx="35">
                  <c:v>0.91000000000000025</c:v>
                </c:pt>
                <c:pt idx="36">
                  <c:v>0.9216000000000002</c:v>
                </c:pt>
                <c:pt idx="37">
                  <c:v>0.93240000000000023</c:v>
                </c:pt>
                <c:pt idx="38">
                  <c:v>0.94240000000000024</c:v>
                </c:pt>
                <c:pt idx="39">
                  <c:v>0.95160000000000022</c:v>
                </c:pt>
                <c:pt idx="40">
                  <c:v>0.96000000000000019</c:v>
                </c:pt>
                <c:pt idx="41">
                  <c:v>0.96760000000000024</c:v>
                </c:pt>
                <c:pt idx="42">
                  <c:v>0.97440000000000027</c:v>
                </c:pt>
                <c:pt idx="43">
                  <c:v>0.98040000000000027</c:v>
                </c:pt>
                <c:pt idx="44">
                  <c:v>0.98560000000000025</c:v>
                </c:pt>
                <c:pt idx="45">
                  <c:v>0.99000000000000021</c:v>
                </c:pt>
                <c:pt idx="46">
                  <c:v>0.99360000000000015</c:v>
                </c:pt>
                <c:pt idx="47">
                  <c:v>0.99640000000000017</c:v>
                </c:pt>
                <c:pt idx="48">
                  <c:v>0.99840000000000018</c:v>
                </c:pt>
                <c:pt idx="49">
                  <c:v>0.99960000000000016</c:v>
                </c:pt>
                <c:pt idx="50">
                  <c:v>1</c:v>
                </c:pt>
                <c:pt idx="51">
                  <c:v>0.99959999999999993</c:v>
                </c:pt>
                <c:pt idx="52">
                  <c:v>0.99839999999999995</c:v>
                </c:pt>
                <c:pt idx="53">
                  <c:v>0.99639999999999995</c:v>
                </c:pt>
                <c:pt idx="54">
                  <c:v>0.99359999999999993</c:v>
                </c:pt>
                <c:pt idx="55">
                  <c:v>0.98999999999999988</c:v>
                </c:pt>
                <c:pt idx="56">
                  <c:v>0.98559999999999992</c:v>
                </c:pt>
                <c:pt idx="57">
                  <c:v>0.98039999999999983</c:v>
                </c:pt>
                <c:pt idx="58">
                  <c:v>0.97439999999999982</c:v>
                </c:pt>
                <c:pt idx="59">
                  <c:v>0.96759999999999979</c:v>
                </c:pt>
                <c:pt idx="60">
                  <c:v>0.95999999999999974</c:v>
                </c:pt>
                <c:pt idx="61">
                  <c:v>0.95159999999999967</c:v>
                </c:pt>
                <c:pt idx="62">
                  <c:v>0.94239999999999968</c:v>
                </c:pt>
                <c:pt idx="63">
                  <c:v>0.93239999999999967</c:v>
                </c:pt>
                <c:pt idx="64">
                  <c:v>0.92159999999999964</c:v>
                </c:pt>
                <c:pt idx="65">
                  <c:v>0.90999999999999959</c:v>
                </c:pt>
                <c:pt idx="66">
                  <c:v>0.89759999999999951</c:v>
                </c:pt>
                <c:pt idx="67">
                  <c:v>0.88439999999999952</c:v>
                </c:pt>
                <c:pt idx="68">
                  <c:v>0.8703999999999994</c:v>
                </c:pt>
                <c:pt idx="69">
                  <c:v>0.85559999999999936</c:v>
                </c:pt>
                <c:pt idx="70">
                  <c:v>0.83999999999999941</c:v>
                </c:pt>
                <c:pt idx="71">
                  <c:v>0.82359999999999933</c:v>
                </c:pt>
                <c:pt idx="72">
                  <c:v>0.80639999999999923</c:v>
                </c:pt>
                <c:pt idx="73">
                  <c:v>0.78839999999999921</c:v>
                </c:pt>
                <c:pt idx="74">
                  <c:v>0.76959999999999917</c:v>
                </c:pt>
                <c:pt idx="75">
                  <c:v>0.74999999999999911</c:v>
                </c:pt>
                <c:pt idx="76">
                  <c:v>0.72959999999999903</c:v>
                </c:pt>
                <c:pt idx="77">
                  <c:v>0.70839999999999903</c:v>
                </c:pt>
                <c:pt idx="78">
                  <c:v>0.6863999999999989</c:v>
                </c:pt>
                <c:pt idx="79">
                  <c:v>0.66359999999999886</c:v>
                </c:pt>
                <c:pt idx="80">
                  <c:v>0.63999999999999879</c:v>
                </c:pt>
                <c:pt idx="81">
                  <c:v>0.61559999999999881</c:v>
                </c:pt>
                <c:pt idx="82">
                  <c:v>0.5903999999999987</c:v>
                </c:pt>
                <c:pt idx="83">
                  <c:v>0.56439999999999868</c:v>
                </c:pt>
                <c:pt idx="84">
                  <c:v>0.53759999999999852</c:v>
                </c:pt>
                <c:pt idx="85">
                  <c:v>0.50999999999999845</c:v>
                </c:pt>
                <c:pt idx="86">
                  <c:v>0.48159999999999842</c:v>
                </c:pt>
                <c:pt idx="87">
                  <c:v>0.45239999999999836</c:v>
                </c:pt>
                <c:pt idx="88">
                  <c:v>0.42239999999999828</c:v>
                </c:pt>
                <c:pt idx="89">
                  <c:v>0.39159999999999823</c:v>
                </c:pt>
                <c:pt idx="90">
                  <c:v>0.35999999999999815</c:v>
                </c:pt>
                <c:pt idx="91">
                  <c:v>0.32759999999999806</c:v>
                </c:pt>
                <c:pt idx="92">
                  <c:v>0.294399999999998</c:v>
                </c:pt>
                <c:pt idx="93">
                  <c:v>0.26039999999999791</c:v>
                </c:pt>
                <c:pt idx="94">
                  <c:v>0.22559999999999783</c:v>
                </c:pt>
                <c:pt idx="95">
                  <c:v>0.18999999999999775</c:v>
                </c:pt>
                <c:pt idx="96">
                  <c:v>0.15359999999999768</c:v>
                </c:pt>
                <c:pt idx="97">
                  <c:v>0.11639999999999759</c:v>
                </c:pt>
                <c:pt idx="98">
                  <c:v>7.8399999999997513E-2</c:v>
                </c:pt>
                <c:pt idx="99">
                  <c:v>3.9599999999997422E-2</c:v>
                </c:pt>
                <c:pt idx="100">
                  <c:v>-2.6645352591003773E-15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8-4EB4-8414-2D6C00CAF7C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ex7자동화!$I$7:$I$1008</c:f>
              <c:numCache>
                <c:formatCode>General</c:formatCode>
                <c:ptCount val="1002"/>
                <c:pt idx="0">
                  <c:v>0.1</c:v>
                </c:pt>
                <c:pt idx="1">
                  <c:v>0.1</c:v>
                </c:pt>
                <c:pt idx="2">
                  <c:v>0.36000000000000004</c:v>
                </c:pt>
                <c:pt idx="3">
                  <c:v>0.36000000000000004</c:v>
                </c:pt>
                <c:pt idx="4">
                  <c:v>0.92159999999999997</c:v>
                </c:pt>
                <c:pt idx="5">
                  <c:v>0.92159999999999997</c:v>
                </c:pt>
                <c:pt idx="6">
                  <c:v>0.28901376000000006</c:v>
                </c:pt>
                <c:pt idx="7">
                  <c:v>0.28901376000000006</c:v>
                </c:pt>
                <c:pt idx="8">
                  <c:v>0.8219392261226498</c:v>
                </c:pt>
                <c:pt idx="9">
                  <c:v>0.8219392261226498</c:v>
                </c:pt>
                <c:pt idx="10">
                  <c:v>0.58542053873419742</c:v>
                </c:pt>
                <c:pt idx="11">
                  <c:v>0.58542053873419742</c:v>
                </c:pt>
                <c:pt idx="12">
                  <c:v>0.97081332624943795</c:v>
                </c:pt>
                <c:pt idx="13">
                  <c:v>0.97081332624943795</c:v>
                </c:pt>
                <c:pt idx="14">
                  <c:v>0.11333924730376121</c:v>
                </c:pt>
                <c:pt idx="15">
                  <c:v>0.11333924730376121</c:v>
                </c:pt>
                <c:pt idx="16">
                  <c:v>0.40197384929751229</c:v>
                </c:pt>
                <c:pt idx="17">
                  <c:v>0.40197384929751229</c:v>
                </c:pt>
                <c:pt idx="18">
                  <c:v>0.96156349511381278</c:v>
                </c:pt>
                <c:pt idx="19">
                  <c:v>0.96156349511381278</c:v>
                </c:pt>
                <c:pt idx="20">
                  <c:v>0.14783655991328529</c:v>
                </c:pt>
                <c:pt idx="21">
                  <c:v>0.14783655991328529</c:v>
                </c:pt>
                <c:pt idx="22">
                  <c:v>0.50392364586516358</c:v>
                </c:pt>
                <c:pt idx="23">
                  <c:v>0.50392364586516358</c:v>
                </c:pt>
                <c:pt idx="24">
                  <c:v>0.99993842001249911</c:v>
                </c:pt>
                <c:pt idx="25">
                  <c:v>0.99993842001249911</c:v>
                </c:pt>
                <c:pt idx="26">
                  <c:v>2.4630478162412819E-4</c:v>
                </c:pt>
                <c:pt idx="27">
                  <c:v>2.4630478162412819E-4</c:v>
                </c:pt>
                <c:pt idx="28">
                  <c:v>9.8497646231470912E-4</c:v>
                </c:pt>
                <c:pt idx="29">
                  <c:v>9.8497646231470912E-4</c:v>
                </c:pt>
                <c:pt idx="30">
                  <c:v>3.9360251347335803E-3</c:v>
                </c:pt>
                <c:pt idx="31">
                  <c:v>3.9360251347335803E-3</c:v>
                </c:pt>
                <c:pt idx="32">
                  <c:v>1.5682131363489303E-2</c:v>
                </c:pt>
                <c:pt idx="33">
                  <c:v>1.5682131363489303E-2</c:v>
                </c:pt>
                <c:pt idx="34">
                  <c:v>6.1744808477550275E-2</c:v>
                </c:pt>
                <c:pt idx="35">
                  <c:v>6.1744808477550275E-2</c:v>
                </c:pt>
                <c:pt idx="36">
                  <c:v>0.23172954841448365</c:v>
                </c:pt>
                <c:pt idx="37">
                  <c:v>0.23172954841448365</c:v>
                </c:pt>
                <c:pt idx="38">
                  <c:v>0.71212385922441246</c:v>
                </c:pt>
                <c:pt idx="39">
                  <c:v>0.71212385922441246</c:v>
                </c:pt>
                <c:pt idx="40">
                  <c:v>0.82001387339096654</c:v>
                </c:pt>
                <c:pt idx="41">
                  <c:v>0.82001387339096654</c:v>
                </c:pt>
                <c:pt idx="42">
                  <c:v>0.59036448334924174</c:v>
                </c:pt>
                <c:pt idx="43">
                  <c:v>0.59036448334924174</c:v>
                </c:pt>
                <c:pt idx="44">
                  <c:v>0.96733704059609849</c:v>
                </c:pt>
                <c:pt idx="45">
                  <c:v>0.96733704059609849</c:v>
                </c:pt>
                <c:pt idx="46">
                  <c:v>0.12638436194752239</c:v>
                </c:pt>
                <c:pt idx="47">
                  <c:v>0.12638436194752239</c:v>
                </c:pt>
                <c:pt idx="48">
                  <c:v>0.44164542001056017</c:v>
                </c:pt>
                <c:pt idx="49">
                  <c:v>0.44164542001056017</c:v>
                </c:pt>
                <c:pt idx="50">
                  <c:v>0.98637897197702429</c:v>
                </c:pt>
                <c:pt idx="51">
                  <c:v>0.98637897197702429</c:v>
                </c:pt>
                <c:pt idx="52">
                  <c:v>5.3741982474292092E-2</c:v>
                </c:pt>
                <c:pt idx="53">
                  <c:v>5.3741982474292092E-2</c:v>
                </c:pt>
                <c:pt idx="54">
                  <c:v>0.20341512717609991</c:v>
                </c:pt>
                <c:pt idx="55">
                  <c:v>0.20341512717609991</c:v>
                </c:pt>
                <c:pt idx="56">
                  <c:v>0.64814965284812409</c:v>
                </c:pt>
                <c:pt idx="57">
                  <c:v>0.64814965284812409</c:v>
                </c:pt>
                <c:pt idx="58">
                  <c:v>0.91220672144392123</c:v>
                </c:pt>
                <c:pt idx="59">
                  <c:v>0.91220672144392123</c:v>
                </c:pt>
                <c:pt idx="60">
                  <c:v>0.3203424751858141</c:v>
                </c:pt>
                <c:pt idx="61">
                  <c:v>0.3203424751858141</c:v>
                </c:pt>
                <c:pt idx="62">
                  <c:v>0.87089269511056067</c:v>
                </c:pt>
                <c:pt idx="63">
                  <c:v>0.87089269511056067</c:v>
                </c:pt>
                <c:pt idx="64">
                  <c:v>0.44975443485449873</c:v>
                </c:pt>
                <c:pt idx="65">
                  <c:v>0.44975443485449873</c:v>
                </c:pt>
                <c:pt idx="66">
                  <c:v>0.98990153273283676</c:v>
                </c:pt>
                <c:pt idx="67">
                  <c:v>0.98990153273283676</c:v>
                </c:pt>
                <c:pt idx="68">
                  <c:v>3.9985952904069075E-2</c:v>
                </c:pt>
                <c:pt idx="69">
                  <c:v>3.9985952904069075E-2</c:v>
                </c:pt>
                <c:pt idx="70">
                  <c:v>0.15354830589769058</c:v>
                </c:pt>
                <c:pt idx="71">
                  <c:v>0.15354830589769058</c:v>
                </c:pt>
                <c:pt idx="72">
                  <c:v>0.51988489461455933</c:v>
                </c:pt>
                <c:pt idx="73">
                  <c:v>0.51988489461455933</c:v>
                </c:pt>
                <c:pt idx="74">
                  <c:v>0.99841836386467153</c:v>
                </c:pt>
                <c:pt idx="75">
                  <c:v>0.99841836386467153</c:v>
                </c:pt>
                <c:pt idx="76">
                  <c:v>6.3165382498555651E-3</c:v>
                </c:pt>
                <c:pt idx="77">
                  <c:v>6.3165382498555651E-3</c:v>
                </c:pt>
                <c:pt idx="78">
                  <c:v>2.5106558377574705E-2</c:v>
                </c:pt>
                <c:pt idx="79">
                  <c:v>2.5106558377574705E-2</c:v>
                </c:pt>
                <c:pt idx="80">
                  <c:v>9.7904876416032557E-2</c:v>
                </c:pt>
                <c:pt idx="81">
                  <c:v>9.7904876416032557E-2</c:v>
                </c:pt>
                <c:pt idx="82">
                  <c:v>0.35327804635997584</c:v>
                </c:pt>
                <c:pt idx="83">
                  <c:v>0.35327804635997584</c:v>
                </c:pt>
                <c:pt idx="84">
                  <c:v>0.91389067328021845</c:v>
                </c:pt>
                <c:pt idx="85">
                  <c:v>0.91389067328021845</c:v>
                </c:pt>
                <c:pt idx="86">
                  <c:v>0.3147780422865899</c:v>
                </c:pt>
                <c:pt idx="87">
                  <c:v>0.3147780422865899</c:v>
                </c:pt>
                <c:pt idx="88">
                  <c:v>0.86277130552324688</c:v>
                </c:pt>
                <c:pt idx="89">
                  <c:v>0.86277130552324688</c:v>
                </c:pt>
                <c:pt idx="90">
                  <c:v>0.47358791955583629</c:v>
                </c:pt>
                <c:pt idx="91">
                  <c:v>0.47358791955583629</c:v>
                </c:pt>
                <c:pt idx="92">
                  <c:v>0.99720960802644398</c:v>
                </c:pt>
                <c:pt idx="93">
                  <c:v>0.99720960802644398</c:v>
                </c:pt>
                <c:pt idx="94">
                  <c:v>1.1130422744759724E-2</c:v>
                </c:pt>
                <c:pt idx="95">
                  <c:v>1.1130422744759724E-2</c:v>
                </c:pt>
                <c:pt idx="96">
                  <c:v>4.4026145737130637E-2</c:v>
                </c:pt>
                <c:pt idx="97">
                  <c:v>4.4026145737130637E-2</c:v>
                </c:pt>
                <c:pt idx="98">
                  <c:v>0.16835137691465429</c:v>
                </c:pt>
                <c:pt idx="99">
                  <c:v>0.16835137691465429</c:v>
                </c:pt>
                <c:pt idx="100">
                  <c:v>0.56003676322237717</c:v>
                </c:pt>
                <c:pt idx="101">
                  <c:v>0.56003676322237717</c:v>
                </c:pt>
                <c:pt idx="102">
                  <c:v>0.98558234824712088</c:v>
                </c:pt>
                <c:pt idx="103">
                  <c:v>0.98558234824712088</c:v>
                </c:pt>
                <c:pt idx="104">
                  <c:v>5.6839132283247301E-2</c:v>
                </c:pt>
                <c:pt idx="105">
                  <c:v>5.6839132283247301E-2</c:v>
                </c:pt>
                <c:pt idx="106">
                  <c:v>0.21443378129813925</c:v>
                </c:pt>
                <c:pt idx="107">
                  <c:v>0.21443378129813925</c:v>
                </c:pt>
                <c:pt idx="108">
                  <c:v>0.67380773894528412</c:v>
                </c:pt>
                <c:pt idx="109">
                  <c:v>0.67380773894528412</c:v>
                </c:pt>
                <c:pt idx="110">
                  <c:v>0.8791634795309119</c:v>
                </c:pt>
                <c:pt idx="111">
                  <c:v>0.8791634795309119</c:v>
                </c:pt>
                <c:pt idx="112">
                  <c:v>0.42494022316004704</c:v>
                </c:pt>
                <c:pt idx="113">
                  <c:v>0.42494022316004704</c:v>
                </c:pt>
                <c:pt idx="114">
                  <c:v>0.97746411960294599</c:v>
                </c:pt>
                <c:pt idx="115">
                  <c:v>0.97746411960294599</c:v>
                </c:pt>
                <c:pt idx="116">
                  <c:v>8.8112057967134741E-2</c:v>
                </c:pt>
                <c:pt idx="117">
                  <c:v>8.8112057967134741E-2</c:v>
                </c:pt>
                <c:pt idx="118">
                  <c:v>0.32139329283172413</c:v>
                </c:pt>
                <c:pt idx="119">
                  <c:v>0.32139329283172413</c:v>
                </c:pt>
                <c:pt idx="120">
                  <c:v>0.872398576618023</c:v>
                </c:pt>
                <c:pt idx="121">
                  <c:v>0.872398576618023</c:v>
                </c:pt>
                <c:pt idx="122">
                  <c:v>0.44527720053148179</c:v>
                </c:pt>
                <c:pt idx="123">
                  <c:v>0.44527720053148179</c:v>
                </c:pt>
                <c:pt idx="124">
                  <c:v>0.98802166087331333</c:v>
                </c:pt>
                <c:pt idx="125">
                  <c:v>0.98802166087331333</c:v>
                </c:pt>
                <c:pt idx="126">
                  <c:v>4.7339434073811013E-2</c:v>
                </c:pt>
                <c:pt idx="127">
                  <c:v>4.7339434073811013E-2</c:v>
                </c:pt>
                <c:pt idx="128">
                  <c:v>0.18039364822152926</c:v>
                </c:pt>
                <c:pt idx="129">
                  <c:v>0.18039364822152926</c:v>
                </c:pt>
                <c:pt idx="130">
                  <c:v>0.59140711961142567</c:v>
                </c:pt>
                <c:pt idx="131">
                  <c:v>0.59140711961142567</c:v>
                </c:pt>
                <c:pt idx="132">
                  <c:v>0.96657895393737003</c:v>
                </c:pt>
                <c:pt idx="133">
                  <c:v>0.96657895393737003</c:v>
                </c:pt>
                <c:pt idx="134">
                  <c:v>0.12921631897083813</c:v>
                </c:pt>
                <c:pt idx="135">
                  <c:v>0.12921631897083813</c:v>
                </c:pt>
                <c:pt idx="136">
                  <c:v>0.45007784752985897</c:v>
                </c:pt>
                <c:pt idx="137">
                  <c:v>0.45007784752985897</c:v>
                </c:pt>
                <c:pt idx="138">
                  <c:v>0.99003111477099182</c:v>
                </c:pt>
                <c:pt idx="139">
                  <c:v>0.99003111477099182</c:v>
                </c:pt>
                <c:pt idx="140">
                  <c:v>3.9478026225196187E-2</c:v>
                </c:pt>
                <c:pt idx="141">
                  <c:v>3.9478026225196187E-2</c:v>
                </c:pt>
                <c:pt idx="142">
                  <c:v>0.15167804668223564</c:v>
                </c:pt>
                <c:pt idx="143">
                  <c:v>0.15167804668223564</c:v>
                </c:pt>
                <c:pt idx="144">
                  <c:v>0.51468726734758874</c:v>
                </c:pt>
                <c:pt idx="145">
                  <c:v>0.51468726734758874</c:v>
                </c:pt>
                <c:pt idx="146">
                  <c:v>0.99913713671144178</c:v>
                </c:pt>
                <c:pt idx="147">
                  <c:v>0.99913713671144178</c:v>
                </c:pt>
                <c:pt idx="148">
                  <c:v>3.4484750220139314E-3</c:v>
                </c:pt>
                <c:pt idx="149">
                  <c:v>3.4484750220139314E-3</c:v>
                </c:pt>
                <c:pt idx="150">
                  <c:v>1.3746332168145909E-2</c:v>
                </c:pt>
                <c:pt idx="151">
                  <c:v>1.3746332168145909E-2</c:v>
                </c:pt>
                <c:pt idx="152">
                  <c:v>5.4229482080275622E-2</c:v>
                </c:pt>
                <c:pt idx="153">
                  <c:v>5.4229482080275622E-2</c:v>
                </c:pt>
                <c:pt idx="154">
                  <c:v>0.20515458141432275</c:v>
                </c:pt>
                <c:pt idx="155">
                  <c:v>0.20515458141432275</c:v>
                </c:pt>
                <c:pt idx="156">
                  <c:v>0.65226471655614704</c:v>
                </c:pt>
                <c:pt idx="157">
                  <c:v>0.65226471655614704</c:v>
                </c:pt>
                <c:pt idx="158">
                  <c:v>0.90726182436830483</c:v>
                </c:pt>
                <c:pt idx="159">
                  <c:v>0.90726182436830483</c:v>
                </c:pt>
                <c:pt idx="160">
                  <c:v>0.33655122564880013</c:v>
                </c:pt>
                <c:pt idx="161">
                  <c:v>0.33655122564880013</c:v>
                </c:pt>
                <c:pt idx="162">
                  <c:v>0.89313799265236216</c:v>
                </c:pt>
                <c:pt idx="163">
                  <c:v>0.89313799265236216</c:v>
                </c:pt>
                <c:pt idx="164">
                  <c:v>0.38177007493308496</c:v>
                </c:pt>
                <c:pt idx="165">
                  <c:v>0.38177007493308496</c:v>
                </c:pt>
                <c:pt idx="166">
                  <c:v>0.94408673927468656</c:v>
                </c:pt>
                <c:pt idx="167">
                  <c:v>0.94408673927468656</c:v>
                </c:pt>
                <c:pt idx="168">
                  <c:v>0.21114787200150625</c:v>
                </c:pt>
                <c:pt idx="169">
                  <c:v>0.21114787200150625</c:v>
                </c:pt>
                <c:pt idx="170">
                  <c:v>0.66625779260296714</c:v>
                </c:pt>
                <c:pt idx="171">
                  <c:v>0.66625779260296714</c:v>
                </c:pt>
                <c:pt idx="172">
                  <c:v>0.88943338559515506</c:v>
                </c:pt>
                <c:pt idx="173">
                  <c:v>0.88943338559515506</c:v>
                </c:pt>
                <c:pt idx="174">
                  <c:v>0.39336655273558113</c:v>
                </c:pt>
                <c:pt idx="175">
                  <c:v>0.39336655273558113</c:v>
                </c:pt>
                <c:pt idx="176">
                  <c:v>0.95451723169802549</c:v>
                </c:pt>
                <c:pt idx="177">
                  <c:v>0.95451723169802549</c:v>
                </c:pt>
                <c:pt idx="178">
                  <c:v>0.17365634435825364</c:v>
                </c:pt>
                <c:pt idx="179">
                  <c:v>0.17365634435825364</c:v>
                </c:pt>
                <c:pt idx="180">
                  <c:v>0.57399927368952508</c:v>
                </c:pt>
                <c:pt idx="181">
                  <c:v>0.57399927368952508</c:v>
                </c:pt>
                <c:pt idx="182">
                  <c:v>0.97809642997369106</c:v>
                </c:pt>
                <c:pt idx="183">
                  <c:v>0.97809642997369106</c:v>
                </c:pt>
                <c:pt idx="184">
                  <c:v>8.5695214585646079E-2</c:v>
                </c:pt>
                <c:pt idx="185">
                  <c:v>8.5695214585646079E-2</c:v>
                </c:pt>
                <c:pt idx="186">
                  <c:v>0.31340617913106461</c:v>
                </c:pt>
                <c:pt idx="187">
                  <c:v>0.31340617913106461</c:v>
                </c:pt>
                <c:pt idx="188">
                  <c:v>0.86073098405412662</c:v>
                </c:pt>
                <c:pt idx="189">
                  <c:v>0.86073098405412662</c:v>
                </c:pt>
                <c:pt idx="190">
                  <c:v>0.47949262857336578</c:v>
                </c:pt>
                <c:pt idx="191">
                  <c:v>0.47949262857336578</c:v>
                </c:pt>
                <c:pt idx="192">
                  <c:v>0.99831779086868011</c:v>
                </c:pt>
                <c:pt idx="193">
                  <c:v>0.99831779086868011</c:v>
                </c:pt>
                <c:pt idx="194">
                  <c:v>6.7175172150335735E-3</c:v>
                </c:pt>
                <c:pt idx="195">
                  <c:v>6.7175172150335735E-3</c:v>
                </c:pt>
                <c:pt idx="196">
                  <c:v>2.6689568709997204E-2</c:v>
                </c:pt>
                <c:pt idx="197">
                  <c:v>2.6689568709997204E-2</c:v>
                </c:pt>
                <c:pt idx="198">
                  <c:v>0.10390894252828617</c:v>
                </c:pt>
                <c:pt idx="199">
                  <c:v>0.10390894252828617</c:v>
                </c:pt>
                <c:pt idx="200">
                  <c:v>0.37244749676375793</c:v>
                </c:pt>
                <c:pt idx="201">
                  <c:v>0.37244749676375793</c:v>
                </c:pt>
                <c:pt idx="202">
                  <c:v>0.93492143567267394</c:v>
                </c:pt>
                <c:pt idx="203">
                  <c:v>0.93492143567267394</c:v>
                </c:pt>
                <c:pt idx="204">
                  <c:v>0.24337337916968058</c:v>
                </c:pt>
                <c:pt idx="205">
                  <c:v>0.24337337916968058</c:v>
                </c:pt>
                <c:pt idx="206">
                  <c:v>0.73657110992484587</c:v>
                </c:pt>
                <c:pt idx="207">
                  <c:v>0.73657110992484587</c:v>
                </c:pt>
                <c:pt idx="208">
                  <c:v>0.77613643979570601</c:v>
                </c:pt>
                <c:pt idx="209">
                  <c:v>0.77613643979570601</c:v>
                </c:pt>
                <c:pt idx="210">
                  <c:v>0.69499466646780972</c:v>
                </c:pt>
                <c:pt idx="211">
                  <c:v>0.69499466646780972</c:v>
                </c:pt>
                <c:pt idx="212">
                  <c:v>0.84790832019643059</c:v>
                </c:pt>
                <c:pt idx="213">
                  <c:v>0.84790832019643059</c:v>
                </c:pt>
                <c:pt idx="214">
                  <c:v>0.51583920295239172</c:v>
                </c:pt>
                <c:pt idx="215">
                  <c:v>0.51583920295239172</c:v>
                </c:pt>
                <c:pt idx="216">
                  <c:v>0.99899647859933183</c:v>
                </c:pt>
                <c:pt idx="217">
                  <c:v>0.99899647859933183</c:v>
                </c:pt>
                <c:pt idx="218">
                  <c:v>4.0100573818662938E-3</c:v>
                </c:pt>
                <c:pt idx="219">
                  <c:v>4.0100573818662938E-3</c:v>
                </c:pt>
                <c:pt idx="220">
                  <c:v>1.5975907286641732E-2</c:v>
                </c:pt>
                <c:pt idx="221">
                  <c:v>1.5975907286641732E-2</c:v>
                </c:pt>
                <c:pt idx="222">
                  <c:v>6.2882710692041432E-2</c:v>
                </c:pt>
                <c:pt idx="223">
                  <c:v>6.2882710692041432E-2</c:v>
                </c:pt>
                <c:pt idx="224">
                  <c:v>0.2357139015522498</c:v>
                </c:pt>
                <c:pt idx="225">
                  <c:v>0.2357139015522498</c:v>
                </c:pt>
                <c:pt idx="226">
                  <c:v>0.72061143266906436</c:v>
                </c:pt>
                <c:pt idx="227">
                  <c:v>0.72061143266906436</c:v>
                </c:pt>
                <c:pt idx="228">
                  <c:v>0.80532238310281157</c:v>
                </c:pt>
                <c:pt idx="229">
                  <c:v>0.80532238310281157</c:v>
                </c:pt>
                <c:pt idx="230">
                  <c:v>0.62711296950567985</c:v>
                </c:pt>
                <c:pt idx="231">
                  <c:v>0.62711296950567985</c:v>
                </c:pt>
                <c:pt idx="232">
                  <c:v>0.93536917193379243</c:v>
                </c:pt>
                <c:pt idx="233">
                  <c:v>0.93536917193379243</c:v>
                </c:pt>
                <c:pt idx="234">
                  <c:v>0.24181473651873553</c:v>
                </c:pt>
                <c:pt idx="235">
                  <c:v>0.24181473651873553</c:v>
                </c:pt>
                <c:pt idx="236">
                  <c:v>0.73336147888444014</c:v>
                </c:pt>
                <c:pt idx="237">
                  <c:v>0.73336147888444014</c:v>
                </c:pt>
                <c:pt idx="238">
                  <c:v>0.78216968069146797</c:v>
                </c:pt>
                <c:pt idx="239">
                  <c:v>0.78216968069146797</c:v>
                </c:pt>
                <c:pt idx="240">
                  <c:v>0.68152108519389998</c:v>
                </c:pt>
                <c:pt idx="241">
                  <c:v>0.68152108519389998</c:v>
                </c:pt>
                <c:pt idx="242">
                  <c:v>0.86820038252011567</c:v>
                </c:pt>
                <c:pt idx="243">
                  <c:v>0.86820038252011567</c:v>
                </c:pt>
                <c:pt idx="244">
                  <c:v>0.45771391324816202</c:v>
                </c:pt>
                <c:pt idx="245">
                  <c:v>0.45771391324816202</c:v>
                </c:pt>
                <c:pt idx="246">
                  <c:v>0.99284754746886417</c:v>
                </c:pt>
                <c:pt idx="247">
                  <c:v>0.99284754746886417</c:v>
                </c:pt>
                <c:pt idx="248">
                  <c:v>2.8405179815702727E-2</c:v>
                </c:pt>
                <c:pt idx="249">
                  <c:v>2.8405179815702727E-2</c:v>
                </c:pt>
                <c:pt idx="250">
                  <c:v>0.1103933023013613</c:v>
                </c:pt>
                <c:pt idx="251">
                  <c:v>0.1103933023013613</c:v>
                </c:pt>
                <c:pt idx="252">
                  <c:v>0.39282648443344625</c:v>
                </c:pt>
                <c:pt idx="253">
                  <c:v>0.39282648443344625</c:v>
                </c:pt>
                <c:pt idx="254">
                  <c:v>0.95405535024442267</c:v>
                </c:pt>
                <c:pt idx="255">
                  <c:v>0.95405535024442267</c:v>
                </c:pt>
                <c:pt idx="256">
                  <c:v>0.17533495565765861</c:v>
                </c:pt>
                <c:pt idx="257">
                  <c:v>0.17533495565765861</c:v>
                </c:pt>
                <c:pt idx="258">
                  <c:v>0.57837043592874193</c:v>
                </c:pt>
                <c:pt idx="259">
                  <c:v>0.57837043592874193</c:v>
                </c:pt>
                <c:pt idx="260">
                  <c:v>0.9754322990893558</c:v>
                </c:pt>
                <c:pt idx="261">
                  <c:v>0.9754322990893558</c:v>
                </c:pt>
                <c:pt idx="262">
                  <c:v>9.5856515930437314E-2</c:v>
                </c:pt>
                <c:pt idx="263">
                  <c:v>9.5856515930437314E-2</c:v>
                </c:pt>
                <c:pt idx="264">
                  <c:v>0.34667217713646054</c:v>
                </c:pt>
                <c:pt idx="265">
                  <c:v>0.34667217713646054</c:v>
                </c:pt>
                <c:pt idx="266">
                  <c:v>0.90596231494370838</c:v>
                </c:pt>
                <c:pt idx="267">
                  <c:v>0.90596231494370838</c:v>
                </c:pt>
                <c:pt idx="268">
                  <c:v>0.3407783953821813</c:v>
                </c:pt>
                <c:pt idx="269">
                  <c:v>0.3407783953821813</c:v>
                </c:pt>
                <c:pt idx="270">
                  <c:v>0.89859392249170811</c:v>
                </c:pt>
                <c:pt idx="271">
                  <c:v>0.89859392249170811</c:v>
                </c:pt>
                <c:pt idx="272">
                  <c:v>0.36449153981069676</c:v>
                </c:pt>
                <c:pt idx="273">
                  <c:v>0.36449153981069676</c:v>
                </c:pt>
                <c:pt idx="274">
                  <c:v>0.92654982886849613</c:v>
                </c:pt>
                <c:pt idx="275">
                  <c:v>0.92654982886849613</c:v>
                </c:pt>
                <c:pt idx="276">
                  <c:v>0.27222097396902667</c:v>
                </c:pt>
                <c:pt idx="277">
                  <c:v>0.27222097396902667</c:v>
                </c:pt>
                <c:pt idx="278">
                  <c:v>0.79246686120152465</c:v>
                </c:pt>
                <c:pt idx="279">
                  <c:v>0.79246686120152465</c:v>
                </c:pt>
                <c:pt idx="280">
                  <c:v>0.6578525403957125</c:v>
                </c:pt>
                <c:pt idx="281">
                  <c:v>0.6578525403957125</c:v>
                </c:pt>
                <c:pt idx="282">
                  <c:v>0.90033030196247976</c:v>
                </c:pt>
                <c:pt idx="283">
                  <c:v>0.90033030196247976</c:v>
                </c:pt>
                <c:pt idx="284">
                  <c:v>0.3589425973225191</c:v>
                </c:pt>
                <c:pt idx="285">
                  <c:v>0.3589425973225191</c:v>
                </c:pt>
                <c:pt idx="286">
                  <c:v>0.92041123659953206</c:v>
                </c:pt>
                <c:pt idx="287">
                  <c:v>0.92041123659953206</c:v>
                </c:pt>
                <c:pt idx="288">
                  <c:v>0.2930175685634091</c:v>
                </c:pt>
                <c:pt idx="289">
                  <c:v>0.2930175685634091</c:v>
                </c:pt>
                <c:pt idx="290">
                  <c:v>0.82863309230638782</c:v>
                </c:pt>
                <c:pt idx="291">
                  <c:v>0.82863309230638782</c:v>
                </c:pt>
                <c:pt idx="292">
                  <c:v>0.56800116256456468</c:v>
                </c:pt>
                <c:pt idx="293">
                  <c:v>0.56800116256456468</c:v>
                </c:pt>
                <c:pt idx="294">
                  <c:v>0.98150336755947054</c:v>
                </c:pt>
                <c:pt idx="295">
                  <c:v>0.98150336755947054</c:v>
                </c:pt>
                <c:pt idx="296">
                  <c:v>7.2618028115557648E-2</c:v>
                </c:pt>
                <c:pt idx="297">
                  <c:v>7.2618028115557648E-2</c:v>
                </c:pt>
                <c:pt idx="298">
                  <c:v>0.26937860043266293</c:v>
                </c:pt>
                <c:pt idx="299">
                  <c:v>0.26937860043266293</c:v>
                </c:pt>
                <c:pt idx="300">
                  <c:v>0.78725508024641067</c:v>
                </c:pt>
                <c:pt idx="301">
                  <c:v>0.78725508024641067</c:v>
                </c:pt>
                <c:pt idx="302">
                  <c:v>0.66993807549051265</c:v>
                </c:pt>
                <c:pt idx="303">
                  <c:v>0.66993807549051265</c:v>
                </c:pt>
                <c:pt idx="304">
                  <c:v>0.88448420199432332</c:v>
                </c:pt>
                <c:pt idx="305">
                  <c:v>0.88448420199432332</c:v>
                </c:pt>
                <c:pt idx="306">
                  <c:v>0.40868759366715357</c:v>
                </c:pt>
                <c:pt idx="307">
                  <c:v>0.40868759366715357</c:v>
                </c:pt>
                <c:pt idx="308">
                  <c:v>0.96664817779882062</c:v>
                </c:pt>
                <c:pt idx="309">
                  <c:v>0.96664817779882062</c:v>
                </c:pt>
                <c:pt idx="310">
                  <c:v>0.1289579126281612</c:v>
                </c:pt>
                <c:pt idx="311">
                  <c:v>0.1289579126281612</c:v>
                </c:pt>
                <c:pt idx="312">
                  <c:v>0.44931107759499495</c:v>
                </c:pt>
                <c:pt idx="313">
                  <c:v>0.44931107759499495</c:v>
                </c:pt>
                <c:pt idx="314">
                  <c:v>0.98972253258167764</c:v>
                </c:pt>
                <c:pt idx="315">
                  <c:v>0.98972253258167764</c:v>
                </c:pt>
                <c:pt idx="316">
                  <c:v>4.0687364327150734E-2</c:v>
                </c:pt>
                <c:pt idx="317">
                  <c:v>4.0687364327150734E-2</c:v>
                </c:pt>
                <c:pt idx="318">
                  <c:v>0.15612761084504176</c:v>
                </c:pt>
                <c:pt idx="319">
                  <c:v>0.15612761084504176</c:v>
                </c:pt>
                <c:pt idx="320">
                  <c:v>0.52700711990744387</c:v>
                </c:pt>
                <c:pt idx="321">
                  <c:v>0.52700711990744387</c:v>
                </c:pt>
                <c:pt idx="322">
                  <c:v>0.99708246189721983</c:v>
                </c:pt>
                <c:pt idx="323">
                  <c:v>0.99708246189721983</c:v>
                </c:pt>
                <c:pt idx="324">
                  <c:v>1.1636104296795987E-2</c:v>
                </c:pt>
                <c:pt idx="325">
                  <c:v>1.1636104296795987E-2</c:v>
                </c:pt>
                <c:pt idx="326">
                  <c:v>4.6002821494360295E-2</c:v>
                </c:pt>
                <c:pt idx="327">
                  <c:v>4.6002821494360295E-2</c:v>
                </c:pt>
                <c:pt idx="328">
                  <c:v>0.17554624763567328</c:v>
                </c:pt>
                <c:pt idx="329">
                  <c:v>0.17554624763567328</c:v>
                </c:pt>
                <c:pt idx="330">
                  <c:v>0.57891905030683266</c:v>
                </c:pt>
                <c:pt idx="331">
                  <c:v>0.57891905030683266</c:v>
                </c:pt>
                <c:pt idx="332">
                  <c:v>0.97508713399467051</c:v>
                </c:pt>
                <c:pt idx="333">
                  <c:v>0.97508713399467051</c:v>
                </c:pt>
                <c:pt idx="334">
                  <c:v>9.7168860450919964E-2</c:v>
                </c:pt>
                <c:pt idx="335">
                  <c:v>9.7168860450919964E-2</c:v>
                </c:pt>
                <c:pt idx="336">
                  <c:v>0.35090829203835844</c:v>
                </c:pt>
                <c:pt idx="337">
                  <c:v>0.35090829203835844</c:v>
                </c:pt>
                <c:pt idx="338">
                  <c:v>0.91108665046832238</c:v>
                </c:pt>
                <c:pt idx="339">
                  <c:v>0.91108665046832238</c:v>
                </c:pt>
                <c:pt idx="340">
                  <c:v>0.32403106322694136</c:v>
                </c:pt>
                <c:pt idx="341">
                  <c:v>0.32403106322694136</c:v>
                </c:pt>
                <c:pt idx="342">
                  <c:v>0.87613973316383709</c:v>
                </c:pt>
                <c:pt idx="343">
                  <c:v>0.87613973316383709</c:v>
                </c:pt>
                <c:pt idx="344">
                  <c:v>0.43407560454174976</c:v>
                </c:pt>
                <c:pt idx="345">
                  <c:v>0.43407560454174976</c:v>
                </c:pt>
                <c:pt idx="346">
                  <c:v>0.98261589633385693</c:v>
                </c:pt>
                <c:pt idx="347">
                  <c:v>0.98261589633385693</c:v>
                </c:pt>
                <c:pt idx="348">
                  <c:v>6.8327586423471448E-2</c:v>
                </c:pt>
                <c:pt idx="349">
                  <c:v>6.8327586423471448E-2</c:v>
                </c:pt>
                <c:pt idx="350">
                  <c:v>0.25463570942805797</c:v>
                </c:pt>
                <c:pt idx="351">
                  <c:v>0.25463570942805797</c:v>
                </c:pt>
                <c:pt idx="352">
                  <c:v>0.75918545964851036</c:v>
                </c:pt>
                <c:pt idx="353">
                  <c:v>0.75918545964851036</c:v>
                </c:pt>
                <c:pt idx="354">
                  <c:v>0.7312915900271616</c:v>
                </c:pt>
                <c:pt idx="355">
                  <c:v>0.7312915900271616</c:v>
                </c:pt>
                <c:pt idx="356">
                  <c:v>0.78601680153082965</c:v>
                </c:pt>
                <c:pt idx="357">
                  <c:v>0.78601680153082965</c:v>
                </c:pt>
                <c:pt idx="358">
                  <c:v>0.672777556968296</c:v>
                </c:pt>
                <c:pt idx="359">
                  <c:v>0.672777556968296</c:v>
                </c:pt>
                <c:pt idx="360">
                  <c:v>0.8805916632322689</c:v>
                </c:pt>
                <c:pt idx="361">
                  <c:v>0.8805916632322689</c:v>
                </c:pt>
                <c:pt idx="362">
                  <c:v>0.42059994351238089</c:v>
                </c:pt>
                <c:pt idx="363">
                  <c:v>0.42059994351238089</c:v>
                </c:pt>
                <c:pt idx="364">
                  <c:v>0.97478252411905164</c:v>
                </c:pt>
                <c:pt idx="365">
                  <c:v>0.97478252411905164</c:v>
                </c:pt>
                <c:pt idx="366">
                  <c:v>9.8326219164568587E-2</c:v>
                </c:pt>
                <c:pt idx="367">
                  <c:v>9.8326219164568587E-2</c:v>
                </c:pt>
                <c:pt idx="368">
                  <c:v>0.35463269515747925</c:v>
                </c:pt>
                <c:pt idx="369">
                  <c:v>0.35463269515747925</c:v>
                </c:pt>
                <c:pt idx="370">
                  <c:v>0.91547338673128664</c:v>
                </c:pt>
                <c:pt idx="371">
                  <c:v>0.91547338673128664</c:v>
                </c:pt>
                <c:pt idx="372">
                  <c:v>0.3095274596721389</c:v>
                </c:pt>
                <c:pt idx="373">
                  <c:v>0.3095274596721389</c:v>
                </c:pt>
                <c:pt idx="374">
                  <c:v>0.85488084552420529</c:v>
                </c:pt>
                <c:pt idx="375">
                  <c:v>0.85488084552420529</c:v>
                </c:pt>
                <c:pt idx="376">
                  <c:v>0.49623834192010058</c:v>
                </c:pt>
                <c:pt idx="377">
                  <c:v>0.49623834192010058</c:v>
                </c:pt>
                <c:pt idx="378">
                  <c:v>0.99994339971395962</c:v>
                </c:pt>
                <c:pt idx="379">
                  <c:v>0.99994339971395962</c:v>
                </c:pt>
                <c:pt idx="380">
                  <c:v>2.2638832979198384E-4</c:v>
                </c:pt>
                <c:pt idx="381">
                  <c:v>2.2638832979198384E-4</c:v>
                </c:pt>
                <c:pt idx="382">
                  <c:v>9.0534831246447144E-4</c:v>
                </c:pt>
                <c:pt idx="383">
                  <c:v>9.0534831246447144E-4</c:v>
                </c:pt>
                <c:pt idx="384">
                  <c:v>3.6181146275903568E-3</c:v>
                </c:pt>
                <c:pt idx="385">
                  <c:v>3.6181146275903568E-3</c:v>
                </c:pt>
                <c:pt idx="386">
                  <c:v>1.4420095496527894E-2</c:v>
                </c:pt>
                <c:pt idx="387">
                  <c:v>1.4420095496527894E-2</c:v>
                </c:pt>
                <c:pt idx="388">
                  <c:v>5.6848625369595639E-2</c:v>
                </c:pt>
                <c:pt idx="389">
                  <c:v>5.6848625369595639E-2</c:v>
                </c:pt>
                <c:pt idx="390">
                  <c:v>0.21446743665273202</c:v>
                </c:pt>
                <c:pt idx="391">
                  <c:v>0.21446743665273202</c:v>
                </c:pt>
                <c:pt idx="392">
                  <c:v>0.67388462107335356</c:v>
                </c:pt>
                <c:pt idx="393">
                  <c:v>0.67388462107335356</c:v>
                </c:pt>
                <c:pt idx="394">
                  <c:v>0.87905655421670503</c:v>
                </c:pt>
                <c:pt idx="395">
                  <c:v>0.87905655421670503</c:v>
                </c:pt>
                <c:pt idx="396">
                  <c:v>0.42526451482143263</c:v>
                </c:pt>
                <c:pt idx="397">
                  <c:v>0.42526451482143263</c:v>
                </c:pt>
                <c:pt idx="398">
                  <c:v>0.97765842902049649</c:v>
                </c:pt>
                <c:pt idx="399">
                  <c:v>0.97765842902049649</c:v>
                </c:pt>
                <c:pt idx="400">
                  <c:v>8.7369700742685269E-2</c:v>
                </c:pt>
                <c:pt idx="401">
                  <c:v>8.7369700742685269E-2</c:v>
                </c:pt>
              </c:numCache>
            </c:numRef>
          </c:xVal>
          <c:yVal>
            <c:numRef>
              <c:f>ex7자동화!$J$7:$J$1008</c:f>
              <c:numCache>
                <c:formatCode>General</c:formatCode>
                <c:ptCount val="1002"/>
                <c:pt idx="0">
                  <c:v>0</c:v>
                </c:pt>
                <c:pt idx="1">
                  <c:v>0.36000000000000004</c:v>
                </c:pt>
                <c:pt idx="2">
                  <c:v>0.36000000000000004</c:v>
                </c:pt>
                <c:pt idx="3">
                  <c:v>0.92159999999999997</c:v>
                </c:pt>
                <c:pt idx="4">
                  <c:v>0.92159999999999997</c:v>
                </c:pt>
                <c:pt idx="5">
                  <c:v>0.28901376000000006</c:v>
                </c:pt>
                <c:pt idx="6">
                  <c:v>0.28901376000000006</c:v>
                </c:pt>
                <c:pt idx="7">
                  <c:v>0.8219392261226498</c:v>
                </c:pt>
                <c:pt idx="8">
                  <c:v>0.8219392261226498</c:v>
                </c:pt>
                <c:pt idx="9">
                  <c:v>0.58542053873419742</c:v>
                </c:pt>
                <c:pt idx="10">
                  <c:v>0.58542053873419742</c:v>
                </c:pt>
                <c:pt idx="11">
                  <c:v>0.97081332624943795</c:v>
                </c:pt>
                <c:pt idx="12">
                  <c:v>0.97081332624943795</c:v>
                </c:pt>
                <c:pt idx="13">
                  <c:v>0.11333924730376121</c:v>
                </c:pt>
                <c:pt idx="14">
                  <c:v>0.11333924730376121</c:v>
                </c:pt>
                <c:pt idx="15">
                  <c:v>0.40197384929751229</c:v>
                </c:pt>
                <c:pt idx="16">
                  <c:v>0.40197384929751229</c:v>
                </c:pt>
                <c:pt idx="17">
                  <c:v>0.96156349511381278</c:v>
                </c:pt>
                <c:pt idx="18">
                  <c:v>0.96156349511381278</c:v>
                </c:pt>
                <c:pt idx="19">
                  <c:v>0.14783655991328529</c:v>
                </c:pt>
                <c:pt idx="20">
                  <c:v>0.14783655991328529</c:v>
                </c:pt>
                <c:pt idx="21">
                  <c:v>0.50392364586516358</c:v>
                </c:pt>
                <c:pt idx="22">
                  <c:v>0.50392364586516358</c:v>
                </c:pt>
                <c:pt idx="23">
                  <c:v>0.99993842001249911</c:v>
                </c:pt>
                <c:pt idx="24">
                  <c:v>0.99993842001249911</c:v>
                </c:pt>
                <c:pt idx="25">
                  <c:v>2.4630478162412819E-4</c:v>
                </c:pt>
                <c:pt idx="26">
                  <c:v>2.4630478162412819E-4</c:v>
                </c:pt>
                <c:pt idx="27">
                  <c:v>9.8497646231470912E-4</c:v>
                </c:pt>
                <c:pt idx="28">
                  <c:v>9.8497646231470912E-4</c:v>
                </c:pt>
                <c:pt idx="29">
                  <c:v>3.9360251347335803E-3</c:v>
                </c:pt>
                <c:pt idx="30">
                  <c:v>3.9360251347335803E-3</c:v>
                </c:pt>
                <c:pt idx="31">
                  <c:v>1.5682131363489303E-2</c:v>
                </c:pt>
                <c:pt idx="32">
                  <c:v>1.5682131363489303E-2</c:v>
                </c:pt>
                <c:pt idx="33">
                  <c:v>6.1744808477550275E-2</c:v>
                </c:pt>
                <c:pt idx="34">
                  <c:v>6.1744808477550275E-2</c:v>
                </c:pt>
                <c:pt idx="35">
                  <c:v>0.23172954841448365</c:v>
                </c:pt>
                <c:pt idx="36">
                  <c:v>0.23172954841448365</c:v>
                </c:pt>
                <c:pt idx="37">
                  <c:v>0.71212385922441246</c:v>
                </c:pt>
                <c:pt idx="38">
                  <c:v>0.71212385922441246</c:v>
                </c:pt>
                <c:pt idx="39">
                  <c:v>0.82001387339096654</c:v>
                </c:pt>
                <c:pt idx="40">
                  <c:v>0.82001387339096654</c:v>
                </c:pt>
                <c:pt idx="41">
                  <c:v>0.59036448334924174</c:v>
                </c:pt>
                <c:pt idx="42">
                  <c:v>0.59036448334924174</c:v>
                </c:pt>
                <c:pt idx="43">
                  <c:v>0.96733704059609849</c:v>
                </c:pt>
                <c:pt idx="44">
                  <c:v>0.96733704059609849</c:v>
                </c:pt>
                <c:pt idx="45">
                  <c:v>0.12638436194752239</c:v>
                </c:pt>
                <c:pt idx="46">
                  <c:v>0.12638436194752239</c:v>
                </c:pt>
                <c:pt idx="47">
                  <c:v>0.44164542001056017</c:v>
                </c:pt>
                <c:pt idx="48">
                  <c:v>0.44164542001056017</c:v>
                </c:pt>
                <c:pt idx="49">
                  <c:v>0.98637897197702429</c:v>
                </c:pt>
                <c:pt idx="50">
                  <c:v>0.98637897197702429</c:v>
                </c:pt>
                <c:pt idx="51">
                  <c:v>5.3741982474292092E-2</c:v>
                </c:pt>
                <c:pt idx="52">
                  <c:v>5.3741982474292092E-2</c:v>
                </c:pt>
                <c:pt idx="53">
                  <c:v>0.20341512717609991</c:v>
                </c:pt>
                <c:pt idx="54">
                  <c:v>0.20341512717609991</c:v>
                </c:pt>
                <c:pt idx="55">
                  <c:v>0.64814965284812409</c:v>
                </c:pt>
                <c:pt idx="56">
                  <c:v>0.64814965284812409</c:v>
                </c:pt>
                <c:pt idx="57">
                  <c:v>0.91220672144392123</c:v>
                </c:pt>
                <c:pt idx="58">
                  <c:v>0.91220672144392123</c:v>
                </c:pt>
                <c:pt idx="59">
                  <c:v>0.3203424751858141</c:v>
                </c:pt>
                <c:pt idx="60">
                  <c:v>0.3203424751858141</c:v>
                </c:pt>
                <c:pt idx="61">
                  <c:v>0.87089269511056067</c:v>
                </c:pt>
                <c:pt idx="62">
                  <c:v>0.87089269511056067</c:v>
                </c:pt>
                <c:pt idx="63">
                  <c:v>0.44975443485449873</c:v>
                </c:pt>
                <c:pt idx="64">
                  <c:v>0.44975443485449873</c:v>
                </c:pt>
                <c:pt idx="65">
                  <c:v>0.98990153273283676</c:v>
                </c:pt>
                <c:pt idx="66">
                  <c:v>0.98990153273283676</c:v>
                </c:pt>
                <c:pt idx="67">
                  <c:v>3.9985952904069075E-2</c:v>
                </c:pt>
                <c:pt idx="68">
                  <c:v>3.9985952904069075E-2</c:v>
                </c:pt>
                <c:pt idx="69">
                  <c:v>0.15354830589769058</c:v>
                </c:pt>
                <c:pt idx="70">
                  <c:v>0.15354830589769058</c:v>
                </c:pt>
                <c:pt idx="71">
                  <c:v>0.51988489461455933</c:v>
                </c:pt>
                <c:pt idx="72">
                  <c:v>0.51988489461455933</c:v>
                </c:pt>
                <c:pt idx="73">
                  <c:v>0.99841836386467153</c:v>
                </c:pt>
                <c:pt idx="74">
                  <c:v>0.99841836386467153</c:v>
                </c:pt>
                <c:pt idx="75">
                  <c:v>6.3165382498555651E-3</c:v>
                </c:pt>
                <c:pt idx="76">
                  <c:v>6.3165382498555651E-3</c:v>
                </c:pt>
                <c:pt idx="77">
                  <c:v>2.5106558377574705E-2</c:v>
                </c:pt>
                <c:pt idx="78">
                  <c:v>2.5106558377574705E-2</c:v>
                </c:pt>
                <c:pt idx="79">
                  <c:v>9.7904876416032557E-2</c:v>
                </c:pt>
                <c:pt idx="80">
                  <c:v>9.7904876416032557E-2</c:v>
                </c:pt>
                <c:pt idx="81">
                  <c:v>0.35327804635997584</c:v>
                </c:pt>
                <c:pt idx="82">
                  <c:v>0.35327804635997584</c:v>
                </c:pt>
                <c:pt idx="83">
                  <c:v>0.91389067328021845</c:v>
                </c:pt>
                <c:pt idx="84">
                  <c:v>0.91389067328021845</c:v>
                </c:pt>
                <c:pt idx="85">
                  <c:v>0.3147780422865899</c:v>
                </c:pt>
                <c:pt idx="86">
                  <c:v>0.3147780422865899</c:v>
                </c:pt>
                <c:pt idx="87">
                  <c:v>0.86277130552324688</c:v>
                </c:pt>
                <c:pt idx="88">
                  <c:v>0.86277130552324688</c:v>
                </c:pt>
                <c:pt idx="89">
                  <c:v>0.47358791955583629</c:v>
                </c:pt>
                <c:pt idx="90">
                  <c:v>0.47358791955583629</c:v>
                </c:pt>
                <c:pt idx="91">
                  <c:v>0.99720960802644398</c:v>
                </c:pt>
                <c:pt idx="92">
                  <c:v>0.99720960802644398</c:v>
                </c:pt>
                <c:pt idx="93">
                  <c:v>1.1130422744759724E-2</c:v>
                </c:pt>
                <c:pt idx="94">
                  <c:v>1.1130422744759724E-2</c:v>
                </c:pt>
                <c:pt idx="95">
                  <c:v>4.4026145737130637E-2</c:v>
                </c:pt>
                <c:pt idx="96">
                  <c:v>4.4026145737130637E-2</c:v>
                </c:pt>
                <c:pt idx="97">
                  <c:v>0.16835137691465429</c:v>
                </c:pt>
                <c:pt idx="98">
                  <c:v>0.16835137691465429</c:v>
                </c:pt>
                <c:pt idx="99">
                  <c:v>0.56003676322237717</c:v>
                </c:pt>
                <c:pt idx="100">
                  <c:v>0.56003676322237717</c:v>
                </c:pt>
                <c:pt idx="101">
                  <c:v>0.98558234824712088</c:v>
                </c:pt>
                <c:pt idx="102">
                  <c:v>0.98558234824712088</c:v>
                </c:pt>
                <c:pt idx="103">
                  <c:v>5.6839132283247301E-2</c:v>
                </c:pt>
                <c:pt idx="104">
                  <c:v>5.6839132283247301E-2</c:v>
                </c:pt>
                <c:pt idx="105">
                  <c:v>0.21443378129813925</c:v>
                </c:pt>
                <c:pt idx="106">
                  <c:v>0.21443378129813925</c:v>
                </c:pt>
                <c:pt idx="107">
                  <c:v>0.67380773894528412</c:v>
                </c:pt>
                <c:pt idx="108">
                  <c:v>0.67380773894528412</c:v>
                </c:pt>
                <c:pt idx="109">
                  <c:v>0.8791634795309119</c:v>
                </c:pt>
                <c:pt idx="110">
                  <c:v>0.8791634795309119</c:v>
                </c:pt>
                <c:pt idx="111">
                  <c:v>0.42494022316004704</c:v>
                </c:pt>
                <c:pt idx="112">
                  <c:v>0.42494022316004704</c:v>
                </c:pt>
                <c:pt idx="113">
                  <c:v>0.97746411960294599</c:v>
                </c:pt>
                <c:pt idx="114">
                  <c:v>0.97746411960294599</c:v>
                </c:pt>
                <c:pt idx="115">
                  <c:v>8.8112057967134741E-2</c:v>
                </c:pt>
                <c:pt idx="116">
                  <c:v>8.8112057967134741E-2</c:v>
                </c:pt>
                <c:pt idx="117">
                  <c:v>0.32139329283172413</c:v>
                </c:pt>
                <c:pt idx="118">
                  <c:v>0.32139329283172413</c:v>
                </c:pt>
                <c:pt idx="119">
                  <c:v>0.872398576618023</c:v>
                </c:pt>
                <c:pt idx="120">
                  <c:v>0.872398576618023</c:v>
                </c:pt>
                <c:pt idx="121">
                  <c:v>0.44527720053148179</c:v>
                </c:pt>
                <c:pt idx="122">
                  <c:v>0.44527720053148179</c:v>
                </c:pt>
                <c:pt idx="123">
                  <c:v>0.98802166087331333</c:v>
                </c:pt>
                <c:pt idx="124">
                  <c:v>0.98802166087331333</c:v>
                </c:pt>
                <c:pt idx="125">
                  <c:v>4.7339434073811013E-2</c:v>
                </c:pt>
                <c:pt idx="126">
                  <c:v>4.7339434073811013E-2</c:v>
                </c:pt>
                <c:pt idx="127">
                  <c:v>0.18039364822152926</c:v>
                </c:pt>
                <c:pt idx="128">
                  <c:v>0.18039364822152926</c:v>
                </c:pt>
                <c:pt idx="129">
                  <c:v>0.59140711961142567</c:v>
                </c:pt>
                <c:pt idx="130">
                  <c:v>0.59140711961142567</c:v>
                </c:pt>
                <c:pt idx="131">
                  <c:v>0.96657895393737003</c:v>
                </c:pt>
                <c:pt idx="132">
                  <c:v>0.96657895393737003</c:v>
                </c:pt>
                <c:pt idx="133">
                  <c:v>0.12921631897083813</c:v>
                </c:pt>
                <c:pt idx="134">
                  <c:v>0.12921631897083813</c:v>
                </c:pt>
                <c:pt idx="135">
                  <c:v>0.45007784752985897</c:v>
                </c:pt>
                <c:pt idx="136">
                  <c:v>0.45007784752985897</c:v>
                </c:pt>
                <c:pt idx="137">
                  <c:v>0.99003111477099182</c:v>
                </c:pt>
                <c:pt idx="138">
                  <c:v>0.99003111477099182</c:v>
                </c:pt>
                <c:pt idx="139">
                  <c:v>3.9478026225196187E-2</c:v>
                </c:pt>
                <c:pt idx="140">
                  <c:v>3.9478026225196187E-2</c:v>
                </c:pt>
                <c:pt idx="141">
                  <c:v>0.15167804668223564</c:v>
                </c:pt>
                <c:pt idx="142">
                  <c:v>0.15167804668223564</c:v>
                </c:pt>
                <c:pt idx="143">
                  <c:v>0.51468726734758874</c:v>
                </c:pt>
                <c:pt idx="144">
                  <c:v>0.51468726734758874</c:v>
                </c:pt>
                <c:pt idx="145">
                  <c:v>0.99913713671144178</c:v>
                </c:pt>
                <c:pt idx="146">
                  <c:v>0.99913713671144178</c:v>
                </c:pt>
                <c:pt idx="147">
                  <c:v>3.4484750220139314E-3</c:v>
                </c:pt>
                <c:pt idx="148">
                  <c:v>3.4484750220139314E-3</c:v>
                </c:pt>
                <c:pt idx="149">
                  <c:v>1.3746332168145909E-2</c:v>
                </c:pt>
                <c:pt idx="150">
                  <c:v>1.3746332168145909E-2</c:v>
                </c:pt>
                <c:pt idx="151">
                  <c:v>5.4229482080275622E-2</c:v>
                </c:pt>
                <c:pt idx="152">
                  <c:v>5.4229482080275622E-2</c:v>
                </c:pt>
                <c:pt idx="153">
                  <c:v>0.20515458141432275</c:v>
                </c:pt>
                <c:pt idx="154">
                  <c:v>0.20515458141432275</c:v>
                </c:pt>
                <c:pt idx="155">
                  <c:v>0.65226471655614704</c:v>
                </c:pt>
                <c:pt idx="156">
                  <c:v>0.65226471655614704</c:v>
                </c:pt>
                <c:pt idx="157">
                  <c:v>0.90726182436830483</c:v>
                </c:pt>
                <c:pt idx="158">
                  <c:v>0.90726182436830483</c:v>
                </c:pt>
                <c:pt idx="159">
                  <c:v>0.33655122564880013</c:v>
                </c:pt>
                <c:pt idx="160">
                  <c:v>0.33655122564880013</c:v>
                </c:pt>
                <c:pt idx="161">
                  <c:v>0.89313799265236216</c:v>
                </c:pt>
                <c:pt idx="162">
                  <c:v>0.89313799265236216</c:v>
                </c:pt>
                <c:pt idx="163">
                  <c:v>0.38177007493308496</c:v>
                </c:pt>
                <c:pt idx="164">
                  <c:v>0.38177007493308496</c:v>
                </c:pt>
                <c:pt idx="165">
                  <c:v>0.94408673927468656</c:v>
                </c:pt>
                <c:pt idx="166">
                  <c:v>0.94408673927468656</c:v>
                </c:pt>
                <c:pt idx="167">
                  <c:v>0.21114787200150625</c:v>
                </c:pt>
                <c:pt idx="168">
                  <c:v>0.21114787200150625</c:v>
                </c:pt>
                <c:pt idx="169">
                  <c:v>0.66625779260296714</c:v>
                </c:pt>
                <c:pt idx="170">
                  <c:v>0.66625779260296714</c:v>
                </c:pt>
                <c:pt idx="171">
                  <c:v>0.88943338559515506</c:v>
                </c:pt>
                <c:pt idx="172">
                  <c:v>0.88943338559515506</c:v>
                </c:pt>
                <c:pt idx="173">
                  <c:v>0.39336655273558113</c:v>
                </c:pt>
                <c:pt idx="174">
                  <c:v>0.39336655273558113</c:v>
                </c:pt>
                <c:pt idx="175">
                  <c:v>0.95451723169802549</c:v>
                </c:pt>
                <c:pt idx="176">
                  <c:v>0.95451723169802549</c:v>
                </c:pt>
                <c:pt idx="177">
                  <c:v>0.17365634435825364</c:v>
                </c:pt>
                <c:pt idx="178">
                  <c:v>0.17365634435825364</c:v>
                </c:pt>
                <c:pt idx="179">
                  <c:v>0.57399927368952508</c:v>
                </c:pt>
                <c:pt idx="180">
                  <c:v>0.57399927368952508</c:v>
                </c:pt>
                <c:pt idx="181">
                  <c:v>0.97809642997369106</c:v>
                </c:pt>
                <c:pt idx="182">
                  <c:v>0.97809642997369106</c:v>
                </c:pt>
                <c:pt idx="183">
                  <c:v>8.5695214585646079E-2</c:v>
                </c:pt>
                <c:pt idx="184">
                  <c:v>8.5695214585646079E-2</c:v>
                </c:pt>
                <c:pt idx="185">
                  <c:v>0.31340617913106461</c:v>
                </c:pt>
                <c:pt idx="186">
                  <c:v>0.31340617913106461</c:v>
                </c:pt>
                <c:pt idx="187">
                  <c:v>0.86073098405412662</c:v>
                </c:pt>
                <c:pt idx="188">
                  <c:v>0.86073098405412662</c:v>
                </c:pt>
                <c:pt idx="189">
                  <c:v>0.47949262857336578</c:v>
                </c:pt>
                <c:pt idx="190">
                  <c:v>0.47949262857336578</c:v>
                </c:pt>
                <c:pt idx="191">
                  <c:v>0.99831779086868011</c:v>
                </c:pt>
                <c:pt idx="192">
                  <c:v>0.99831779086868011</c:v>
                </c:pt>
                <c:pt idx="193">
                  <c:v>6.7175172150335735E-3</c:v>
                </c:pt>
                <c:pt idx="194">
                  <c:v>6.7175172150335735E-3</c:v>
                </c:pt>
                <c:pt idx="195">
                  <c:v>2.6689568709997204E-2</c:v>
                </c:pt>
                <c:pt idx="196">
                  <c:v>2.6689568709997204E-2</c:v>
                </c:pt>
                <c:pt idx="197">
                  <c:v>0.10390894252828617</c:v>
                </c:pt>
                <c:pt idx="198">
                  <c:v>0.10390894252828617</c:v>
                </c:pt>
                <c:pt idx="199">
                  <c:v>0.37244749676375793</c:v>
                </c:pt>
                <c:pt idx="200">
                  <c:v>0.37244749676375793</c:v>
                </c:pt>
                <c:pt idx="201">
                  <c:v>0.93492143567267394</c:v>
                </c:pt>
                <c:pt idx="202">
                  <c:v>0.93492143567267394</c:v>
                </c:pt>
                <c:pt idx="203">
                  <c:v>0.24337337916968058</c:v>
                </c:pt>
                <c:pt idx="204">
                  <c:v>0.24337337916968058</c:v>
                </c:pt>
                <c:pt idx="205">
                  <c:v>0.73657110992484587</c:v>
                </c:pt>
                <c:pt idx="206">
                  <c:v>0.73657110992484587</c:v>
                </c:pt>
                <c:pt idx="207">
                  <c:v>0.77613643979570601</c:v>
                </c:pt>
                <c:pt idx="208">
                  <c:v>0.77613643979570601</c:v>
                </c:pt>
                <c:pt idx="209">
                  <c:v>0.69499466646780972</c:v>
                </c:pt>
                <c:pt idx="210">
                  <c:v>0.69499466646780972</c:v>
                </c:pt>
                <c:pt idx="211">
                  <c:v>0.84790832019643059</c:v>
                </c:pt>
                <c:pt idx="212">
                  <c:v>0.84790832019643059</c:v>
                </c:pt>
                <c:pt idx="213">
                  <c:v>0.51583920295239172</c:v>
                </c:pt>
                <c:pt idx="214">
                  <c:v>0.51583920295239172</c:v>
                </c:pt>
                <c:pt idx="215">
                  <c:v>0.99899647859933183</c:v>
                </c:pt>
                <c:pt idx="216">
                  <c:v>0.99899647859933183</c:v>
                </c:pt>
                <c:pt idx="217">
                  <c:v>4.0100573818662938E-3</c:v>
                </c:pt>
                <c:pt idx="218">
                  <c:v>4.0100573818662938E-3</c:v>
                </c:pt>
                <c:pt idx="219">
                  <c:v>1.5975907286641732E-2</c:v>
                </c:pt>
                <c:pt idx="220">
                  <c:v>1.5975907286641732E-2</c:v>
                </c:pt>
                <c:pt idx="221">
                  <c:v>6.2882710692041432E-2</c:v>
                </c:pt>
                <c:pt idx="222">
                  <c:v>6.2882710692041432E-2</c:v>
                </c:pt>
                <c:pt idx="223">
                  <c:v>0.2357139015522498</c:v>
                </c:pt>
                <c:pt idx="224">
                  <c:v>0.2357139015522498</c:v>
                </c:pt>
                <c:pt idx="225">
                  <c:v>0.72061143266906436</c:v>
                </c:pt>
                <c:pt idx="226">
                  <c:v>0.72061143266906436</c:v>
                </c:pt>
                <c:pt idx="227">
                  <c:v>0.80532238310281157</c:v>
                </c:pt>
                <c:pt idx="228">
                  <c:v>0.80532238310281157</c:v>
                </c:pt>
                <c:pt idx="229">
                  <c:v>0.62711296950567985</c:v>
                </c:pt>
                <c:pt idx="230">
                  <c:v>0.62711296950567985</c:v>
                </c:pt>
                <c:pt idx="231">
                  <c:v>0.93536917193379243</c:v>
                </c:pt>
                <c:pt idx="232">
                  <c:v>0.93536917193379243</c:v>
                </c:pt>
                <c:pt idx="233">
                  <c:v>0.24181473651873553</c:v>
                </c:pt>
                <c:pt idx="234">
                  <c:v>0.24181473651873553</c:v>
                </c:pt>
                <c:pt idx="235">
                  <c:v>0.73336147888444014</c:v>
                </c:pt>
                <c:pt idx="236">
                  <c:v>0.73336147888444014</c:v>
                </c:pt>
                <c:pt idx="237">
                  <c:v>0.78216968069146797</c:v>
                </c:pt>
                <c:pt idx="238">
                  <c:v>0.78216968069146797</c:v>
                </c:pt>
                <c:pt idx="239">
                  <c:v>0.68152108519389998</c:v>
                </c:pt>
                <c:pt idx="240">
                  <c:v>0.68152108519389998</c:v>
                </c:pt>
                <c:pt idx="241">
                  <c:v>0.86820038252011567</c:v>
                </c:pt>
                <c:pt idx="242">
                  <c:v>0.86820038252011567</c:v>
                </c:pt>
                <c:pt idx="243">
                  <c:v>0.45771391324816202</c:v>
                </c:pt>
                <c:pt idx="244">
                  <c:v>0.45771391324816202</c:v>
                </c:pt>
                <c:pt idx="245">
                  <c:v>0.99284754746886417</c:v>
                </c:pt>
                <c:pt idx="246">
                  <c:v>0.99284754746886417</c:v>
                </c:pt>
                <c:pt idx="247">
                  <c:v>2.8405179815702727E-2</c:v>
                </c:pt>
                <c:pt idx="248">
                  <c:v>2.8405179815702727E-2</c:v>
                </c:pt>
                <c:pt idx="249">
                  <c:v>0.1103933023013613</c:v>
                </c:pt>
                <c:pt idx="250">
                  <c:v>0.1103933023013613</c:v>
                </c:pt>
                <c:pt idx="251">
                  <c:v>0.39282648443344625</c:v>
                </c:pt>
                <c:pt idx="252">
                  <c:v>0.39282648443344625</c:v>
                </c:pt>
                <c:pt idx="253">
                  <c:v>0.95405535024442267</c:v>
                </c:pt>
                <c:pt idx="254">
                  <c:v>0.95405535024442267</c:v>
                </c:pt>
                <c:pt idx="255">
                  <c:v>0.17533495565765861</c:v>
                </c:pt>
                <c:pt idx="256">
                  <c:v>0.17533495565765861</c:v>
                </c:pt>
                <c:pt idx="257">
                  <c:v>0.57837043592874193</c:v>
                </c:pt>
                <c:pt idx="258">
                  <c:v>0.57837043592874193</c:v>
                </c:pt>
                <c:pt idx="259">
                  <c:v>0.9754322990893558</c:v>
                </c:pt>
                <c:pt idx="260">
                  <c:v>0.9754322990893558</c:v>
                </c:pt>
                <c:pt idx="261">
                  <c:v>9.5856515930437314E-2</c:v>
                </c:pt>
                <c:pt idx="262">
                  <c:v>9.5856515930437314E-2</c:v>
                </c:pt>
                <c:pt idx="263">
                  <c:v>0.34667217713646054</c:v>
                </c:pt>
                <c:pt idx="264">
                  <c:v>0.34667217713646054</c:v>
                </c:pt>
                <c:pt idx="265">
                  <c:v>0.90596231494370838</c:v>
                </c:pt>
                <c:pt idx="266">
                  <c:v>0.90596231494370838</c:v>
                </c:pt>
                <c:pt idx="267">
                  <c:v>0.3407783953821813</c:v>
                </c:pt>
                <c:pt idx="268">
                  <c:v>0.3407783953821813</c:v>
                </c:pt>
                <c:pt idx="269">
                  <c:v>0.89859392249170811</c:v>
                </c:pt>
                <c:pt idx="270">
                  <c:v>0.89859392249170811</c:v>
                </c:pt>
                <c:pt idx="271">
                  <c:v>0.36449153981069676</c:v>
                </c:pt>
                <c:pt idx="272">
                  <c:v>0.36449153981069676</c:v>
                </c:pt>
                <c:pt idx="273">
                  <c:v>0.92654982886849613</c:v>
                </c:pt>
                <c:pt idx="274">
                  <c:v>0.92654982886849613</c:v>
                </c:pt>
                <c:pt idx="275">
                  <c:v>0.27222097396902667</c:v>
                </c:pt>
                <c:pt idx="276">
                  <c:v>0.27222097396902667</c:v>
                </c:pt>
                <c:pt idx="277">
                  <c:v>0.79246686120152465</c:v>
                </c:pt>
                <c:pt idx="278">
                  <c:v>0.79246686120152465</c:v>
                </c:pt>
                <c:pt idx="279">
                  <c:v>0.6578525403957125</c:v>
                </c:pt>
                <c:pt idx="280">
                  <c:v>0.6578525403957125</c:v>
                </c:pt>
                <c:pt idx="281">
                  <c:v>0.90033030196247976</c:v>
                </c:pt>
                <c:pt idx="282">
                  <c:v>0.90033030196247976</c:v>
                </c:pt>
                <c:pt idx="283">
                  <c:v>0.3589425973225191</c:v>
                </c:pt>
                <c:pt idx="284">
                  <c:v>0.3589425973225191</c:v>
                </c:pt>
                <c:pt idx="285">
                  <c:v>0.92041123659953206</c:v>
                </c:pt>
                <c:pt idx="286">
                  <c:v>0.92041123659953206</c:v>
                </c:pt>
                <c:pt idx="287">
                  <c:v>0.2930175685634091</c:v>
                </c:pt>
                <c:pt idx="288">
                  <c:v>0.2930175685634091</c:v>
                </c:pt>
                <c:pt idx="289">
                  <c:v>0.82863309230638782</c:v>
                </c:pt>
                <c:pt idx="290">
                  <c:v>0.82863309230638782</c:v>
                </c:pt>
                <c:pt idx="291">
                  <c:v>0.56800116256456468</c:v>
                </c:pt>
                <c:pt idx="292">
                  <c:v>0.56800116256456468</c:v>
                </c:pt>
                <c:pt idx="293">
                  <c:v>0.98150336755947054</c:v>
                </c:pt>
                <c:pt idx="294">
                  <c:v>0.98150336755947054</c:v>
                </c:pt>
                <c:pt idx="295">
                  <c:v>7.2618028115557648E-2</c:v>
                </c:pt>
                <c:pt idx="296">
                  <c:v>7.2618028115557648E-2</c:v>
                </c:pt>
                <c:pt idx="297">
                  <c:v>0.26937860043266293</c:v>
                </c:pt>
                <c:pt idx="298">
                  <c:v>0.26937860043266293</c:v>
                </c:pt>
                <c:pt idx="299">
                  <c:v>0.78725508024641067</c:v>
                </c:pt>
                <c:pt idx="300">
                  <c:v>0.78725508024641067</c:v>
                </c:pt>
                <c:pt idx="301">
                  <c:v>0.66993807549051265</c:v>
                </c:pt>
                <c:pt idx="302">
                  <c:v>0.66993807549051265</c:v>
                </c:pt>
                <c:pt idx="303">
                  <c:v>0.88448420199432332</c:v>
                </c:pt>
                <c:pt idx="304">
                  <c:v>0.88448420199432332</c:v>
                </c:pt>
                <c:pt idx="305">
                  <c:v>0.40868759366715357</c:v>
                </c:pt>
                <c:pt idx="306">
                  <c:v>0.40868759366715357</c:v>
                </c:pt>
                <c:pt idx="307">
                  <c:v>0.96664817779882062</c:v>
                </c:pt>
                <c:pt idx="308">
                  <c:v>0.96664817779882062</c:v>
                </c:pt>
                <c:pt idx="309">
                  <c:v>0.1289579126281612</c:v>
                </c:pt>
                <c:pt idx="310">
                  <c:v>0.1289579126281612</c:v>
                </c:pt>
                <c:pt idx="311">
                  <c:v>0.44931107759499495</c:v>
                </c:pt>
                <c:pt idx="312">
                  <c:v>0.44931107759499495</c:v>
                </c:pt>
                <c:pt idx="313">
                  <c:v>0.98972253258167764</c:v>
                </c:pt>
                <c:pt idx="314">
                  <c:v>0.98972253258167764</c:v>
                </c:pt>
                <c:pt idx="315">
                  <c:v>4.0687364327150734E-2</c:v>
                </c:pt>
                <c:pt idx="316">
                  <c:v>4.0687364327150734E-2</c:v>
                </c:pt>
                <c:pt idx="317">
                  <c:v>0.15612761084504176</c:v>
                </c:pt>
                <c:pt idx="318">
                  <c:v>0.15612761084504176</c:v>
                </c:pt>
                <c:pt idx="319">
                  <c:v>0.52700711990744387</c:v>
                </c:pt>
                <c:pt idx="320">
                  <c:v>0.52700711990744387</c:v>
                </c:pt>
                <c:pt idx="321">
                  <c:v>0.99708246189721983</c:v>
                </c:pt>
                <c:pt idx="322">
                  <c:v>0.99708246189721983</c:v>
                </c:pt>
                <c:pt idx="323">
                  <c:v>1.1636104296795987E-2</c:v>
                </c:pt>
                <c:pt idx="324">
                  <c:v>1.1636104296795987E-2</c:v>
                </c:pt>
                <c:pt idx="325">
                  <c:v>4.6002821494360295E-2</c:v>
                </c:pt>
                <c:pt idx="326">
                  <c:v>4.6002821494360295E-2</c:v>
                </c:pt>
                <c:pt idx="327">
                  <c:v>0.17554624763567328</c:v>
                </c:pt>
                <c:pt idx="328">
                  <c:v>0.17554624763567328</c:v>
                </c:pt>
                <c:pt idx="329">
                  <c:v>0.57891905030683266</c:v>
                </c:pt>
                <c:pt idx="330">
                  <c:v>0.57891905030683266</c:v>
                </c:pt>
                <c:pt idx="331">
                  <c:v>0.97508713399467051</c:v>
                </c:pt>
                <c:pt idx="332">
                  <c:v>0.97508713399467051</c:v>
                </c:pt>
                <c:pt idx="333">
                  <c:v>9.7168860450919964E-2</c:v>
                </c:pt>
                <c:pt idx="334">
                  <c:v>9.7168860450919964E-2</c:v>
                </c:pt>
                <c:pt idx="335">
                  <c:v>0.35090829203835844</c:v>
                </c:pt>
                <c:pt idx="336">
                  <c:v>0.35090829203835844</c:v>
                </c:pt>
                <c:pt idx="337">
                  <c:v>0.91108665046832238</c:v>
                </c:pt>
                <c:pt idx="338">
                  <c:v>0.91108665046832238</c:v>
                </c:pt>
                <c:pt idx="339">
                  <c:v>0.32403106322694136</c:v>
                </c:pt>
                <c:pt idx="340">
                  <c:v>0.32403106322694136</c:v>
                </c:pt>
                <c:pt idx="341">
                  <c:v>0.87613973316383709</c:v>
                </c:pt>
                <c:pt idx="342">
                  <c:v>0.87613973316383709</c:v>
                </c:pt>
                <c:pt idx="343">
                  <c:v>0.43407560454174976</c:v>
                </c:pt>
                <c:pt idx="344">
                  <c:v>0.43407560454174976</c:v>
                </c:pt>
                <c:pt idx="345">
                  <c:v>0.98261589633385693</c:v>
                </c:pt>
                <c:pt idx="346">
                  <c:v>0.98261589633385693</c:v>
                </c:pt>
                <c:pt idx="347">
                  <c:v>6.8327586423471448E-2</c:v>
                </c:pt>
                <c:pt idx="348">
                  <c:v>6.8327586423471448E-2</c:v>
                </c:pt>
                <c:pt idx="349">
                  <c:v>0.25463570942805797</c:v>
                </c:pt>
                <c:pt idx="350">
                  <c:v>0.25463570942805797</c:v>
                </c:pt>
                <c:pt idx="351">
                  <c:v>0.75918545964851036</c:v>
                </c:pt>
                <c:pt idx="352">
                  <c:v>0.75918545964851036</c:v>
                </c:pt>
                <c:pt idx="353">
                  <c:v>0.7312915900271616</c:v>
                </c:pt>
                <c:pt idx="354">
                  <c:v>0.7312915900271616</c:v>
                </c:pt>
                <c:pt idx="355">
                  <c:v>0.78601680153082965</c:v>
                </c:pt>
                <c:pt idx="356">
                  <c:v>0.78601680153082965</c:v>
                </c:pt>
                <c:pt idx="357">
                  <c:v>0.672777556968296</c:v>
                </c:pt>
                <c:pt idx="358">
                  <c:v>0.672777556968296</c:v>
                </c:pt>
                <c:pt idx="359">
                  <c:v>0.8805916632322689</c:v>
                </c:pt>
                <c:pt idx="360">
                  <c:v>0.8805916632322689</c:v>
                </c:pt>
                <c:pt idx="361">
                  <c:v>0.42059994351238089</c:v>
                </c:pt>
                <c:pt idx="362">
                  <c:v>0.42059994351238089</c:v>
                </c:pt>
                <c:pt idx="363">
                  <c:v>0.97478252411905164</c:v>
                </c:pt>
                <c:pt idx="364">
                  <c:v>0.97478252411905164</c:v>
                </c:pt>
                <c:pt idx="365">
                  <c:v>9.8326219164568587E-2</c:v>
                </c:pt>
                <c:pt idx="366">
                  <c:v>9.8326219164568587E-2</c:v>
                </c:pt>
                <c:pt idx="367">
                  <c:v>0.35463269515747925</c:v>
                </c:pt>
                <c:pt idx="368">
                  <c:v>0.35463269515747925</c:v>
                </c:pt>
                <c:pt idx="369">
                  <c:v>0.91547338673128664</c:v>
                </c:pt>
                <c:pt idx="370">
                  <c:v>0.91547338673128664</c:v>
                </c:pt>
                <c:pt idx="371">
                  <c:v>0.3095274596721389</c:v>
                </c:pt>
                <c:pt idx="372">
                  <c:v>0.3095274596721389</c:v>
                </c:pt>
                <c:pt idx="373">
                  <c:v>0.85488084552420529</c:v>
                </c:pt>
                <c:pt idx="374">
                  <c:v>0.85488084552420529</c:v>
                </c:pt>
                <c:pt idx="375">
                  <c:v>0.49623834192010058</c:v>
                </c:pt>
                <c:pt idx="376">
                  <c:v>0.49623834192010058</c:v>
                </c:pt>
                <c:pt idx="377">
                  <c:v>0.99994339971395962</c:v>
                </c:pt>
                <c:pt idx="378">
                  <c:v>0.99994339971395962</c:v>
                </c:pt>
                <c:pt idx="379">
                  <c:v>2.2638832979198384E-4</c:v>
                </c:pt>
                <c:pt idx="380">
                  <c:v>2.2638832979198384E-4</c:v>
                </c:pt>
                <c:pt idx="381">
                  <c:v>9.0534831246447144E-4</c:v>
                </c:pt>
                <c:pt idx="382">
                  <c:v>9.0534831246447144E-4</c:v>
                </c:pt>
                <c:pt idx="383">
                  <c:v>3.6181146275903568E-3</c:v>
                </c:pt>
                <c:pt idx="384">
                  <c:v>3.6181146275903568E-3</c:v>
                </c:pt>
                <c:pt idx="385">
                  <c:v>1.4420095496527894E-2</c:v>
                </c:pt>
                <c:pt idx="386">
                  <c:v>1.4420095496527894E-2</c:v>
                </c:pt>
                <c:pt idx="387">
                  <c:v>5.6848625369595639E-2</c:v>
                </c:pt>
                <c:pt idx="388">
                  <c:v>5.6848625369595639E-2</c:v>
                </c:pt>
                <c:pt idx="389">
                  <c:v>0.21446743665273202</c:v>
                </c:pt>
                <c:pt idx="390">
                  <c:v>0.21446743665273202</c:v>
                </c:pt>
                <c:pt idx="391">
                  <c:v>0.67388462107335356</c:v>
                </c:pt>
                <c:pt idx="392">
                  <c:v>0.67388462107335356</c:v>
                </c:pt>
                <c:pt idx="393">
                  <c:v>0.87905655421670503</c:v>
                </c:pt>
                <c:pt idx="394">
                  <c:v>0.87905655421670503</c:v>
                </c:pt>
                <c:pt idx="395">
                  <c:v>0.42526451482143263</c:v>
                </c:pt>
                <c:pt idx="396">
                  <c:v>0.42526451482143263</c:v>
                </c:pt>
                <c:pt idx="397">
                  <c:v>0.97765842902049649</c:v>
                </c:pt>
                <c:pt idx="398">
                  <c:v>0.97765842902049649</c:v>
                </c:pt>
                <c:pt idx="399">
                  <c:v>8.7369700742685269E-2</c:v>
                </c:pt>
                <c:pt idx="400">
                  <c:v>8.7369700742685269E-2</c:v>
                </c:pt>
                <c:pt idx="401">
                  <c:v>0.31894494453927558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48-4EB4-8414-2D6C00CAF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57712"/>
        <c:axId val="532653296"/>
      </c:scatterChart>
      <c:valAx>
        <c:axId val="46085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653296"/>
        <c:crosses val="autoZero"/>
        <c:crossBetween val="midCat"/>
      </c:valAx>
      <c:valAx>
        <c:axId val="53265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085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ex7자동화!$M$10:$M$407</c:f>
              <c:numCache>
                <c:formatCode>General</c:formatCode>
                <c:ptCount val="398"/>
                <c:pt idx="0">
                  <c:v>6.83688081057472E-276</c:v>
                </c:pt>
                <c:pt idx="1">
                  <c:v>2.105764275572652E-253</c:v>
                </c:pt>
                <c:pt idx="2">
                  <c:v>5.8449681390047321E-236</c:v>
                </c:pt>
                <c:pt idx="3">
                  <c:v>1.0446411491303102E-221</c:v>
                </c:pt>
                <c:pt idx="4">
                  <c:v>1.1720343063261994E-209</c:v>
                </c:pt>
                <c:pt idx="5">
                  <c:v>3.2138968134116567E-199</c:v>
                </c:pt>
                <c:pt idx="6">
                  <c:v>5.1762698883010345E-190</c:v>
                </c:pt>
                <c:pt idx="7">
                  <c:v>8.9101628628319204E-182</c:v>
                </c:pt>
                <c:pt idx="8">
                  <c:v>2.512340885034701E-174</c:v>
                </c:pt>
                <c:pt idx="9">
                  <c:v>1.590442426398137E-167</c:v>
                </c:pt>
                <c:pt idx="10">
                  <c:v>2.8719970300942246E-161</c:v>
                </c:pt>
                <c:pt idx="11">
                  <c:v>1.7819766787683223E-155</c:v>
                </c:pt>
                <c:pt idx="12">
                  <c:v>4.4029624256753052E-150</c:v>
                </c:pt>
                <c:pt idx="13">
                  <c:v>4.87938756403577E-145</c:v>
                </c:pt>
                <c:pt idx="14">
                  <c:v>2.6730758736790689E-140</c:v>
                </c:pt>
                <c:pt idx="15">
                  <c:v>7.8465696219582787E-136</c:v>
                </c:pt>
                <c:pt idx="16">
                  <c:v>1.3203424206895063E-131</c:v>
                </c:pt>
                <c:pt idx="17">
                  <c:v>1.3484431763205605E-127</c:v>
                </c:pt>
                <c:pt idx="18">
                  <c:v>8.7757963534905331E-124</c:v>
                </c:pt>
                <c:pt idx="19">
                  <c:v>3.7954265056369675E-120</c:v>
                </c:pt>
                <c:pt idx="20">
                  <c:v>1.1311938066134067E-116</c:v>
                </c:pt>
                <c:pt idx="21">
                  <c:v>2.3981806853376445E-113</c:v>
                </c:pt>
                <c:pt idx="22">
                  <c:v>3.7185579842919616E-110</c:v>
                </c:pt>
                <c:pt idx="23">
                  <c:v>4.3218763559090568E-107</c:v>
                </c:pt>
                <c:pt idx="24">
                  <c:v>3.8479142238534655E-104</c:v>
                </c:pt>
                <c:pt idx="25">
                  <c:v>2.6757917858417606E-101</c:v>
                </c:pt>
                <c:pt idx="26">
                  <c:v>1.4787171032146345E-98</c:v>
                </c:pt>
                <c:pt idx="27">
                  <c:v>6.5961312717956616E-96</c:v>
                </c:pt>
                <c:pt idx="28">
                  <c:v>2.4085997024102846E-93</c:v>
                </c:pt>
                <c:pt idx="29">
                  <c:v>7.2917132789949483E-91</c:v>
                </c:pt>
                <c:pt idx="30">
                  <c:v>1.8513687549898711E-88</c:v>
                </c:pt>
                <c:pt idx="31">
                  <c:v>3.9839568048607706E-86</c:v>
                </c:pt>
                <c:pt idx="32">
                  <c:v>7.3359748303282245E-84</c:v>
                </c:pt>
                <c:pt idx="33">
                  <c:v>1.1660943127089041E-81</c:v>
                </c:pt>
                <c:pt idx="34">
                  <c:v>1.6130201311947596E-79</c:v>
                </c:pt>
                <c:pt idx="35">
                  <c:v>1.9561121618430392E-77</c:v>
                </c:pt>
                <c:pt idx="36">
                  <c:v>2.0939302534338053E-75</c:v>
                </c:pt>
                <c:pt idx="37">
                  <c:v>1.9910687455846179E-73</c:v>
                </c:pt>
                <c:pt idx="38">
                  <c:v>1.6916234546397285E-71</c:v>
                </c:pt>
                <c:pt idx="39">
                  <c:v>1.2911260978586179E-69</c:v>
                </c:pt>
                <c:pt idx="40">
                  <c:v>8.8975172911527516E-68</c:v>
                </c:pt>
                <c:pt idx="41">
                  <c:v>5.5621258540061194E-66</c:v>
                </c:pt>
                <c:pt idx="42">
                  <c:v>3.1679883853409906E-64</c:v>
                </c:pt>
                <c:pt idx="43">
                  <c:v>1.6507095757440356E-62</c:v>
                </c:pt>
                <c:pt idx="44">
                  <c:v>7.8987958777949452E-61</c:v>
                </c:pt>
                <c:pt idx="45">
                  <c:v>3.4834371230204432E-59</c:v>
                </c:pt>
                <c:pt idx="46">
                  <c:v>1.4205915457617396E-57</c:v>
                </c:pt>
                <c:pt idx="47">
                  <c:v>5.3741931587245033E-56</c:v>
                </c:pt>
                <c:pt idx="48">
                  <c:v>1.891590256357416E-54</c:v>
                </c:pt>
                <c:pt idx="49">
                  <c:v>6.2118677841608968E-53</c:v>
                </c:pt>
                <c:pt idx="50">
                  <c:v>1.9082734317854725E-51</c:v>
                </c:pt>
                <c:pt idx="51">
                  <c:v>5.4974299150257753E-50</c:v>
                </c:pt>
                <c:pt idx="52">
                  <c:v>1.4886654928343268E-48</c:v>
                </c:pt>
                <c:pt idx="53">
                  <c:v>3.7976500525106714E-47</c:v>
                </c:pt>
                <c:pt idx="54">
                  <c:v>9.1458394244931023E-46</c:v>
                </c:pt>
                <c:pt idx="55">
                  <c:v>2.0834605316931074E-44</c:v>
                </c:pt>
                <c:pt idx="56">
                  <c:v>4.4979788538122591E-43</c:v>
                </c:pt>
                <c:pt idx="57">
                  <c:v>9.2192446371733103E-42</c:v>
                </c:pt>
                <c:pt idx="58">
                  <c:v>1.7970292638732028E-40</c:v>
                </c:pt>
                <c:pt idx="59">
                  <c:v>3.336538085197934E-39</c:v>
                </c:pt>
                <c:pt idx="60">
                  <c:v>5.9099363915866769E-38</c:v>
                </c:pt>
                <c:pt idx="61">
                  <c:v>1.0001092084394001E-36</c:v>
                </c:pt>
                <c:pt idx="62">
                  <c:v>1.6191660643417657E-35</c:v>
                </c:pt>
                <c:pt idx="63">
                  <c:v>2.5112340626151141E-34</c:v>
                </c:pt>
                <c:pt idx="64">
                  <c:v>3.7357680361829526E-33</c:v>
                </c:pt>
                <c:pt idx="65">
                  <c:v>5.3368940831517296E-32</c:v>
                </c:pt>
                <c:pt idx="66">
                  <c:v>7.330060504493361E-31</c:v>
                </c:pt>
                <c:pt idx="67">
                  <c:v>9.6896374971097005E-30</c:v>
                </c:pt>
                <c:pt idx="68">
                  <c:v>1.2340608325880525E-28</c:v>
                </c:pt>
                <c:pt idx="69">
                  <c:v>1.5157269731858545E-27</c:v>
                </c:pt>
                <c:pt idx="70">
                  <c:v>1.7970742102648586E-26</c:v>
                </c:pt>
                <c:pt idx="71">
                  <c:v>2.0585263657286593E-25</c:v>
                </c:pt>
                <c:pt idx="72">
                  <c:v>2.2801160008640254E-24</c:v>
                </c:pt>
                <c:pt idx="73">
                  <c:v>2.4440630011499943E-23</c:v>
                </c:pt>
                <c:pt idx="74">
                  <c:v>2.5371599649979491E-22</c:v>
                </c:pt>
                <c:pt idx="75">
                  <c:v>2.5525152120480631E-21</c:v>
                </c:pt>
                <c:pt idx="76">
                  <c:v>2.490338514185049E-20</c:v>
                </c:pt>
                <c:pt idx="77">
                  <c:v>2.3576597702698552E-19</c:v>
                </c:pt>
                <c:pt idx="78">
                  <c:v>2.167090416046756E-18</c:v>
                </c:pt>
                <c:pt idx="79">
                  <c:v>1.9349151229885173E-17</c:v>
                </c:pt>
                <c:pt idx="80">
                  <c:v>1.6788980208028583E-16</c:v>
                </c:pt>
                <c:pt idx="81">
                  <c:v>1.4161904160877127E-15</c:v>
                </c:pt>
                <c:pt idx="82">
                  <c:v>1.1616491617137829E-14</c:v>
                </c:pt>
                <c:pt idx="83">
                  <c:v>9.2674796868000749E-14</c:v>
                </c:pt>
                <c:pt idx="84">
                  <c:v>7.1912568250763231E-13</c:v>
                </c:pt>
                <c:pt idx="85">
                  <c:v>5.4269834404323867E-12</c:v>
                </c:pt>
                <c:pt idx="86">
                  <c:v>3.9818576276762448E-11</c:v>
                </c:pt>
                <c:pt idx="87">
                  <c:v>2.838739253838167E-10</c:v>
                </c:pt>
                <c:pt idx="88">
                  <c:v>1.9644538234185193E-9</c:v>
                </c:pt>
                <c:pt idx="89">
                  <c:v>1.317472546016558E-8</c:v>
                </c:pt>
                <c:pt idx="90">
                  <c:v>8.541539136747683E-8</c:v>
                </c:pt>
                <c:pt idx="91">
                  <c:v>5.3320589364284276E-7</c:v>
                </c:pt>
                <c:pt idx="92">
                  <c:v>3.1840386130602381E-6</c:v>
                </c:pt>
                <c:pt idx="93">
                  <c:v>1.7984531549041967E-5</c:v>
                </c:pt>
                <c:pt idx="94">
                  <c:v>9.41449340865824E-5</c:v>
                </c:pt>
                <c:pt idx="95">
                  <c:v>4.3979259666680222E-4</c:v>
                </c:pt>
                <c:pt idx="96">
                  <c:v>1.7186057749222516E-3</c:v>
                </c:pt>
                <c:pt idx="97">
                  <c:v>5.1810434449353904E-3</c:v>
                </c:pt>
                <c:pt idx="98">
                  <c:v>1.1571376009357216E-2</c:v>
                </c:pt>
                <c:pt idx="99">
                  <c:v>2.0017883471271859E-2</c:v>
                </c:pt>
                <c:pt idx="100">
                  <c:v>2.9209029661505674E-2</c:v>
                </c:pt>
                <c:pt idx="101">
                  <c:v>3.8476180921820397E-2</c:v>
                </c:pt>
                <c:pt idx="102">
                  <c:v>4.7621392032017443E-2</c:v>
                </c:pt>
                <c:pt idx="103">
                  <c:v>5.6604118212244169E-2</c:v>
                </c:pt>
                <c:pt idx="104">
                  <c:v>6.5420607247837562E-2</c:v>
                </c:pt>
                <c:pt idx="105">
                  <c:v>7.4074079746755242E-2</c:v>
                </c:pt>
                <c:pt idx="106">
                  <c:v>8.2568807938305552E-2</c:v>
                </c:pt>
                <c:pt idx="107">
                  <c:v>9.0909090956542871E-2</c:v>
                </c:pt>
                <c:pt idx="108">
                  <c:v>9.909909909979174E-2</c:v>
                </c:pt>
                <c:pt idx="109">
                  <c:v>0.10714285714207236</c:v>
                </c:pt>
                <c:pt idx="110">
                  <c:v>0.11504424778738102</c:v>
                </c:pt>
                <c:pt idx="111">
                  <c:v>0.12280701754381265</c:v>
                </c:pt>
                <c:pt idx="112">
                  <c:v>0.13043478260868735</c:v>
                </c:pt>
                <c:pt idx="113">
                  <c:v>0.13793103448275726</c:v>
                </c:pt>
                <c:pt idx="114">
                  <c:v>0.14529914529914509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0.64664310954063586</c:v>
                </c:pt>
                <c:pt idx="281">
                  <c:v>0.64788732394365978</c:v>
                </c:pt>
                <c:pt idx="282">
                  <c:v>0.64912280701752578</c:v>
                </c:pt>
                <c:pt idx="283">
                  <c:v>0.65034965034950831</c:v>
                </c:pt>
                <c:pt idx="284">
                  <c:v>0.65156794424977482</c:v>
                </c:pt>
                <c:pt idx="285">
                  <c:v>0.65277777776953716</c:v>
                </c:pt>
                <c:pt idx="286">
                  <c:v>0.65397923869391883</c:v>
                </c:pt>
                <c:pt idx="287">
                  <c:v>0.65517241336126453</c:v>
                </c:pt>
                <c:pt idx="288">
                  <c:v>0.65635738530537446</c:v>
                </c:pt>
                <c:pt idx="289">
                  <c:v>0.65753422610826495</c:v>
                </c:pt>
                <c:pt idx="290">
                  <c:v>0.65870293609109531</c:v>
                </c:pt>
                <c:pt idx="291">
                  <c:v>0.6598630714044923</c:v>
                </c:pt>
                <c:pt idx="292">
                  <c:v>0.66101147553150363</c:v>
                </c:pt>
                <c:pt idx="293">
                  <c:v>0.66212902279484009</c:v>
                </c:pt>
                <c:pt idx="294">
                  <c:v>0.66310740305932192</c:v>
                </c:pt>
                <c:pt idx="295">
                  <c:v>0.66338348592240581</c:v>
                </c:pt>
                <c:pt idx="296">
                  <c:v>0.66054588358341348</c:v>
                </c:pt>
                <c:pt idx="297">
                  <c:v>0.64931055597800968</c:v>
                </c:pt>
                <c:pt idx="298">
                  <c:v>0.6324987399230646</c:v>
                </c:pt>
                <c:pt idx="299">
                  <c:v>0.61861068088507465</c:v>
                </c:pt>
                <c:pt idx="300">
                  <c:v>0.60763908713965264</c:v>
                </c:pt>
                <c:pt idx="301">
                  <c:v>0.5983560824736962</c:v>
                </c:pt>
                <c:pt idx="302">
                  <c:v>0.59016393447358328</c:v>
                </c:pt>
                <c:pt idx="303">
                  <c:v>0.58275187791428484</c:v>
                </c:pt>
                <c:pt idx="304">
                  <c:v>0.57593481338709585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0.47942701982423414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0.84048265365202401</c:v>
                </c:pt>
                <c:pt idx="337">
                  <c:v>0.84215439943231685</c:v>
                </c:pt>
                <c:pt idx="338">
                  <c:v>0.8437912154041759</c:v>
                </c:pt>
                <c:pt idx="339">
                  <c:v>0.84539438833095393</c:v>
                </c:pt>
                <c:pt idx="340">
                  <c:v>0.84696498229767514</c:v>
                </c:pt>
                <c:pt idx="341">
                  <c:v>0.84860132491649998</c:v>
                </c:pt>
                <c:pt idx="342">
                  <c:v>0.85384673223579532</c:v>
                </c:pt>
                <c:pt idx="343">
                  <c:v>0.86134235527164804</c:v>
                </c:pt>
                <c:pt idx="344">
                  <c:v>0.86590511786332836</c:v>
                </c:pt>
                <c:pt idx="345">
                  <c:v>0.86942620336764942</c:v>
                </c:pt>
                <c:pt idx="346">
                  <c:v>0.8723923530399269</c:v>
                </c:pt>
                <c:pt idx="347">
                  <c:v>0.8269407065914387</c:v>
                </c:pt>
                <c:pt idx="348">
                  <c:v>0.82501893207392851</c:v>
                </c:pt>
                <c:pt idx="349">
                  <c:v>0.8233013467952679</c:v>
                </c:pt>
                <c:pt idx="350">
                  <c:v>0.82174794172575261</c:v>
                </c:pt>
                <c:pt idx="351">
                  <c:v>0.82037814735236403</c:v>
                </c:pt>
                <c:pt idx="352">
                  <c:v>0.82780511661683909</c:v>
                </c:pt>
                <c:pt idx="353">
                  <c:v>0.83331415360934791</c:v>
                </c:pt>
                <c:pt idx="354">
                  <c:v>0.84188145898770406</c:v>
                </c:pt>
                <c:pt idx="355">
                  <c:v>0.80904353990216449</c:v>
                </c:pt>
                <c:pt idx="356">
                  <c:v>0.80043039361679991</c:v>
                </c:pt>
                <c:pt idx="357">
                  <c:v>0.79164926712874861</c:v>
                </c:pt>
                <c:pt idx="358">
                  <c:v>0.78770351560771834</c:v>
                </c:pt>
                <c:pt idx="359">
                  <c:v>0.83805596740673904</c:v>
                </c:pt>
                <c:pt idx="360">
                  <c:v>0.8326424785603489</c:v>
                </c:pt>
                <c:pt idx="361">
                  <c:v>0.81711935769267519</c:v>
                </c:pt>
                <c:pt idx="362">
                  <c:v>0.88294569461624361</c:v>
                </c:pt>
                <c:pt idx="363">
                  <c:v>0.91491470564908639</c:v>
                </c:pt>
                <c:pt idx="364">
                  <c:v>0.87948967916390208</c:v>
                </c:pt>
                <c:pt idx="365">
                  <c:v>0.3572166648330603</c:v>
                </c:pt>
                <c:pt idx="366">
                  <c:v>0.74918946679412113</c:v>
                </c:pt>
                <c:pt idx="367">
                  <c:v>0.72722931809418223</c:v>
                </c:pt>
                <c:pt idx="368">
                  <c:v>0.39028701396835086</c:v>
                </c:pt>
                <c:pt idx="369">
                  <c:v>0.8539129160077904</c:v>
                </c:pt>
                <c:pt idx="370">
                  <c:v>0.74877332727653267</c:v>
                </c:pt>
                <c:pt idx="371">
                  <c:v>0.22747639532246902</c:v>
                </c:pt>
                <c:pt idx="372">
                  <c:v>0.29939152775723482</c:v>
                </c:pt>
                <c:pt idx="373">
                  <c:v>0.72528759399287623</c:v>
                </c:pt>
                <c:pt idx="374">
                  <c:v>0.77656459250983056</c:v>
                </c:pt>
                <c:pt idx="375">
                  <c:v>0.19681745871051204</c:v>
                </c:pt>
                <c:pt idx="376">
                  <c:v>0.90131947218344743</c:v>
                </c:pt>
                <c:pt idx="377">
                  <c:v>0.28935226914523526</c:v>
                </c:pt>
                <c:pt idx="378">
                  <c:v>0.46143905358956272</c:v>
                </c:pt>
                <c:pt idx="379">
                  <c:v>0.26993529131982852</c:v>
                </c:pt>
                <c:pt idx="380">
                  <c:v>0.50466648740841336</c:v>
                </c:pt>
                <c:pt idx="381">
                  <c:v>0.95944788065012032</c:v>
                </c:pt>
                <c:pt idx="382">
                  <c:v>0.15165675058238312</c:v>
                </c:pt>
                <c:pt idx="383">
                  <c:v>0.38041906114940233</c:v>
                </c:pt>
                <c:pt idx="384">
                  <c:v>0.4199106484112381</c:v>
                </c:pt>
                <c:pt idx="385">
                  <c:v>0.95949457107936509</c:v>
                </c:pt>
                <c:pt idx="386">
                  <c:v>0.6370848318353115</c:v>
                </c:pt>
                <c:pt idx="387">
                  <c:v>0.92076785037736153</c:v>
                </c:pt>
                <c:pt idx="388">
                  <c:v>8.9066233482273494E-2</c:v>
                </c:pt>
                <c:pt idx="389">
                  <c:v>0.65337087668893923</c:v>
                </c:pt>
                <c:pt idx="390">
                  <c:v>0.22003408187092582</c:v>
                </c:pt>
                <c:pt idx="391">
                  <c:v>0.18771988468598916</c:v>
                </c:pt>
                <c:pt idx="392">
                  <c:v>0.42704727437048073</c:v>
                </c:pt>
                <c:pt idx="393">
                  <c:v>0.9878028006796189</c:v>
                </c:pt>
                <c:pt idx="394">
                  <c:v>0.11565553434668589</c:v>
                </c:pt>
                <c:pt idx="395">
                  <c:v>0.73182749412116355</c:v>
                </c:pt>
                <c:pt idx="396">
                  <c:v>0.39967508134815616</c:v>
                </c:pt>
                <c:pt idx="397">
                  <c:v>0.8805916632322689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38-434E-A1FD-14931CF8618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ex7자동화!$N$10:$N$407</c:f>
              <c:numCache>
                <c:formatCode>General</c:formatCode>
                <c:ptCount val="398"/>
                <c:pt idx="0">
                  <c:v>2.051064243172416E-277</c:v>
                </c:pt>
                <c:pt idx="1">
                  <c:v>8.4230571022906082E-255</c:v>
                </c:pt>
                <c:pt idx="2">
                  <c:v>2.9224840695023663E-237</c:v>
                </c:pt>
                <c:pt idx="3">
                  <c:v>6.2678468947818612E-223</c:v>
                </c:pt>
                <c:pt idx="4">
                  <c:v>8.2042401442833967E-211</c:v>
                </c:pt>
                <c:pt idx="5">
                  <c:v>2.5711174507293254E-200</c:v>
                </c:pt>
                <c:pt idx="6">
                  <c:v>4.6586428994709309E-191</c:v>
                </c:pt>
                <c:pt idx="7">
                  <c:v>8.9101628628319204E-183</c:v>
                </c:pt>
                <c:pt idx="8">
                  <c:v>2.7635749735381709E-175</c:v>
                </c:pt>
                <c:pt idx="9">
                  <c:v>1.9085309116777644E-168</c:v>
                </c:pt>
                <c:pt idx="10">
                  <c:v>3.733596139122492E-162</c:v>
                </c:pt>
                <c:pt idx="11">
                  <c:v>2.4947673502756512E-156</c:v>
                </c:pt>
                <c:pt idx="12">
                  <c:v>6.6044436385129569E-151</c:v>
                </c:pt>
                <c:pt idx="13">
                  <c:v>7.8070201024572321E-146</c:v>
                </c:pt>
                <c:pt idx="14">
                  <c:v>4.5442289852544175E-141</c:v>
                </c:pt>
                <c:pt idx="15">
                  <c:v>1.4123825319524901E-136</c:v>
                </c:pt>
                <c:pt idx="16">
                  <c:v>2.508650599310062E-132</c:v>
                </c:pt>
                <c:pt idx="17">
                  <c:v>2.696886352641121E-128</c:v>
                </c:pt>
                <c:pt idx="18">
                  <c:v>1.8429172342330119E-124</c:v>
                </c:pt>
                <c:pt idx="19">
                  <c:v>8.3499383124013278E-121</c:v>
                </c:pt>
                <c:pt idx="20">
                  <c:v>2.6017457552108355E-117</c:v>
                </c:pt>
                <c:pt idx="21">
                  <c:v>5.7556336448103464E-114</c:v>
                </c:pt>
                <c:pt idx="22">
                  <c:v>9.296394960729904E-111</c:v>
                </c:pt>
                <c:pt idx="23">
                  <c:v>1.1236878525363548E-107</c:v>
                </c:pt>
                <c:pt idx="24">
                  <c:v>1.0389368404404357E-104</c:v>
                </c:pt>
                <c:pt idx="25">
                  <c:v>7.49221700035693E-102</c:v>
                </c:pt>
                <c:pt idx="26">
                  <c:v>4.28827959932244E-99</c:v>
                </c:pt>
                <c:pt idx="27">
                  <c:v>1.9788393815386985E-96</c:v>
                </c:pt>
                <c:pt idx="28">
                  <c:v>7.4666590774718828E-94</c:v>
                </c:pt>
                <c:pt idx="29">
                  <c:v>2.3333482492783834E-91</c:v>
                </c:pt>
                <c:pt idx="30">
                  <c:v>6.109516891466575E-89</c:v>
                </c:pt>
                <c:pt idx="31">
                  <c:v>1.354545313652662E-86</c:v>
                </c:pt>
                <c:pt idx="32">
                  <c:v>2.5675911906148783E-84</c:v>
                </c:pt>
                <c:pt idx="33">
                  <c:v>4.1979395257520548E-82</c:v>
                </c:pt>
                <c:pt idx="34">
                  <c:v>5.9681744854206106E-80</c:v>
                </c:pt>
                <c:pt idx="35">
                  <c:v>7.4332262150035493E-78</c:v>
                </c:pt>
                <c:pt idx="36">
                  <c:v>8.1663279883918405E-76</c:v>
                </c:pt>
                <c:pt idx="37">
                  <c:v>7.9642749823384712E-74</c:v>
                </c:pt>
                <c:pt idx="38">
                  <c:v>6.9356561640228866E-72</c:v>
                </c:pt>
                <c:pt idx="39">
                  <c:v>5.4227296110061951E-70</c:v>
                </c:pt>
                <c:pt idx="40">
                  <c:v>3.8259324351956829E-68</c:v>
                </c:pt>
                <c:pt idx="41">
                  <c:v>2.4473353757626926E-66</c:v>
                </c:pt>
                <c:pt idx="42">
                  <c:v>1.4255947734034458E-64</c:v>
                </c:pt>
                <c:pt idx="43">
                  <c:v>7.593264048422564E-63</c:v>
                </c:pt>
                <c:pt idx="44">
                  <c:v>3.7124340625636239E-61</c:v>
                </c:pt>
                <c:pt idx="45">
                  <c:v>1.6720498190498127E-59</c:v>
                </c:pt>
                <c:pt idx="46">
                  <c:v>6.9608985742325237E-58</c:v>
                </c:pt>
                <c:pt idx="47">
                  <c:v>2.6870965793622517E-56</c:v>
                </c:pt>
                <c:pt idx="48">
                  <c:v>9.6471103074228214E-55</c:v>
                </c:pt>
                <c:pt idx="49">
                  <c:v>3.2301712477636666E-53</c:v>
                </c:pt>
                <c:pt idx="50">
                  <c:v>1.0113849188463005E-51</c:v>
                </c:pt>
                <c:pt idx="51">
                  <c:v>2.9686121541139188E-50</c:v>
                </c:pt>
                <c:pt idx="52">
                  <c:v>8.1876602105887979E-49</c:v>
                </c:pt>
                <c:pt idx="53">
                  <c:v>2.1266840294059762E-47</c:v>
                </c:pt>
                <c:pt idx="54">
                  <c:v>5.2131284719610675E-46</c:v>
                </c:pt>
                <c:pt idx="55">
                  <c:v>1.2084071083820023E-44</c:v>
                </c:pt>
                <c:pt idx="56">
                  <c:v>2.6538075237492329E-43</c:v>
                </c:pt>
                <c:pt idx="57">
                  <c:v>5.5315467823039859E-42</c:v>
                </c:pt>
                <c:pt idx="58">
                  <c:v>1.0961878509626538E-40</c:v>
                </c:pt>
                <c:pt idx="59">
                  <c:v>2.0686536128227191E-39</c:v>
                </c:pt>
                <c:pt idx="60">
                  <c:v>3.7232599266996065E-38</c:v>
                </c:pt>
                <c:pt idx="61">
                  <c:v>6.4006989340121605E-37</c:v>
                </c:pt>
                <c:pt idx="62">
                  <c:v>1.0524579418221477E-35</c:v>
                </c:pt>
                <c:pt idx="63">
                  <c:v>1.6574144813259753E-34</c:v>
                </c:pt>
                <c:pt idx="64">
                  <c:v>2.5029645842425784E-33</c:v>
                </c:pt>
                <c:pt idx="65">
                  <c:v>3.6290879765431763E-32</c:v>
                </c:pt>
                <c:pt idx="66">
                  <c:v>5.0577417481004191E-31</c:v>
                </c:pt>
                <c:pt idx="67">
                  <c:v>6.78274624797679E-30</c:v>
                </c:pt>
                <c:pt idx="68">
                  <c:v>8.7618319113751727E-29</c:v>
                </c:pt>
                <c:pt idx="69">
                  <c:v>1.0913234206938153E-27</c:v>
                </c:pt>
                <c:pt idx="70">
                  <c:v>1.3118641734933467E-26</c:v>
                </c:pt>
                <c:pt idx="71">
                  <c:v>1.5233095106392079E-25</c:v>
                </c:pt>
                <c:pt idx="72">
                  <c:v>1.7100870006480191E-24</c:v>
                </c:pt>
                <c:pt idx="73">
                  <c:v>1.8574878808739956E-23</c:v>
                </c:pt>
                <c:pt idx="74">
                  <c:v>1.9536131730484209E-22</c:v>
                </c:pt>
                <c:pt idx="75">
                  <c:v>1.9909618653974892E-21</c:v>
                </c:pt>
                <c:pt idx="76">
                  <c:v>1.9673674262061889E-20</c:v>
                </c:pt>
                <c:pt idx="77">
                  <c:v>1.8861278162158842E-19</c:v>
                </c:pt>
                <c:pt idx="78">
                  <c:v>1.7553432369978723E-18</c:v>
                </c:pt>
                <c:pt idx="79">
                  <c:v>1.5866304008505842E-17</c:v>
                </c:pt>
                <c:pt idx="80">
                  <c:v>1.3934853572663721E-16</c:v>
                </c:pt>
                <c:pt idx="81">
                  <c:v>1.189599949513677E-15</c:v>
                </c:pt>
                <c:pt idx="82">
                  <c:v>9.8740178745670399E-15</c:v>
                </c:pt>
                <c:pt idx="83">
                  <c:v>7.9700325306473259E-14</c:v>
                </c:pt>
                <c:pt idx="84">
                  <c:v>6.2563934378119019E-13</c:v>
                </c:pt>
                <c:pt idx="85">
                  <c:v>4.7757454275545824E-12</c:v>
                </c:pt>
                <c:pt idx="86">
                  <c:v>3.5438532884907468E-11</c:v>
                </c:pt>
                <c:pt idx="87">
                  <c:v>2.5548653277290909E-10</c:v>
                </c:pt>
                <c:pt idx="88">
                  <c:v>1.7876529757990908E-9</c:v>
                </c:pt>
                <c:pt idx="89">
                  <c:v>1.2120747263664813E-8</c:v>
                </c:pt>
                <c:pt idx="90">
                  <c:v>7.9436307186669623E-8</c:v>
                </c:pt>
                <c:pt idx="91">
                  <c:v>5.0121327277425867E-7</c:v>
                </c:pt>
                <c:pt idx="92">
                  <c:v>3.0248270512104307E-6</c:v>
                </c:pt>
                <c:pt idx="93">
                  <c:v>1.7264839781440252E-5</c:v>
                </c:pt>
                <c:pt idx="94">
                  <c:v>9.131198869342919E-5</c:v>
                </c:pt>
                <c:pt idx="95">
                  <c:v>4.3080719555594487E-4</c:v>
                </c:pt>
                <c:pt idx="96">
                  <c:v>1.6984956474215291E-3</c:v>
                </c:pt>
                <c:pt idx="97">
                  <c:v>5.1542002337570825E-3</c:v>
                </c:pt>
                <c:pt idx="98">
                  <c:v>1.1551854059273363E-2</c:v>
                </c:pt>
                <c:pt idx="99">
                  <c:v>2.000951116885449E-2</c:v>
                </c:pt>
                <c:pt idx="100">
                  <c:v>2.9206538115171127E-2</c:v>
                </c:pt>
                <c:pt idx="101">
                  <c:v>3.8475595000431413E-2</c:v>
                </c:pt>
                <c:pt idx="102">
                  <c:v>4.7621274805597864E-2</c:v>
                </c:pt>
                <c:pt idx="103">
                  <c:v>5.6604097534477961E-2</c:v>
                </c:pt>
                <c:pt idx="104">
                  <c:v>6.5420603992823068E-2</c:v>
                </c:pt>
                <c:pt idx="105">
                  <c:v>7.4074079292940714E-2</c:v>
                </c:pt>
                <c:pt idx="106">
                  <c:v>8.2568807884408513E-2</c:v>
                </c:pt>
                <c:pt idx="107">
                  <c:v>9.090909095179768E-2</c:v>
                </c:pt>
                <c:pt idx="108">
                  <c:v>9.9099099099715565E-2</c:v>
                </c:pt>
                <c:pt idx="109">
                  <c:v>0.10714285714216655</c:v>
                </c:pt>
                <c:pt idx="110">
                  <c:v>0.11504424778741086</c:v>
                </c:pt>
                <c:pt idx="111">
                  <c:v>0.12280701754381923</c:v>
                </c:pt>
                <c:pt idx="112">
                  <c:v>0.1304347826086886</c:v>
                </c:pt>
                <c:pt idx="113">
                  <c:v>0.13793103448275748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0.49494949494949497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0.6466431095406362</c:v>
                </c:pt>
                <c:pt idx="281">
                  <c:v>0.64788732394366377</c:v>
                </c:pt>
                <c:pt idx="282">
                  <c:v>0.64912280701755931</c:v>
                </c:pt>
                <c:pt idx="283">
                  <c:v>0.65034965034977255</c:v>
                </c:pt>
                <c:pt idx="284">
                  <c:v>0.65156794425182485</c:v>
                </c:pt>
                <c:pt idx="285">
                  <c:v>0.65277777778502943</c:v>
                </c:pt>
                <c:pt idx="286">
                  <c:v>0.65397923880808706</c:v>
                </c:pt>
                <c:pt idx="287">
                  <c:v>0.65517241418175842</c:v>
                </c:pt>
                <c:pt idx="288">
                  <c:v>0.65635739105595803</c:v>
                </c:pt>
                <c:pt idx="289">
                  <c:v>0.65753426540505255</c:v>
                </c:pt>
                <c:pt idx="290">
                  <c:v>0.65870319776287256</c:v>
                </c:pt>
                <c:pt idx="291">
                  <c:v>0.65986476729929922</c:v>
                </c:pt>
                <c:pt idx="292">
                  <c:v>0.66102214900414569</c:v>
                </c:pt>
                <c:pt idx="293">
                  <c:v>0.66219397270406699</c:v>
                </c:pt>
                <c:pt idx="294">
                  <c:v>0.6634860459497145</c:v>
                </c:pt>
                <c:pt idx="295">
                  <c:v>0.66545139285297217</c:v>
                </c:pt>
                <c:pt idx="296">
                  <c:v>0.67043280760061896</c:v>
                </c:pt>
                <c:pt idx="297">
                  <c:v>0.68311907362061286</c:v>
                </c:pt>
                <c:pt idx="298">
                  <c:v>0.69965669259558827</c:v>
                </c:pt>
                <c:pt idx="299">
                  <c:v>0.71251314926753662</c:v>
                </c:pt>
                <c:pt idx="300">
                  <c:v>0.72239389556681899</c:v>
                </c:pt>
                <c:pt idx="301">
                  <c:v>0.73059128636289949</c:v>
                </c:pt>
                <c:pt idx="302">
                  <c:v>0.73770491800674232</c:v>
                </c:pt>
                <c:pt idx="303">
                  <c:v>0.74404550770707745</c:v>
                </c:pt>
                <c:pt idx="304">
                  <c:v>0.74979808563571138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0.78046411662849868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0.80489676360802365</c:v>
                </c:pt>
                <c:pt idx="320">
                  <c:v>0.80748559340037396</c:v>
                </c:pt>
                <c:pt idx="321">
                  <c:v>0.80999407670269752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0.81931624613907317</c:v>
                </c:pt>
                <c:pt idx="326">
                  <c:v>0.82148819265437434</c:v>
                </c:pt>
                <c:pt idx="327">
                  <c:v>0.82360328320606901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0.82963454245073964</c:v>
                </c:pt>
                <c:pt idx="331">
                  <c:v>0.46785287857412933</c:v>
                </c:pt>
                <c:pt idx="332">
                  <c:v>0.46509010926487909</c:v>
                </c:pt>
                <c:pt idx="333">
                  <c:v>0.46237547900755038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0.45450259708543717</c:v>
                </c:pt>
                <c:pt idx="337">
                  <c:v>0.45196324762697593</c:v>
                </c:pt>
                <c:pt idx="338">
                  <c:v>0.44946391671923563</c:v>
                </c:pt>
                <c:pt idx="339">
                  <c:v>0.4470032904624428</c:v>
                </c:pt>
                <c:pt idx="340">
                  <c:v>0.44458048263296679</c:v>
                </c:pt>
                <c:pt idx="341">
                  <c:v>0.44196127995662521</c:v>
                </c:pt>
                <c:pt idx="342">
                  <c:v>0.43053409079687033</c:v>
                </c:pt>
                <c:pt idx="343">
                  <c:v>0.41323368991211379</c:v>
                </c:pt>
                <c:pt idx="344">
                  <c:v>0.40291365318334055</c:v>
                </c:pt>
                <c:pt idx="345">
                  <c:v>0.39506449532346716</c:v>
                </c:pt>
                <c:pt idx="346">
                  <c:v>0.38852053453687874</c:v>
                </c:pt>
                <c:pt idx="347">
                  <c:v>0.50088421030721786</c:v>
                </c:pt>
                <c:pt idx="348">
                  <c:v>0.50671305521526588</c:v>
                </c:pt>
                <c:pt idx="349">
                  <c:v>0.51207636184448801</c:v>
                </c:pt>
                <c:pt idx="350">
                  <c:v>0.51706826484320312</c:v>
                </c:pt>
                <c:pt idx="351">
                  <c:v>0.52164676315469694</c:v>
                </c:pt>
                <c:pt idx="352">
                  <c:v>0.50603050959536289</c:v>
                </c:pt>
                <c:pt idx="353">
                  <c:v>0.49448996301311515</c:v>
                </c:pt>
                <c:pt idx="354">
                  <c:v>0.47522793276156661</c:v>
                </c:pt>
                <c:pt idx="355">
                  <c:v>0.5530816837921666</c:v>
                </c:pt>
                <c:pt idx="356">
                  <c:v>0.57347226714260424</c:v>
                </c:pt>
                <c:pt idx="357">
                  <c:v>0.59378653793974978</c:v>
                </c:pt>
                <c:pt idx="358">
                  <c:v>0.6036883404561233</c:v>
                </c:pt>
                <c:pt idx="359">
                  <c:v>0.49129974970051149</c:v>
                </c:pt>
                <c:pt idx="360">
                  <c:v>0.50583680268973696</c:v>
                </c:pt>
                <c:pt idx="361">
                  <c:v>0.54394453923476993</c:v>
                </c:pt>
                <c:pt idx="362">
                  <c:v>0.37723697165832182</c:v>
                </c:pt>
                <c:pt idx="363">
                  <c:v>0.28491558055224314</c:v>
                </c:pt>
                <c:pt idx="364">
                  <c:v>0.38897443110764868</c:v>
                </c:pt>
                <c:pt idx="365">
                  <c:v>0.84497554265086772</c:v>
                </c:pt>
                <c:pt idx="366">
                  <c:v>0.6933680095673993</c:v>
                </c:pt>
                <c:pt idx="367">
                  <c:v>0.73395729689427591</c:v>
                </c:pt>
                <c:pt idx="368">
                  <c:v>0.88284295518223099</c:v>
                </c:pt>
                <c:pt idx="369">
                  <c:v>0.46405381012424923</c:v>
                </c:pt>
                <c:pt idx="370">
                  <c:v>0.70165713200139668</c:v>
                </c:pt>
                <c:pt idx="371">
                  <c:v>0.65723350950193249</c:v>
                </c:pt>
                <c:pt idx="372">
                  <c:v>0.78658590324158895</c:v>
                </c:pt>
                <c:pt idx="373">
                  <c:v>0.74916307997330756</c:v>
                </c:pt>
                <c:pt idx="374">
                  <c:v>0.6541403386604151</c:v>
                </c:pt>
                <c:pt idx="375">
                  <c:v>0.59754371036439713</c:v>
                </c:pt>
                <c:pt idx="376">
                  <c:v>0.33709276192385285</c:v>
                </c:pt>
                <c:pt idx="377">
                  <c:v>0.7813846272458066</c:v>
                </c:pt>
                <c:pt idx="378">
                  <c:v>0.94683473349945857</c:v>
                </c:pt>
                <c:pt idx="379">
                  <c:v>0.75280827791204785</c:v>
                </c:pt>
                <c:pt idx="380">
                  <c:v>0.95741659751887309</c:v>
                </c:pt>
                <c:pt idx="381">
                  <c:v>0.14940535666987312</c:v>
                </c:pt>
                <c:pt idx="382">
                  <c:v>0.49532937525292747</c:v>
                </c:pt>
                <c:pt idx="383">
                  <c:v>0.90980354038553313</c:v>
                </c:pt>
                <c:pt idx="384">
                  <c:v>0.94267664259929496</c:v>
                </c:pt>
                <c:pt idx="385">
                  <c:v>0.15079518789653037</c:v>
                </c:pt>
                <c:pt idx="386">
                  <c:v>0.89939814314586208</c:v>
                </c:pt>
                <c:pt idx="387">
                  <c:v>0.28452222274637579</c:v>
                </c:pt>
                <c:pt idx="388">
                  <c:v>0.31723174858401865</c:v>
                </c:pt>
                <c:pt idx="389">
                  <c:v>0.88779130679997142</c:v>
                </c:pt>
                <c:pt idx="390">
                  <c:v>0.67446300281654803</c:v>
                </c:pt>
                <c:pt idx="391">
                  <c:v>0.60077565054310433</c:v>
                </c:pt>
                <c:pt idx="392">
                  <c:v>0.96647770430173519</c:v>
                </c:pt>
                <c:pt idx="393">
                  <c:v>4.771177349051519E-2</c:v>
                </c:pt>
                <c:pt idx="394">
                  <c:v>0.4060489469350238</c:v>
                </c:pt>
                <c:pt idx="395">
                  <c:v>0.78109893161861743</c:v>
                </c:pt>
                <c:pt idx="396">
                  <c:v>0.95734029368302864</c:v>
                </c:pt>
                <c:pt idx="397">
                  <c:v>0.42059994351238089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38-434E-A1FD-14931CF86187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ex7자동화!$O$10:$O$407</c:f>
              <c:numCache>
                <c:formatCode>General</c:formatCode>
                <c:ptCount val="398"/>
                <c:pt idx="0">
                  <c:v>6.1531927295172474E-279</c:v>
                </c:pt>
                <c:pt idx="1">
                  <c:v>3.3692228409162435E-256</c:v>
                </c:pt>
                <c:pt idx="2">
                  <c:v>1.4612420347511832E-238</c:v>
                </c:pt>
                <c:pt idx="3">
                  <c:v>3.7607081368691164E-224</c:v>
                </c:pt>
                <c:pt idx="4">
                  <c:v>5.7429681009983786E-212</c:v>
                </c:pt>
                <c:pt idx="5">
                  <c:v>2.0568939605834605E-201</c:v>
                </c:pt>
                <c:pt idx="6">
                  <c:v>4.192778609523838E-192</c:v>
                </c:pt>
                <c:pt idx="7">
                  <c:v>8.9101628628319213E-184</c:v>
                </c:pt>
                <c:pt idx="8">
                  <c:v>3.0399324708919881E-176</c:v>
                </c:pt>
                <c:pt idx="9">
                  <c:v>2.2902370940133171E-169</c:v>
                </c:pt>
                <c:pt idx="10">
                  <c:v>4.8536749808592398E-163</c:v>
                </c:pt>
                <c:pt idx="11">
                  <c:v>3.4926742903859119E-157</c:v>
                </c:pt>
                <c:pt idx="12">
                  <c:v>9.9066654577694347E-152</c:v>
                </c:pt>
                <c:pt idx="13">
                  <c:v>1.2491232163931572E-146</c:v>
                </c:pt>
                <c:pt idx="14">
                  <c:v>7.7251892749325106E-142</c:v>
                </c:pt>
                <c:pt idx="15">
                  <c:v>2.542288557514482E-137</c:v>
                </c:pt>
                <c:pt idx="16">
                  <c:v>4.7664361386891177E-133</c:v>
                </c:pt>
                <c:pt idx="17">
                  <c:v>5.3937727052822425E-129</c:v>
                </c:pt>
                <c:pt idx="18">
                  <c:v>3.8701261918893246E-125</c:v>
                </c:pt>
                <c:pt idx="19">
                  <c:v>1.8369864287282922E-121</c:v>
                </c:pt>
                <c:pt idx="20">
                  <c:v>5.9840152369849217E-118</c:v>
                </c:pt>
                <c:pt idx="21">
                  <c:v>1.381352074754483E-114</c:v>
                </c:pt>
                <c:pt idx="22">
                  <c:v>2.324098740182476E-111</c:v>
                </c:pt>
                <c:pt idx="23">
                  <c:v>2.9215884165945225E-108</c:v>
                </c:pt>
                <c:pt idx="24">
                  <c:v>2.8051294691891766E-105</c:v>
                </c:pt>
                <c:pt idx="25">
                  <c:v>2.0978207600999404E-102</c:v>
                </c:pt>
                <c:pt idx="26">
                  <c:v>1.2436010838035076E-99</c:v>
                </c:pt>
                <c:pt idx="27">
                  <c:v>5.9365181446160948E-97</c:v>
                </c:pt>
                <c:pt idx="28">
                  <c:v>2.3146643140162836E-94</c:v>
                </c:pt>
                <c:pt idx="29">
                  <c:v>7.4667143976908274E-92</c:v>
                </c:pt>
                <c:pt idx="30">
                  <c:v>2.01614057418397E-89</c:v>
                </c:pt>
                <c:pt idx="31">
                  <c:v>4.6054540664190513E-87</c:v>
                </c:pt>
                <c:pt idx="32">
                  <c:v>8.9865691671520732E-85</c:v>
                </c:pt>
                <c:pt idx="33">
                  <c:v>1.5112582292707398E-82</c:v>
                </c:pt>
                <c:pt idx="34">
                  <c:v>2.2082245596056258E-80</c:v>
                </c:pt>
                <c:pt idx="35">
                  <c:v>2.8246259617013489E-78</c:v>
                </c:pt>
                <c:pt idx="36">
                  <c:v>3.184867915472818E-76</c:v>
                </c:pt>
                <c:pt idx="37">
                  <c:v>3.1857099929353886E-74</c:v>
                </c:pt>
                <c:pt idx="38">
                  <c:v>2.8436190272493832E-72</c:v>
                </c:pt>
                <c:pt idx="39">
                  <c:v>2.277546436622602E-70</c:v>
                </c:pt>
                <c:pt idx="40">
                  <c:v>1.6451509471341435E-68</c:v>
                </c:pt>
                <c:pt idx="41">
                  <c:v>1.0768275653355847E-66</c:v>
                </c:pt>
                <c:pt idx="42">
                  <c:v>6.415176480315506E-65</c:v>
                </c:pt>
                <c:pt idx="43">
                  <c:v>3.4929014622743796E-63</c:v>
                </c:pt>
                <c:pt idx="44">
                  <c:v>1.7448440094049031E-61</c:v>
                </c:pt>
                <c:pt idx="45">
                  <c:v>8.0258391314391003E-60</c:v>
                </c:pt>
                <c:pt idx="46">
                  <c:v>3.4108403013739368E-58</c:v>
                </c:pt>
                <c:pt idx="47">
                  <c:v>1.3435482896811258E-56</c:v>
                </c:pt>
                <c:pt idx="48">
                  <c:v>4.9200262567856388E-55</c:v>
                </c:pt>
                <c:pt idx="49">
                  <c:v>1.6796890488371066E-53</c:v>
                </c:pt>
                <c:pt idx="50">
                  <c:v>5.3603400698853927E-52</c:v>
                </c:pt>
                <c:pt idx="51">
                  <c:v>1.6030505632215163E-50</c:v>
                </c:pt>
                <c:pt idx="52">
                  <c:v>4.5032131158238389E-49</c:v>
                </c:pt>
                <c:pt idx="53">
                  <c:v>1.1909430564673468E-47</c:v>
                </c:pt>
                <c:pt idx="54">
                  <c:v>2.9714832290178083E-46</c:v>
                </c:pt>
                <c:pt idx="55">
                  <c:v>7.0087612286156124E-45</c:v>
                </c:pt>
                <c:pt idx="56">
                  <c:v>1.5657464390120472E-43</c:v>
                </c:pt>
                <c:pt idx="57">
                  <c:v>3.3189280693823915E-42</c:v>
                </c:pt>
                <c:pt idx="58">
                  <c:v>6.6867458908721875E-41</c:v>
                </c:pt>
                <c:pt idx="59">
                  <c:v>1.2825652399500858E-39</c:v>
                </c:pt>
                <c:pt idx="60">
                  <c:v>2.3456537538207521E-38</c:v>
                </c:pt>
                <c:pt idx="61">
                  <c:v>4.0964473177677827E-37</c:v>
                </c:pt>
                <c:pt idx="62">
                  <c:v>6.8409766218439602E-36</c:v>
                </c:pt>
                <c:pt idx="63">
                  <c:v>1.0938935576751437E-34</c:v>
                </c:pt>
                <c:pt idx="64">
                  <c:v>1.6769862714425275E-33</c:v>
                </c:pt>
                <c:pt idx="65">
                  <c:v>2.46777982404936E-32</c:v>
                </c:pt>
                <c:pt idx="66">
                  <c:v>3.4898418061892887E-31</c:v>
                </c:pt>
                <c:pt idx="67">
                  <c:v>4.747922373583753E-30</c:v>
                </c:pt>
                <c:pt idx="68">
                  <c:v>6.2209006570763719E-29</c:v>
                </c:pt>
                <c:pt idx="69">
                  <c:v>7.8575286289954692E-28</c:v>
                </c:pt>
                <c:pt idx="70">
                  <c:v>9.5766084665014304E-27</c:v>
                </c:pt>
                <c:pt idx="71">
                  <c:v>1.1272490378730139E-25</c:v>
                </c:pt>
                <c:pt idx="72">
                  <c:v>1.2825652504860143E-24</c:v>
                </c:pt>
                <c:pt idx="73">
                  <c:v>1.4116907894642367E-23</c:v>
                </c:pt>
                <c:pt idx="74">
                  <c:v>1.5042821432472842E-22</c:v>
                </c:pt>
                <c:pt idx="75">
                  <c:v>1.5529502550100417E-21</c:v>
                </c:pt>
                <c:pt idx="76">
                  <c:v>1.5542202667028892E-20</c:v>
                </c:pt>
                <c:pt idx="77">
                  <c:v>1.5089022529727074E-19</c:v>
                </c:pt>
                <c:pt idx="78">
                  <c:v>1.4218280219682767E-18</c:v>
                </c:pt>
                <c:pt idx="79">
                  <c:v>1.3010369286974789E-17</c:v>
                </c:pt>
                <c:pt idx="80">
                  <c:v>1.1565928465310886E-16</c:v>
                </c:pt>
                <c:pt idx="81">
                  <c:v>9.9926395759148742E-16</c:v>
                </c:pt>
                <c:pt idx="82">
                  <c:v>8.3929151933819003E-15</c:v>
                </c:pt>
                <c:pt idx="83">
                  <c:v>6.8542279763561534E-14</c:v>
                </c:pt>
                <c:pt idx="84">
                  <c:v>5.4430622908929496E-13</c:v>
                </c:pt>
                <c:pt idx="85">
                  <c:v>4.2026559762279624E-12</c:v>
                </c:pt>
                <c:pt idx="86">
                  <c:v>3.1540294266449904E-11</c:v>
                </c:pt>
                <c:pt idx="87">
                  <c:v>2.2993787943687216E-10</c:v>
                </c:pt>
                <c:pt idx="88">
                  <c:v>1.6267642050690827E-9</c:v>
                </c:pt>
                <c:pt idx="89">
                  <c:v>1.1151087347412115E-8</c:v>
                </c:pt>
                <c:pt idx="90">
                  <c:v>7.3875759815184739E-8</c:v>
                </c:pt>
                <c:pt idx="91">
                  <c:v>4.7114024026594298E-7</c:v>
                </c:pt>
                <c:pt idx="92">
                  <c:v>2.873577006550154E-6</c:v>
                </c:pt>
                <c:pt idx="93">
                  <c:v>1.6573960038477669E-5</c:v>
                </c:pt>
                <c:pt idx="94">
                  <c:v>8.856454128972554E-5</c:v>
                </c:pt>
                <c:pt idx="95">
                  <c:v>4.2200916870187803E-4</c:v>
                </c:pt>
                <c:pt idx="96">
                  <c:v>1.6786546523576472E-3</c:v>
                </c:pt>
                <c:pt idx="97">
                  <c:v>5.1276344537074204E-3</c:v>
                </c:pt>
                <c:pt idx="98">
                  <c:v>1.1532592814337278E-2</c:v>
                </c:pt>
                <c:pt idx="99">
                  <c:v>2.0001313244270735E-2</c:v>
                </c:pt>
                <c:pt idx="100">
                  <c:v>2.920412173389313E-2</c:v>
                </c:pt>
                <c:pt idx="101">
                  <c:v>3.847503253338596E-2</c:v>
                </c:pt>
                <c:pt idx="102">
                  <c:v>4.762116344106198E-2</c:v>
                </c:pt>
                <c:pt idx="103">
                  <c:v>5.6604078097392388E-2</c:v>
                </c:pt>
                <c:pt idx="104">
                  <c:v>6.5420600965659909E-2</c:v>
                </c:pt>
                <c:pt idx="105">
                  <c:v>7.4074078875431354E-2</c:v>
                </c:pt>
                <c:pt idx="106">
                  <c:v>8.2568807835362218E-2</c:v>
                </c:pt>
                <c:pt idx="107">
                  <c:v>9.0909090947527013E-2</c:v>
                </c:pt>
                <c:pt idx="108">
                  <c:v>9.9099099099647758E-2</c:v>
                </c:pt>
                <c:pt idx="109">
                  <c:v>0.10714285714224943</c:v>
                </c:pt>
                <c:pt idx="110">
                  <c:v>0.11504424778743683</c:v>
                </c:pt>
                <c:pt idx="111">
                  <c:v>0.12280701754382489</c:v>
                </c:pt>
                <c:pt idx="112">
                  <c:v>0.13043478260868965</c:v>
                </c:pt>
                <c:pt idx="113">
                  <c:v>0.13793103448275768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0.49494949494949486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0.64788732394366044</c:v>
                </c:pt>
                <c:pt idx="282">
                  <c:v>0.64912280701753078</c:v>
                </c:pt>
                <c:pt idx="283">
                  <c:v>0.65034965034954517</c:v>
                </c:pt>
                <c:pt idx="284">
                  <c:v>0.65156794425004139</c:v>
                </c:pt>
                <c:pt idx="285">
                  <c:v>0.65277777777139634</c:v>
                </c:pt>
                <c:pt idx="286">
                  <c:v>0.65397923870647723</c:v>
                </c:pt>
                <c:pt idx="287">
                  <c:v>0.65517241344331401</c:v>
                </c:pt>
                <c:pt idx="288">
                  <c:v>0.65635738582292702</c:v>
                </c:pt>
                <c:pt idx="289">
                  <c:v>0.65753422925200811</c:v>
                </c:pt>
                <c:pt idx="290">
                  <c:v>0.65870295440812709</c:v>
                </c:pt>
                <c:pt idx="291">
                  <c:v>0.65986317315844223</c:v>
                </c:pt>
                <c:pt idx="292">
                  <c:v>0.6610120092137558</c:v>
                </c:pt>
                <c:pt idx="293">
                  <c:v>0.66213162104667822</c:v>
                </c:pt>
                <c:pt idx="294">
                  <c:v>0.66311876895579169</c:v>
                </c:pt>
                <c:pt idx="295">
                  <c:v>0.66342499307697411</c:v>
                </c:pt>
                <c:pt idx="296">
                  <c:v>0.66064844769917752</c:v>
                </c:pt>
                <c:pt idx="297">
                  <c:v>0.64940221462898573</c:v>
                </c:pt>
                <c:pt idx="298">
                  <c:v>0.63251298735639017</c:v>
                </c:pt>
                <c:pt idx="299">
                  <c:v>0.61861124739294893</c:v>
                </c:pt>
                <c:pt idx="300">
                  <c:v>0.60763909430028284</c:v>
                </c:pt>
                <c:pt idx="301">
                  <c:v>0.59835608230664994</c:v>
                </c:pt>
                <c:pt idx="302">
                  <c:v>0.59016393446399407</c:v>
                </c:pt>
                <c:pt idx="303">
                  <c:v>0.58275187791406413</c:v>
                </c:pt>
                <c:pt idx="304">
                  <c:v>0.57593481338709274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0.53800722095111919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0.50566224260315651</c:v>
                </c:pt>
                <c:pt idx="320">
                  <c:v>0.50211192981944031</c:v>
                </c:pt>
                <c:pt idx="321">
                  <c:v>0.49864789860594438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0.48556180264141469</c:v>
                </c:pt>
                <c:pt idx="326">
                  <c:v>0.48246317512678061</c:v>
                </c:pt>
                <c:pt idx="327">
                  <c:v>0.4794270198242338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0.47066575784956083</c:v>
                </c:pt>
                <c:pt idx="331">
                  <c:v>0.83154831903066118</c:v>
                </c:pt>
                <c:pt idx="332">
                  <c:v>0.83341735342168732</c:v>
                </c:pt>
                <c:pt idx="333">
                  <c:v>0.83524356861149807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0.84048265365202157</c:v>
                </c:pt>
                <c:pt idx="337">
                  <c:v>0.84215439943293935</c:v>
                </c:pt>
                <c:pt idx="338">
                  <c:v>0.84379121561744141</c:v>
                </c:pt>
                <c:pt idx="339">
                  <c:v>0.84539441282141592</c:v>
                </c:pt>
                <c:pt idx="340">
                  <c:v>0.8469653624351815</c:v>
                </c:pt>
                <c:pt idx="341">
                  <c:v>0.84841238399649999</c:v>
                </c:pt>
                <c:pt idx="342">
                  <c:v>0.84585198173210985</c:v>
                </c:pt>
                <c:pt idx="343">
                  <c:v>0.83895176172071528</c:v>
                </c:pt>
                <c:pt idx="344">
                  <c:v>0.83479261717842967</c:v>
                </c:pt>
                <c:pt idx="345">
                  <c:v>0.83168011870681902</c:v>
                </c:pt>
                <c:pt idx="346">
                  <c:v>0.82912742744239809</c:v>
                </c:pt>
                <c:pt idx="347">
                  <c:v>0.8749972636024641</c:v>
                </c:pt>
                <c:pt idx="348">
                  <c:v>0.8773418214627654</c:v>
                </c:pt>
                <c:pt idx="349">
                  <c:v>0.87948664842579549</c:v>
                </c:pt>
                <c:pt idx="350">
                  <c:v>0.88147162040340521</c:v>
                </c:pt>
                <c:pt idx="351">
                  <c:v>0.8833412184630326</c:v>
                </c:pt>
                <c:pt idx="352">
                  <c:v>0.88737089698677174</c:v>
                </c:pt>
                <c:pt idx="353">
                  <c:v>0.88989191659295519</c:v>
                </c:pt>
                <c:pt idx="354">
                  <c:v>0.89030925052450216</c:v>
                </c:pt>
                <c:pt idx="355">
                  <c:v>0.88491275874792263</c:v>
                </c:pt>
                <c:pt idx="356">
                  <c:v>0.87812055519972365</c:v>
                </c:pt>
                <c:pt idx="357">
                  <c:v>0.86833470708459315</c:v>
                </c:pt>
                <c:pt idx="358">
                  <c:v>0.8636879082729727</c:v>
                </c:pt>
                <c:pt idx="359">
                  <c:v>0.904725986433909</c:v>
                </c:pt>
                <c:pt idx="360">
                  <c:v>0.90737633219573066</c:v>
                </c:pt>
                <c:pt idx="361">
                  <c:v>0.90297071399605533</c:v>
                </c:pt>
                <c:pt idx="362">
                  <c:v>0.8574917218841881</c:v>
                </c:pt>
                <c:pt idx="363">
                  <c:v>0.7456836145896063</c:v>
                </c:pt>
                <c:pt idx="364">
                  <c:v>0.87226109560131626</c:v>
                </c:pt>
                <c:pt idx="365">
                  <c:v>0.48205009989968078</c:v>
                </c:pt>
                <c:pt idx="366">
                  <c:v>0.78452651951222663</c:v>
                </c:pt>
                <c:pt idx="367">
                  <c:v>0.72247673795071754</c:v>
                </c:pt>
                <c:pt idx="368">
                  <c:v>0.38373001788581756</c:v>
                </c:pt>
                <c:pt idx="369">
                  <c:v>0.9251932817323093</c:v>
                </c:pt>
                <c:pt idx="370">
                  <c:v>0.78081731615138283</c:v>
                </c:pt>
                <c:pt idx="371">
                  <c:v>0.8425383118514993</c:v>
                </c:pt>
                <c:pt idx="372">
                  <c:v>0.62950695023700987</c:v>
                </c:pt>
                <c:pt idx="373">
                  <c:v>0.70657077601408891</c:v>
                </c:pt>
                <c:pt idx="374">
                  <c:v>0.85292765011115013</c:v>
                </c:pt>
                <c:pt idx="375">
                  <c:v>0.90903414886835021</c:v>
                </c:pt>
                <c:pt idx="376">
                  <c:v>0.84691806845530182</c:v>
                </c:pt>
                <c:pt idx="377">
                  <c:v>0.6491262278890062</c:v>
                </c:pt>
                <c:pt idx="378">
                  <c:v>0.19179052677556246</c:v>
                </c:pt>
                <c:pt idx="379">
                  <c:v>0.71085606304513305</c:v>
                </c:pt>
                <c:pt idx="380">
                  <c:v>0.15614931568360532</c:v>
                </c:pt>
                <c:pt idx="381">
                  <c:v>0.48800024090196908</c:v>
                </c:pt>
                <c:pt idx="382">
                  <c:v>0.96241601326821724</c:v>
                </c:pt>
                <c:pt idx="383">
                  <c:v>0.31675568498968332</c:v>
                </c:pt>
                <c:pt idx="384">
                  <c:v>0.20912469967545225</c:v>
                </c:pt>
                <c:pt idx="385">
                  <c:v>0.49685727691066822</c:v>
                </c:pt>
                <c:pt idx="386">
                  <c:v>0.3519715694488697</c:v>
                </c:pt>
                <c:pt idx="387">
                  <c:v>0.7939203772883664</c:v>
                </c:pt>
                <c:pt idx="388">
                  <c:v>0.84688944613268757</c:v>
                </c:pt>
                <c:pt idx="389">
                  <c:v>0.3905021772918521</c:v>
                </c:pt>
                <c:pt idx="390">
                  <c:v>0.86288125634755641</c:v>
                </c:pt>
                <c:pt idx="391">
                  <c:v>0.94498641693499952</c:v>
                </c:pt>
                <c:pt idx="392">
                  <c:v>0.12797427798806252</c:v>
                </c:pt>
                <c:pt idx="393">
                  <c:v>0.17992402623718368</c:v>
                </c:pt>
                <c:pt idx="394">
                  <c:v>0.95745760252308876</c:v>
                </c:pt>
                <c:pt idx="395">
                  <c:v>0.68051389475862989</c:v>
                </c:pt>
                <c:pt idx="396">
                  <c:v>0.16295102453794524</c:v>
                </c:pt>
                <c:pt idx="397">
                  <c:v>0.97478252411905164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38-434E-A1FD-14931CF86187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ex7자동화!$P$10:$P$407</c:f>
              <c:numCache>
                <c:formatCode>General</c:formatCode>
                <c:ptCount val="398"/>
                <c:pt idx="0">
                  <c:v>1.8459578188551743E-280</c:v>
                </c:pt>
                <c:pt idx="1">
                  <c:v>1.3476891363664974E-257</c:v>
                </c:pt>
                <c:pt idx="2">
                  <c:v>7.3062101737559165E-240</c:v>
                </c:pt>
                <c:pt idx="3">
                  <c:v>2.2564248821214697E-225</c:v>
                </c:pt>
                <c:pt idx="4">
                  <c:v>4.0200776706988657E-213</c:v>
                </c:pt>
                <c:pt idx="5">
                  <c:v>1.6455151684667686E-202</c:v>
                </c:pt>
                <c:pt idx="6">
                  <c:v>3.7735007485714542E-193</c:v>
                </c:pt>
                <c:pt idx="7">
                  <c:v>8.910162862831922E-185</c:v>
                </c:pt>
                <c:pt idx="8">
                  <c:v>3.3439257179811867E-177</c:v>
                </c:pt>
                <c:pt idx="9">
                  <c:v>2.7482845128159805E-170</c:v>
                </c:pt>
                <c:pt idx="10">
                  <c:v>6.3097774751170119E-164</c:v>
                </c:pt>
                <c:pt idx="11">
                  <c:v>4.889744006540277E-158</c:v>
                </c:pt>
                <c:pt idx="12">
                  <c:v>1.4859998186654151E-152</c:v>
                </c:pt>
                <c:pt idx="13">
                  <c:v>1.9985971462290516E-147</c:v>
                </c:pt>
                <c:pt idx="14">
                  <c:v>1.313282176738527E-142</c:v>
                </c:pt>
                <c:pt idx="15">
                  <c:v>4.5761194035260673E-138</c:v>
                </c:pt>
                <c:pt idx="16">
                  <c:v>9.0562286635093242E-134</c:v>
                </c:pt>
                <c:pt idx="17">
                  <c:v>1.0787545410564486E-129</c:v>
                </c:pt>
                <c:pt idx="18">
                  <c:v>8.127265002967582E-126</c:v>
                </c:pt>
                <c:pt idx="19">
                  <c:v>4.0413701432022428E-122</c:v>
                </c:pt>
                <c:pt idx="20">
                  <c:v>1.3763235045065321E-118</c:v>
                </c:pt>
                <c:pt idx="21">
                  <c:v>3.315244979410759E-115</c:v>
                </c:pt>
                <c:pt idx="22">
                  <c:v>5.81024685045619E-112</c:v>
                </c:pt>
                <c:pt idx="23">
                  <c:v>7.5961298831457589E-109</c:v>
                </c:pt>
                <c:pt idx="24">
                  <c:v>7.5738495668107773E-106</c:v>
                </c:pt>
                <c:pt idx="25">
                  <c:v>5.873898128279834E-103</c:v>
                </c:pt>
                <c:pt idx="26">
                  <c:v>3.6064431430301715E-100</c:v>
                </c:pt>
                <c:pt idx="27">
                  <c:v>1.7809554433848284E-97</c:v>
                </c:pt>
                <c:pt idx="28">
                  <c:v>7.1754593734504794E-95</c:v>
                </c:pt>
                <c:pt idx="29">
                  <c:v>2.3893486072610648E-92</c:v>
                </c:pt>
                <c:pt idx="30">
                  <c:v>6.6532638948071015E-90</c:v>
                </c:pt>
                <c:pt idx="31">
                  <c:v>1.5658543825824776E-87</c:v>
                </c:pt>
                <c:pt idx="32">
                  <c:v>3.1452992085032255E-85</c:v>
                </c:pt>
                <c:pt idx="33">
                  <c:v>5.4405296253746634E-83</c:v>
                </c:pt>
                <c:pt idx="34">
                  <c:v>8.1704308705408148E-81</c:v>
                </c:pt>
                <c:pt idx="35">
                  <c:v>1.0733578654465126E-78</c:v>
                </c:pt>
                <c:pt idx="36">
                  <c:v>1.242098487034399E-76</c:v>
                </c:pt>
                <c:pt idx="37">
                  <c:v>1.2742839971741554E-74</c:v>
                </c:pt>
                <c:pt idx="38">
                  <c:v>1.1658838011722471E-72</c:v>
                </c:pt>
                <c:pt idx="39">
                  <c:v>9.5656950338149275E-71</c:v>
                </c:pt>
                <c:pt idx="40">
                  <c:v>7.0741490726768167E-69</c:v>
                </c:pt>
                <c:pt idx="41">
                  <c:v>4.7380412874765725E-67</c:v>
                </c:pt>
                <c:pt idx="42">
                  <c:v>2.8868294161419777E-65</c:v>
                </c:pt>
                <c:pt idx="43">
                  <c:v>1.6067346726462145E-63</c:v>
                </c:pt>
                <c:pt idx="44">
                  <c:v>8.2007668442030441E-62</c:v>
                </c:pt>
                <c:pt idx="45">
                  <c:v>3.8524027830907678E-60</c:v>
                </c:pt>
                <c:pt idx="46">
                  <c:v>1.6713117476732289E-58</c:v>
                </c:pt>
                <c:pt idx="47">
                  <c:v>6.7177414484056291E-57</c:v>
                </c:pt>
                <c:pt idx="48">
                  <c:v>2.5092133909606759E-55</c:v>
                </c:pt>
                <c:pt idx="49">
                  <c:v>8.7343830539529551E-54</c:v>
                </c:pt>
                <c:pt idx="50">
                  <c:v>2.8409802370392584E-52</c:v>
                </c:pt>
                <c:pt idx="51">
                  <c:v>8.6564730413961889E-51</c:v>
                </c:pt>
                <c:pt idx="52">
                  <c:v>2.4767672137031116E-49</c:v>
                </c:pt>
                <c:pt idx="53">
                  <c:v>6.6692811162171425E-48</c:v>
                </c:pt>
                <c:pt idx="54">
                  <c:v>1.6937454405401506E-46</c:v>
                </c:pt>
                <c:pt idx="55">
                  <c:v>4.0650815125970547E-45</c:v>
                </c:pt>
                <c:pt idx="56">
                  <c:v>9.2379039901710774E-44</c:v>
                </c:pt>
                <c:pt idx="57">
                  <c:v>1.991356841629435E-42</c:v>
                </c:pt>
                <c:pt idx="58">
                  <c:v>4.0789149934320341E-41</c:v>
                </c:pt>
                <c:pt idx="59">
                  <c:v>7.9519044876905316E-40</c:v>
                </c:pt>
                <c:pt idx="60">
                  <c:v>1.4777618649070739E-38</c:v>
                </c:pt>
                <c:pt idx="61">
                  <c:v>2.621726283371381E-37</c:v>
                </c:pt>
                <c:pt idx="62">
                  <c:v>4.4466348041985741E-36</c:v>
                </c:pt>
                <c:pt idx="63">
                  <c:v>7.2196974806559489E-35</c:v>
                </c:pt>
                <c:pt idx="64">
                  <c:v>1.1235808018664935E-33</c:v>
                </c:pt>
                <c:pt idx="65">
                  <c:v>1.678090280353565E-32</c:v>
                </c:pt>
                <c:pt idx="66">
                  <c:v>2.4079908462706088E-31</c:v>
                </c:pt>
                <c:pt idx="67">
                  <c:v>3.323545661508627E-30</c:v>
                </c:pt>
                <c:pt idx="68">
                  <c:v>4.4168394665242241E-29</c:v>
                </c:pt>
                <c:pt idx="69">
                  <c:v>5.6574206128767375E-28</c:v>
                </c:pt>
                <c:pt idx="70">
                  <c:v>6.9909241805460434E-27</c:v>
                </c:pt>
                <c:pt idx="71">
                  <c:v>8.3416428802603028E-26</c:v>
                </c:pt>
                <c:pt idx="72">
                  <c:v>9.6192393786451069E-25</c:v>
                </c:pt>
                <c:pt idx="73">
                  <c:v>1.0728849999928199E-23</c:v>
                </c:pt>
                <c:pt idx="74">
                  <c:v>1.1582972503004089E-22</c:v>
                </c:pt>
                <c:pt idx="75">
                  <c:v>1.2113011989078326E-21</c:v>
                </c:pt>
                <c:pt idx="76">
                  <c:v>1.2278340106952826E-20</c:v>
                </c:pt>
                <c:pt idx="77">
                  <c:v>1.2071218023781659E-19</c:v>
                </c:pt>
                <c:pt idx="78">
                  <c:v>1.1516806977943042E-18</c:v>
                </c:pt>
                <c:pt idx="79">
                  <c:v>1.0668502815319327E-17</c:v>
                </c:pt>
                <c:pt idx="80">
                  <c:v>9.5997206262080337E-17</c:v>
                </c:pt>
                <c:pt idx="81">
                  <c:v>8.3938172437684853E-16</c:v>
                </c:pt>
                <c:pt idx="82">
                  <c:v>7.1339779143745544E-15</c:v>
                </c:pt>
                <c:pt idx="83">
                  <c:v>5.8946360596658874E-14</c:v>
                </c:pt>
                <c:pt idx="84">
                  <c:v>4.7354641930742885E-13</c:v>
                </c:pt>
                <c:pt idx="85">
                  <c:v>3.6983372590650641E-12</c:v>
                </c:pt>
                <c:pt idx="86">
                  <c:v>2.8070861896255049E-11</c:v>
                </c:pt>
                <c:pt idx="87">
                  <c:v>2.0694409144560067E-10</c:v>
                </c:pt>
                <c:pt idx="88">
                  <c:v>1.4803554242046762E-9</c:v>
                </c:pt>
                <c:pt idx="89">
                  <c:v>1.0259000245220137E-8</c:v>
                </c:pt>
                <c:pt idx="90">
                  <c:v>6.8704451552527876E-8</c:v>
                </c:pt>
                <c:pt idx="91">
                  <c:v>4.4287161719524796E-7</c:v>
                </c:pt>
                <c:pt idx="92">
                  <c:v>2.7298903116500741E-6</c:v>
                </c:pt>
                <c:pt idx="93">
                  <c:v>1.5910737928633257E-5</c:v>
                </c:pt>
                <c:pt idx="94">
                  <c:v>8.5899996683399128E-5</c:v>
                </c:pt>
                <c:pt idx="95">
                  <c:v>4.1339445542414141E-4</c:v>
                </c:pt>
                <c:pt idx="96">
                  <c:v>1.6590784032066075E-3</c:v>
                </c:pt>
                <c:pt idx="97">
                  <c:v>5.1013418186165727E-3</c:v>
                </c:pt>
                <c:pt idx="98">
                  <c:v>1.1513588038489134E-2</c:v>
                </c:pt>
                <c:pt idx="99">
                  <c:v>1.9993285927030802E-2</c:v>
                </c:pt>
                <c:pt idx="100">
                  <c:v>2.9201778237874437E-2</c:v>
                </c:pt>
                <c:pt idx="101">
                  <c:v>3.8474492581138491E-2</c:v>
                </c:pt>
                <c:pt idx="102">
                  <c:v>4.7621057645260728E-2</c:v>
                </c:pt>
                <c:pt idx="103">
                  <c:v>5.6604059826544893E-2</c:v>
                </c:pt>
                <c:pt idx="104">
                  <c:v>6.5420598150398426E-2</c:v>
                </c:pt>
                <c:pt idx="105">
                  <c:v>7.4074078491322748E-2</c:v>
                </c:pt>
                <c:pt idx="106">
                  <c:v>8.2568807790730087E-2</c:v>
                </c:pt>
                <c:pt idx="107">
                  <c:v>9.0909090943683421E-2</c:v>
                </c:pt>
                <c:pt idx="108">
                  <c:v>9.9099099099587418E-2</c:v>
                </c:pt>
                <c:pt idx="109">
                  <c:v>0.10714285714232236</c:v>
                </c:pt>
                <c:pt idx="110">
                  <c:v>0.11504424778745942</c:v>
                </c:pt>
                <c:pt idx="111">
                  <c:v>0.12280701754382975</c:v>
                </c:pt>
                <c:pt idx="112">
                  <c:v>0.13043478260869054</c:v>
                </c:pt>
                <c:pt idx="113">
                  <c:v>0.13793103448275781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0.49494949494949503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0.64788732394366322</c:v>
                </c:pt>
                <c:pt idx="282">
                  <c:v>0.64912280701755498</c:v>
                </c:pt>
                <c:pt idx="283">
                  <c:v>0.65034965034974068</c:v>
                </c:pt>
                <c:pt idx="284">
                  <c:v>0.65156794425159292</c:v>
                </c:pt>
                <c:pt idx="285">
                  <c:v>0.65277777778339341</c:v>
                </c:pt>
                <c:pt idx="286">
                  <c:v>0.65397923879691</c:v>
                </c:pt>
                <c:pt idx="287">
                  <c:v>0.65517241410791394</c:v>
                </c:pt>
                <c:pt idx="288">
                  <c:v>0.65635739058498521</c:v>
                </c:pt>
                <c:pt idx="289">
                  <c:v>0.65753426251280922</c:v>
                </c:pt>
                <c:pt idx="290">
                  <c:v>0.65870318072804657</c:v>
                </c:pt>
                <c:pt idx="291">
                  <c:v>0.65986467165107887</c:v>
                </c:pt>
                <c:pt idx="292">
                  <c:v>0.66102164202240077</c:v>
                </c:pt>
                <c:pt idx="293">
                  <c:v>0.66219147887205798</c:v>
                </c:pt>
                <c:pt idx="294">
                  <c:v>0.66347503362661087</c:v>
                </c:pt>
                <c:pt idx="295">
                  <c:v>0.66541096948061706</c:v>
                </c:pt>
                <c:pt idx="296">
                  <c:v>0.67033430799301552</c:v>
                </c:pt>
                <c:pt idx="297">
                  <c:v>0.68303693479186345</c:v>
                </c:pt>
                <c:pt idx="298">
                  <c:v>0.69964532762747433</c:v>
                </c:pt>
                <c:pt idx="299">
                  <c:v>0.71251274341550375</c:v>
                </c:pt>
                <c:pt idx="300">
                  <c:v>0.72239389089599082</c:v>
                </c:pt>
                <c:pt idx="301">
                  <c:v>0.73059128646279403</c:v>
                </c:pt>
                <c:pt idx="302">
                  <c:v>0.73770491801201643</c:v>
                </c:pt>
                <c:pt idx="303">
                  <c:v>0.74404550770718925</c:v>
                </c:pt>
                <c:pt idx="304">
                  <c:v>0.74979808563571293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0.78046411662849857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0.80489676360802376</c:v>
                </c:pt>
                <c:pt idx="320">
                  <c:v>0.80748559340037396</c:v>
                </c:pt>
                <c:pt idx="321">
                  <c:v>0.80999407670269741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0.81931624613907328</c:v>
                </c:pt>
                <c:pt idx="326">
                  <c:v>0.82148819265437434</c:v>
                </c:pt>
                <c:pt idx="327">
                  <c:v>0.82360328320606868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0.82963454245073986</c:v>
                </c:pt>
                <c:pt idx="331">
                  <c:v>0.46785287857412933</c:v>
                </c:pt>
                <c:pt idx="332">
                  <c:v>0.46509010926488015</c:v>
                </c:pt>
                <c:pt idx="333">
                  <c:v>0.46237547900754933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0.45450259708544283</c:v>
                </c:pt>
                <c:pt idx="337">
                  <c:v>0.45196324762552759</c:v>
                </c:pt>
                <c:pt idx="338">
                  <c:v>0.44946391621920129</c:v>
                </c:pt>
                <c:pt idx="339">
                  <c:v>0.44700323260378266</c:v>
                </c:pt>
                <c:pt idx="340">
                  <c:v>0.44457957783686536</c:v>
                </c:pt>
                <c:pt idx="341">
                  <c:v>0.44241430873189147</c:v>
                </c:pt>
                <c:pt idx="342">
                  <c:v>0.44983310322530468</c:v>
                </c:pt>
                <c:pt idx="343">
                  <c:v>0.46748649316342517</c:v>
                </c:pt>
                <c:pt idx="344">
                  <c:v>0.47856124508537656</c:v>
                </c:pt>
                <c:pt idx="345">
                  <c:v>0.48715928001411396</c:v>
                </c:pt>
                <c:pt idx="346">
                  <c:v>0.49444622640296998</c:v>
                </c:pt>
                <c:pt idx="347">
                  <c:v>0.38281968301732416</c:v>
                </c:pt>
                <c:pt idx="348">
                  <c:v>0.37772215571082024</c:v>
                </c:pt>
                <c:pt idx="349">
                  <c:v>0.37308439050627956</c:v>
                </c:pt>
                <c:pt idx="350">
                  <c:v>0.36881229197860516</c:v>
                </c:pt>
                <c:pt idx="351">
                  <c:v>0.36479526620456243</c:v>
                </c:pt>
                <c:pt idx="352">
                  <c:v>0.35480044799520677</c:v>
                </c:pt>
                <c:pt idx="353">
                  <c:v>0.34882408441668056</c:v>
                </c:pt>
                <c:pt idx="354">
                  <c:v>0.34864151956935502</c:v>
                </c:pt>
                <c:pt idx="355">
                  <c:v>0.36459496198796737</c:v>
                </c:pt>
                <c:pt idx="356">
                  <c:v>0.38421919619027534</c:v>
                </c:pt>
                <c:pt idx="357">
                  <c:v>0.41158635680486511</c:v>
                </c:pt>
                <c:pt idx="358">
                  <c:v>0.42500929040746754</c:v>
                </c:pt>
                <c:pt idx="359">
                  <c:v>0.31203269077645951</c:v>
                </c:pt>
                <c:pt idx="360">
                  <c:v>0.30508162199931588</c:v>
                </c:pt>
                <c:pt idx="361">
                  <c:v>0.31891715732789411</c:v>
                </c:pt>
                <c:pt idx="362">
                  <c:v>0.44602879106261584</c:v>
                </c:pt>
                <c:pt idx="363">
                  <c:v>0.69408079517120003</c:v>
                </c:pt>
                <c:pt idx="364">
                  <c:v>0.40891755349526721</c:v>
                </c:pt>
                <c:pt idx="365">
                  <c:v>0.91881430799790986</c:v>
                </c:pt>
                <c:pt idx="366">
                  <c:v>0.62377479427181393</c:v>
                </c:pt>
                <c:pt idx="367">
                  <c:v>0.74186517396198881</c:v>
                </c:pt>
                <c:pt idx="368">
                  <c:v>0.87734559057151207</c:v>
                </c:pt>
                <c:pt idx="369">
                  <c:v>0.25746370419131764</c:v>
                </c:pt>
                <c:pt idx="370">
                  <c:v>0.63835829836176294</c:v>
                </c:pt>
                <c:pt idx="371">
                  <c:v>0.49617646837807955</c:v>
                </c:pt>
                <c:pt idx="372">
                  <c:v>0.87460481190115746</c:v>
                </c:pt>
                <c:pt idx="373">
                  <c:v>0.77955521450848353</c:v>
                </c:pt>
                <c:pt idx="374">
                  <c:v>0.47291661817707142</c:v>
                </c:pt>
                <c:pt idx="375">
                  <c:v>0.3125722259250775</c:v>
                </c:pt>
                <c:pt idx="376">
                  <c:v>0.49136536582332913</c:v>
                </c:pt>
                <c:pt idx="377">
                  <c:v>0.86549319899126542</c:v>
                </c:pt>
                <c:pt idx="378">
                  <c:v>0.59057636754206322</c:v>
                </c:pt>
                <c:pt idx="379">
                  <c:v>0.78516173298654823</c:v>
                </c:pt>
                <c:pt idx="380">
                  <c:v>0.50466648740841336</c:v>
                </c:pt>
                <c:pt idx="381">
                  <c:v>0.9594470622013026</c:v>
                </c:pt>
                <c:pt idx="382">
                  <c:v>0.13926000809154257</c:v>
                </c:pt>
                <c:pt idx="383">
                  <c:v>0.83538707112330324</c:v>
                </c:pt>
                <c:pt idx="384">
                  <c:v>0.64006533588847303</c:v>
                </c:pt>
                <c:pt idx="385">
                  <c:v>0.96996167837134495</c:v>
                </c:pt>
                <c:pt idx="386">
                  <c:v>0.88726070078193431</c:v>
                </c:pt>
                <c:pt idx="387">
                  <c:v>0.63808216607719093</c:v>
                </c:pt>
                <c:pt idx="388">
                  <c:v>0.50700075455247084</c:v>
                </c:pt>
                <c:pt idx="389">
                  <c:v>0.93300008914292609</c:v>
                </c:pt>
                <c:pt idx="390">
                  <c:v>0.46498657160106288</c:v>
                </c:pt>
                <c:pt idx="391">
                  <c:v>0.20482912964880207</c:v>
                </c:pt>
                <c:pt idx="392">
                  <c:v>0.44080760553791171</c:v>
                </c:pt>
                <c:pt idx="393">
                  <c:v>0.58430342923834822</c:v>
                </c:pt>
                <c:pt idx="394">
                  <c:v>0.16170819131849612</c:v>
                </c:pt>
                <c:pt idx="395">
                  <c:v>0.86531064052029982</c:v>
                </c:pt>
                <c:pt idx="396">
                  <c:v>0.54422797267851708</c:v>
                </c:pt>
                <c:pt idx="397">
                  <c:v>9.8326219164568587E-2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38-434E-A1FD-14931CF86187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ex7자동화!$Q$10:$Q$407</c:f>
              <c:numCache>
                <c:formatCode>General</c:formatCode>
                <c:ptCount val="398"/>
                <c:pt idx="0">
                  <c:v>5.5378734565655228E-282</c:v>
                </c:pt>
                <c:pt idx="1">
                  <c:v>5.3907565454659897E-259</c:v>
                </c:pt>
                <c:pt idx="2">
                  <c:v>3.6531050868779585E-241</c:v>
                </c:pt>
                <c:pt idx="3">
                  <c:v>1.3538549292728818E-226</c:v>
                </c:pt>
                <c:pt idx="4">
                  <c:v>2.8140543694892062E-214</c:v>
                </c:pt>
                <c:pt idx="5">
                  <c:v>1.316412134773415E-203</c:v>
                </c:pt>
                <c:pt idx="6">
                  <c:v>3.3961506737143084E-194</c:v>
                </c:pt>
                <c:pt idx="7">
                  <c:v>8.9101628628319224E-186</c:v>
                </c:pt>
                <c:pt idx="8">
                  <c:v>3.6783182897793052E-178</c:v>
                </c:pt>
                <c:pt idx="9">
                  <c:v>3.2979414153791764E-171</c:v>
                </c:pt>
                <c:pt idx="10">
                  <c:v>8.2027107176521155E-165</c:v>
                </c:pt>
                <c:pt idx="11">
                  <c:v>6.8456416091563888E-159</c:v>
                </c:pt>
                <c:pt idx="12">
                  <c:v>2.2289997279981226E-153</c:v>
                </c:pt>
                <c:pt idx="13">
                  <c:v>3.1977554339664828E-148</c:v>
                </c:pt>
                <c:pt idx="14">
                  <c:v>2.2325797004554961E-143</c:v>
                </c:pt>
                <c:pt idx="15">
                  <c:v>8.2370149263469206E-139</c:v>
                </c:pt>
                <c:pt idx="16">
                  <c:v>1.7206834460667716E-134</c:v>
                </c:pt>
                <c:pt idx="17">
                  <c:v>2.1575090821128972E-130</c:v>
                </c:pt>
                <c:pt idx="18">
                  <c:v>1.706725650623192E-126</c:v>
                </c:pt>
                <c:pt idx="19">
                  <c:v>8.8910143150449345E-123</c:v>
                </c:pt>
                <c:pt idx="20">
                  <c:v>3.1655440603650239E-119</c:v>
                </c:pt>
                <c:pt idx="21">
                  <c:v>7.9565879505858212E-116</c:v>
                </c:pt>
                <c:pt idx="22">
                  <c:v>1.4525617126140475E-112</c:v>
                </c:pt>
                <c:pt idx="23">
                  <c:v>1.9749937696178974E-109</c:v>
                </c:pt>
                <c:pt idx="24">
                  <c:v>2.0449393830389099E-106</c:v>
                </c:pt>
                <c:pt idx="25">
                  <c:v>1.6446914759183536E-103</c:v>
                </c:pt>
                <c:pt idx="26">
                  <c:v>1.0458685114787497E-100</c:v>
                </c:pt>
                <c:pt idx="27">
                  <c:v>5.342866330154485E-98</c:v>
                </c:pt>
                <c:pt idx="28">
                  <c:v>2.2243924057696485E-95</c:v>
                </c:pt>
                <c:pt idx="29">
                  <c:v>7.6459155432354075E-93</c:v>
                </c:pt>
                <c:pt idx="30">
                  <c:v>2.1955770852863435E-90</c:v>
                </c:pt>
                <c:pt idx="31">
                  <c:v>5.3239049007804244E-88</c:v>
                </c:pt>
                <c:pt idx="32">
                  <c:v>1.1008547229761289E-85</c:v>
                </c:pt>
                <c:pt idx="33">
                  <c:v>1.9585906651348787E-83</c:v>
                </c:pt>
                <c:pt idx="34">
                  <c:v>3.0230594221001014E-81</c:v>
                </c:pt>
                <c:pt idx="35">
                  <c:v>4.078759888696748E-79</c:v>
                </c:pt>
                <c:pt idx="36">
                  <c:v>4.8441840994341564E-77</c:v>
                </c:pt>
                <c:pt idx="37">
                  <c:v>5.0971359886966223E-75</c:v>
                </c:pt>
                <c:pt idx="38">
                  <c:v>4.7801235848062126E-73</c:v>
                </c:pt>
                <c:pt idx="39">
                  <c:v>4.0175919142022692E-71</c:v>
                </c:pt>
                <c:pt idx="40">
                  <c:v>3.0418841012510311E-69</c:v>
                </c:pt>
                <c:pt idx="41">
                  <c:v>2.084738166489692E-67</c:v>
                </c:pt>
                <c:pt idx="42">
                  <c:v>1.29907323726389E-65</c:v>
                </c:pt>
                <c:pt idx="43">
                  <c:v>7.3909794941725878E-64</c:v>
                </c:pt>
                <c:pt idx="44">
                  <c:v>3.8543604167754306E-62</c:v>
                </c:pt>
                <c:pt idx="45">
                  <c:v>1.8491533358835686E-60</c:v>
                </c:pt>
                <c:pt idx="46">
                  <c:v>8.1894275635988208E-59</c:v>
                </c:pt>
                <c:pt idx="47">
                  <c:v>3.3588707242028146E-57</c:v>
                </c:pt>
                <c:pt idx="48">
                  <c:v>1.2796988293899448E-55</c:v>
                </c:pt>
                <c:pt idx="49">
                  <c:v>4.5418791880555366E-54</c:v>
                </c:pt>
                <c:pt idx="50">
                  <c:v>1.5057195256308071E-52</c:v>
                </c:pt>
                <c:pt idx="51">
                  <c:v>4.6744954423539424E-51</c:v>
                </c:pt>
                <c:pt idx="52">
                  <c:v>1.3622219675367115E-49</c:v>
                </c:pt>
                <c:pt idx="53">
                  <c:v>3.7347974250816004E-48</c:v>
                </c:pt>
                <c:pt idx="54">
                  <c:v>9.6543490110788588E-47</c:v>
                </c:pt>
                <c:pt idx="55">
                  <c:v>2.3577472773062916E-45</c:v>
                </c:pt>
                <c:pt idx="56">
                  <c:v>5.4503633542009355E-44</c:v>
                </c:pt>
                <c:pt idx="57">
                  <c:v>1.1948141049776609E-42</c:v>
                </c:pt>
                <c:pt idx="58">
                  <c:v>2.4881381459935407E-41</c:v>
                </c:pt>
                <c:pt idx="59">
                  <c:v>4.9301807823681294E-40</c:v>
                </c:pt>
                <c:pt idx="60">
                  <c:v>9.3098997489145655E-39</c:v>
                </c:pt>
                <c:pt idx="61">
                  <c:v>1.6779048213576838E-37</c:v>
                </c:pt>
                <c:pt idx="62">
                  <c:v>2.8903126227290732E-36</c:v>
                </c:pt>
                <c:pt idx="63">
                  <c:v>4.7650003372329264E-35</c:v>
                </c:pt>
                <c:pt idx="64">
                  <c:v>7.5279913725055064E-34</c:v>
                </c:pt>
                <c:pt idx="65">
                  <c:v>1.1411013906404243E-32</c:v>
                </c:pt>
                <c:pt idx="66">
                  <c:v>1.66151368392672E-31</c:v>
                </c:pt>
                <c:pt idx="67">
                  <c:v>2.3264819630560387E-30</c:v>
                </c:pt>
                <c:pt idx="68">
                  <c:v>3.1359560212321992E-29</c:v>
                </c:pt>
                <c:pt idx="69">
                  <c:v>4.0733428412712511E-28</c:v>
                </c:pt>
                <c:pt idx="70">
                  <c:v>5.1033746517986119E-27</c:v>
                </c:pt>
                <c:pt idx="71">
                  <c:v>6.1728157313926238E-26</c:v>
                </c:pt>
                <c:pt idx="72">
                  <c:v>7.2144295339838297E-25</c:v>
                </c:pt>
                <c:pt idx="73">
                  <c:v>8.1539259999454318E-24</c:v>
                </c:pt>
                <c:pt idx="74">
                  <c:v>8.9188888273131492E-23</c:v>
                </c:pt>
                <c:pt idx="75">
                  <c:v>9.4481493514810942E-22</c:v>
                </c:pt>
                <c:pt idx="76">
                  <c:v>9.6998886844927332E-21</c:v>
                </c:pt>
                <c:pt idx="77">
                  <c:v>9.6569744190253275E-20</c:v>
                </c:pt>
                <c:pt idx="78">
                  <c:v>9.3286136521338645E-19</c:v>
                </c:pt>
                <c:pt idx="79">
                  <c:v>8.7481723085618468E-18</c:v>
                </c:pt>
                <c:pt idx="80">
                  <c:v>7.9677681197526667E-17</c:v>
                </c:pt>
                <c:pt idx="81">
                  <c:v>7.0508064847655211E-16</c:v>
                </c:pt>
                <c:pt idx="82">
                  <c:v>6.0638812272183274E-15</c:v>
                </c:pt>
                <c:pt idx="83">
                  <c:v>5.0693870113123639E-14</c:v>
                </c:pt>
                <c:pt idx="84">
                  <c:v>4.1198538479726803E-13</c:v>
                </c:pt>
                <c:pt idx="85">
                  <c:v>3.2545367879652198E-12</c:v>
                </c:pt>
                <c:pt idx="86">
                  <c:v>2.4983067086965695E-11</c:v>
                </c:pt>
                <c:pt idx="87">
                  <c:v>1.8624968226249733E-10</c:v>
                </c:pt>
                <c:pt idx="88">
                  <c:v>1.347123434032034E-9</c:v>
                </c:pt>
                <c:pt idx="89">
                  <c:v>9.4382801287752079E-9</c:v>
                </c:pt>
                <c:pt idx="90">
                  <c:v>6.3895135553970378E-8</c:v>
                </c:pt>
                <c:pt idx="91">
                  <c:v>4.1629913579637993E-7</c:v>
                </c:pt>
                <c:pt idx="92">
                  <c:v>2.5933887163815123E-6</c:v>
                </c:pt>
                <c:pt idx="93">
                  <c:v>1.527406538596975E-5</c:v>
                </c:pt>
                <c:pt idx="94">
                  <c:v>8.331583933774984E-5</c:v>
                </c:pt>
                <c:pt idx="95">
                  <c:v>4.0495908923939873E-4</c:v>
                </c:pt>
                <c:pt idx="96">
                  <c:v>1.6397626034380347E-3</c:v>
                </c:pt>
                <c:pt idx="97">
                  <c:v>5.0753181302662063E-3</c:v>
                </c:pt>
                <c:pt idx="98">
                  <c:v>1.1494835582258785E-2</c:v>
                </c:pt>
                <c:pt idx="99">
                  <c:v>1.9985425533768211E-2</c:v>
                </c:pt>
                <c:pt idx="100">
                  <c:v>2.9199505417189055E-2</c:v>
                </c:pt>
                <c:pt idx="101">
                  <c:v>3.8473974241832909E-2</c:v>
                </c:pt>
                <c:pt idx="102">
                  <c:v>4.7620957139707862E-2</c:v>
                </c:pt>
                <c:pt idx="103">
                  <c:v>5.6604042651959688E-2</c:v>
                </c:pt>
                <c:pt idx="104">
                  <c:v>6.5420595532205486E-2</c:v>
                </c:pt>
                <c:pt idx="105">
                  <c:v>7.4074078137942839E-2</c:v>
                </c:pt>
                <c:pt idx="106">
                  <c:v>8.2568807750114839E-2</c:v>
                </c:pt>
                <c:pt idx="107">
                  <c:v>9.0909090940224188E-2</c:v>
                </c:pt>
                <c:pt idx="108">
                  <c:v>9.9099099099533697E-2</c:v>
                </c:pt>
                <c:pt idx="109">
                  <c:v>0.10714285714238654</c:v>
                </c:pt>
                <c:pt idx="110">
                  <c:v>0.11504424778747908</c:v>
                </c:pt>
                <c:pt idx="111">
                  <c:v>0.12280701754383393</c:v>
                </c:pt>
                <c:pt idx="112">
                  <c:v>0.13043478260869129</c:v>
                </c:pt>
                <c:pt idx="113">
                  <c:v>0.13793103448275795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0.64788732394366089</c:v>
                </c:pt>
                <c:pt idx="282">
                  <c:v>0.64912280701753444</c:v>
                </c:pt>
                <c:pt idx="283">
                  <c:v>0.65034965034957271</c:v>
                </c:pt>
                <c:pt idx="284">
                  <c:v>0.65156794425024311</c:v>
                </c:pt>
                <c:pt idx="285">
                  <c:v>0.65277777777283597</c:v>
                </c:pt>
                <c:pt idx="286">
                  <c:v>0.65397923871642483</c:v>
                </c:pt>
                <c:pt idx="287">
                  <c:v>0.65517241350977395</c:v>
                </c:pt>
                <c:pt idx="288">
                  <c:v>0.6563573862515123</c:v>
                </c:pt>
                <c:pt idx="289">
                  <c:v>0.6575342319128723</c:v>
                </c:pt>
                <c:pt idx="290">
                  <c:v>0.65870297025052693</c:v>
                </c:pt>
                <c:pt idx="291">
                  <c:v>0.65986326306820464</c:v>
                </c:pt>
                <c:pt idx="292">
                  <c:v>0.66101249086120895</c:v>
                </c:pt>
                <c:pt idx="293">
                  <c:v>0.66213401557663254</c:v>
                </c:pt>
                <c:pt idx="294">
                  <c:v>0.66312946274091211</c:v>
                </c:pt>
                <c:pt idx="295">
                  <c:v>0.66346484930293748</c:v>
                </c:pt>
                <c:pt idx="296">
                  <c:v>0.66074880832641614</c:v>
                </c:pt>
                <c:pt idx="297">
                  <c:v>0.64949244150599739</c:v>
                </c:pt>
                <c:pt idx="298">
                  <c:v>0.63252664690112048</c:v>
                </c:pt>
                <c:pt idx="299">
                  <c:v>0.61861176833576914</c:v>
                </c:pt>
                <c:pt idx="300">
                  <c:v>0.60763910059519066</c:v>
                </c:pt>
                <c:pt idx="301">
                  <c:v>0.5983560821665983</c:v>
                </c:pt>
                <c:pt idx="302">
                  <c:v>0.59016393445634663</c:v>
                </c:pt>
                <c:pt idx="303">
                  <c:v>0.58275187791389704</c:v>
                </c:pt>
                <c:pt idx="304">
                  <c:v>0.57593481338709041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0.47942701982423458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0.84048265365202324</c:v>
                </c:pt>
                <c:pt idx="337">
                  <c:v>0.84215439943246639</c:v>
                </c:pt>
                <c:pt idx="338">
                  <c:v>0.84379121544510127</c:v>
                </c:pt>
                <c:pt idx="339">
                  <c:v>0.84539439184778509</c:v>
                </c:pt>
                <c:pt idx="340">
                  <c:v>0.84696501844890171</c:v>
                </c:pt>
                <c:pt idx="341">
                  <c:v>0.84859257527443888</c:v>
                </c:pt>
                <c:pt idx="342">
                  <c:v>0.85381732451458991</c:v>
                </c:pt>
                <c:pt idx="343">
                  <c:v>0.8613423366812305</c:v>
                </c:pt>
                <c:pt idx="344">
                  <c:v>0.86590511786335622</c:v>
                </c:pt>
                <c:pt idx="345">
                  <c:v>0.86942620336764931</c:v>
                </c:pt>
                <c:pt idx="346">
                  <c:v>0.87239235303992702</c:v>
                </c:pt>
                <c:pt idx="347">
                  <c:v>0.8269407065914387</c:v>
                </c:pt>
                <c:pt idx="348">
                  <c:v>0.82501893207392873</c:v>
                </c:pt>
                <c:pt idx="349">
                  <c:v>0.8233013467952679</c:v>
                </c:pt>
                <c:pt idx="350">
                  <c:v>0.82174794198224899</c:v>
                </c:pt>
                <c:pt idx="351">
                  <c:v>0.82028766705593925</c:v>
                </c:pt>
                <c:pt idx="352">
                  <c:v>0.81265566984650617</c:v>
                </c:pt>
                <c:pt idx="353">
                  <c:v>0.80863919946926055</c:v>
                </c:pt>
                <c:pt idx="354">
                  <c:v>0.81071347913416203</c:v>
                </c:pt>
                <c:pt idx="355">
                  <c:v>0.82936240293783681</c:v>
                </c:pt>
                <c:pt idx="356">
                  <c:v>0.84937535163433475</c:v>
                </c:pt>
                <c:pt idx="357">
                  <c:v>0.87185889970906816</c:v>
                </c:pt>
                <c:pt idx="358">
                  <c:v>0.88219878044405853</c:v>
                </c:pt>
                <c:pt idx="359">
                  <c:v>0.77709921220100819</c:v>
                </c:pt>
                <c:pt idx="360">
                  <c:v>0.76958477808082415</c:v>
                </c:pt>
                <c:pt idx="361">
                  <c:v>0.79064077488683315</c:v>
                </c:pt>
                <c:pt idx="362">
                  <c:v>0.90186794641130574</c:v>
                </c:pt>
                <c:pt idx="363">
                  <c:v>0.77713748050131581</c:v>
                </c:pt>
                <c:pt idx="364">
                  <c:v>0.88705363573507501</c:v>
                </c:pt>
                <c:pt idx="365">
                  <c:v>0.27450803753173342</c:v>
                </c:pt>
                <c:pt idx="366">
                  <c:v>0.86596846311795972</c:v>
                </c:pt>
                <c:pt idx="367">
                  <c:v>0.7085545792100465</c:v>
                </c:pt>
                <c:pt idx="368">
                  <c:v>0.39923423257483848</c:v>
                </c:pt>
                <c:pt idx="369">
                  <c:v>0.7111752602013004</c:v>
                </c:pt>
                <c:pt idx="370">
                  <c:v>0.86109654015365156</c:v>
                </c:pt>
                <c:pt idx="371">
                  <c:v>0.93494532346620118</c:v>
                </c:pt>
                <c:pt idx="372">
                  <c:v>0.41126713087686911</c:v>
                </c:pt>
                <c:pt idx="373">
                  <c:v>0.64615179647459531</c:v>
                </c:pt>
                <c:pt idx="374">
                  <c:v>0.93973466891745616</c:v>
                </c:pt>
                <c:pt idx="375">
                  <c:v>0.81221173553010884</c:v>
                </c:pt>
                <c:pt idx="376">
                  <c:v>0.94721742932108688</c:v>
                </c:pt>
                <c:pt idx="377">
                  <c:v>0.44237594166629879</c:v>
                </c:pt>
                <c:pt idx="378">
                  <c:v>0.92124246145939226</c:v>
                </c:pt>
                <c:pt idx="379">
                  <c:v>0.64436824267321469</c:v>
                </c:pt>
                <c:pt idx="380">
                  <c:v>0.95741659751887309</c:v>
                </c:pt>
                <c:pt idx="381">
                  <c:v>0.14940824461283472</c:v>
                </c:pt>
                <c:pt idx="382">
                  <c:v>0.46148663421586134</c:v>
                </c:pt>
                <c:pt idx="383">
                  <c:v>0.53080987834006277</c:v>
                </c:pt>
                <c:pt idx="384">
                  <c:v>0.89157718551107856</c:v>
                </c:pt>
                <c:pt idx="385">
                  <c:v>0.11304776094606749</c:v>
                </c:pt>
                <c:pt idx="386">
                  <c:v>0.38911339206025325</c:v>
                </c:pt>
                <c:pt idx="387">
                  <c:v>0.9006399301045811</c:v>
                </c:pt>
                <c:pt idx="388">
                  <c:v>0.97730836869357163</c:v>
                </c:pt>
                <c:pt idx="389">
                  <c:v>0.24504281738469477</c:v>
                </c:pt>
                <c:pt idx="390">
                  <c:v>0.97768205513878748</c:v>
                </c:pt>
                <c:pt idx="391">
                  <c:v>0.64172417974669826</c:v>
                </c:pt>
                <c:pt idx="392">
                  <c:v>0.97366022872948588</c:v>
                </c:pt>
                <c:pt idx="393">
                  <c:v>0.96185601000187304</c:v>
                </c:pt>
                <c:pt idx="394">
                  <c:v>0.53816784915061722</c:v>
                </c:pt>
                <c:pt idx="395">
                  <c:v>0.46386158097214009</c:v>
                </c:pt>
                <c:pt idx="396">
                  <c:v>0.98969510686666584</c:v>
                </c:pt>
                <c:pt idx="397">
                  <c:v>0.35463269515747925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38-434E-A1FD-14931CF86187}"/>
            </c:ext>
          </c:extLst>
        </c:ser>
        <c:ser>
          <c:idx val="5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ex7자동화!$R$10:$R$407</c:f>
              <c:numCache>
                <c:formatCode>General</c:formatCode>
                <c:ptCount val="398"/>
                <c:pt idx="0">
                  <c:v>1.6613620369696567E-283</c:v>
                </c:pt>
                <c:pt idx="1">
                  <c:v>2.1563026181863958E-260</c:v>
                </c:pt>
                <c:pt idx="2">
                  <c:v>1.8265525434389793E-242</c:v>
                </c:pt>
                <c:pt idx="3">
                  <c:v>8.1231295756372901E-228</c:v>
                </c:pt>
                <c:pt idx="4">
                  <c:v>1.9698380586424445E-215</c:v>
                </c:pt>
                <c:pt idx="5">
                  <c:v>1.0531297078187321E-204</c:v>
                </c:pt>
                <c:pt idx="6">
                  <c:v>3.0565356063428774E-195</c:v>
                </c:pt>
                <c:pt idx="7">
                  <c:v>8.910162862831923E-187</c:v>
                </c:pt>
                <c:pt idx="8">
                  <c:v>4.0461501187572358E-179</c:v>
                </c:pt>
                <c:pt idx="9">
                  <c:v>3.9575296984550115E-172</c:v>
                </c:pt>
                <c:pt idx="10">
                  <c:v>1.0663523932947751E-165</c:v>
                </c:pt>
                <c:pt idx="11">
                  <c:v>9.5838982528189447E-160</c:v>
                </c:pt>
                <c:pt idx="12">
                  <c:v>3.3434995919971835E-154</c:v>
                </c:pt>
                <c:pt idx="13">
                  <c:v>5.1164086943463727E-149</c:v>
                </c:pt>
                <c:pt idx="14">
                  <c:v>3.7953854907743435E-144</c:v>
                </c:pt>
                <c:pt idx="15">
                  <c:v>1.4826626867424457E-139</c:v>
                </c:pt>
                <c:pt idx="16">
                  <c:v>3.2692985475268661E-135</c:v>
                </c:pt>
                <c:pt idx="17">
                  <c:v>4.3150181642257946E-131</c:v>
                </c:pt>
                <c:pt idx="18">
                  <c:v>3.584123866308703E-127</c:v>
                </c:pt>
                <c:pt idx="19">
                  <c:v>1.9560231493098857E-123</c:v>
                </c:pt>
                <c:pt idx="20">
                  <c:v>7.2807513388395549E-120</c:v>
                </c:pt>
                <c:pt idx="21">
                  <c:v>1.909581108140597E-116</c:v>
                </c:pt>
                <c:pt idx="22">
                  <c:v>3.6314042815351188E-113</c:v>
                </c:pt>
                <c:pt idx="23">
                  <c:v>5.1349838010065333E-110</c:v>
                </c:pt>
                <c:pt idx="24">
                  <c:v>5.5213363342050574E-107</c:v>
                </c:pt>
                <c:pt idx="25">
                  <c:v>4.6051361325713906E-104</c:v>
                </c:pt>
                <c:pt idx="26">
                  <c:v>3.0330186832883737E-101</c:v>
                </c:pt>
                <c:pt idx="27">
                  <c:v>1.6028598990463454E-98</c:v>
                </c:pt>
                <c:pt idx="28">
                  <c:v>6.8956164578859102E-96</c:v>
                </c:pt>
                <c:pt idx="29">
                  <c:v>2.4466929738353306E-93</c:v>
                </c:pt>
                <c:pt idx="30">
                  <c:v>7.2454043814449334E-91</c:v>
                </c:pt>
                <c:pt idx="31">
                  <c:v>1.8101276662653445E-88</c:v>
                </c:pt>
                <c:pt idx="32">
                  <c:v>3.8529915304164511E-86</c:v>
                </c:pt>
                <c:pt idx="33">
                  <c:v>7.0509263944855627E-84</c:v>
                </c:pt>
                <c:pt idx="34">
                  <c:v>1.1185319861770374E-81</c:v>
                </c:pt>
                <c:pt idx="35">
                  <c:v>1.5499287577047641E-79</c:v>
                </c:pt>
                <c:pt idx="36">
                  <c:v>1.8892317987793209E-77</c:v>
                </c:pt>
                <c:pt idx="37">
                  <c:v>2.0388543954786489E-75</c:v>
                </c:pt>
                <c:pt idx="38">
                  <c:v>1.9598506697705469E-73</c:v>
                </c:pt>
                <c:pt idx="39">
                  <c:v>1.6873886039649531E-71</c:v>
                </c:pt>
                <c:pt idx="40">
                  <c:v>1.3080101635379433E-69</c:v>
                </c:pt>
                <c:pt idx="41">
                  <c:v>9.1728479325546451E-68</c:v>
                </c:pt>
                <c:pt idx="42">
                  <c:v>5.8458295676875048E-66</c:v>
                </c:pt>
                <c:pt idx="43">
                  <c:v>3.3998505673193905E-64</c:v>
                </c:pt>
                <c:pt idx="44">
                  <c:v>1.8115493958844523E-62</c:v>
                </c:pt>
                <c:pt idx="45">
                  <c:v>8.8759360122411291E-61</c:v>
                </c:pt>
                <c:pt idx="46">
                  <c:v>4.0128195061634218E-59</c:v>
                </c:pt>
                <c:pt idx="47">
                  <c:v>1.6794353621014073E-57</c:v>
                </c:pt>
                <c:pt idx="48">
                  <c:v>6.526464029888719E-56</c:v>
                </c:pt>
                <c:pt idx="49">
                  <c:v>2.3617771777888791E-54</c:v>
                </c:pt>
                <c:pt idx="50">
                  <c:v>7.9803134858432775E-53</c:v>
                </c:pt>
                <c:pt idx="51">
                  <c:v>2.5242275388711291E-51</c:v>
                </c:pt>
                <c:pt idx="52">
                  <c:v>7.4922208214519142E-50</c:v>
                </c:pt>
                <c:pt idx="53">
                  <c:v>2.0914865580456964E-48</c:v>
                </c:pt>
                <c:pt idx="54">
                  <c:v>5.5029789363149488E-47</c:v>
                </c:pt>
                <c:pt idx="55">
                  <c:v>1.367493420837649E-45</c:v>
                </c:pt>
                <c:pt idx="56">
                  <c:v>3.2157143789785516E-44</c:v>
                </c:pt>
                <c:pt idx="57">
                  <c:v>7.1688846298659648E-43</c:v>
                </c:pt>
                <c:pt idx="58">
                  <c:v>1.5177642690560597E-41</c:v>
                </c:pt>
                <c:pt idx="59">
                  <c:v>3.0567120850682404E-40</c:v>
                </c:pt>
                <c:pt idx="60">
                  <c:v>5.8652368418161764E-39</c:v>
                </c:pt>
                <c:pt idx="61">
                  <c:v>1.0738590856689177E-37</c:v>
                </c:pt>
                <c:pt idx="62">
                  <c:v>1.8787032047738978E-36</c:v>
                </c:pt>
                <c:pt idx="63">
                  <c:v>3.1449002225737316E-35</c:v>
                </c:pt>
                <c:pt idx="64">
                  <c:v>5.0437542195786894E-34</c:v>
                </c:pt>
                <c:pt idx="65">
                  <c:v>7.7594894563548862E-33</c:v>
                </c:pt>
                <c:pt idx="66">
                  <c:v>1.1464444419094366E-31</c:v>
                </c:pt>
                <c:pt idx="67">
                  <c:v>1.6285373741392272E-30</c:v>
                </c:pt>
                <c:pt idx="68">
                  <c:v>2.2265287750748612E-29</c:v>
                </c:pt>
                <c:pt idx="69">
                  <c:v>2.9328068457153005E-28</c:v>
                </c:pt>
                <c:pt idx="70">
                  <c:v>3.7254634958129868E-27</c:v>
                </c:pt>
                <c:pt idx="71">
                  <c:v>4.5678836412305418E-26</c:v>
                </c:pt>
                <c:pt idx="72">
                  <c:v>5.4108221504878727E-25</c:v>
                </c:pt>
                <c:pt idx="73">
                  <c:v>6.1969837599585282E-24</c:v>
                </c:pt>
                <c:pt idx="74">
                  <c:v>6.8675443970311251E-23</c:v>
                </c:pt>
                <c:pt idx="75">
                  <c:v>7.3695564941552535E-22</c:v>
                </c:pt>
                <c:pt idx="76">
                  <c:v>7.6629120607492597E-21</c:v>
                </c:pt>
                <c:pt idx="77">
                  <c:v>7.7255795352202629E-20</c:v>
                </c:pt>
                <c:pt idx="78">
                  <c:v>7.5561770582284305E-19</c:v>
                </c:pt>
                <c:pt idx="79">
                  <c:v>7.1735012930207137E-18</c:v>
                </c:pt>
                <c:pt idx="80">
                  <c:v>6.6132475393947115E-17</c:v>
                </c:pt>
                <c:pt idx="81">
                  <c:v>5.9226774472030332E-16</c:v>
                </c:pt>
                <c:pt idx="82">
                  <c:v>5.1542990431355465E-15</c:v>
                </c:pt>
                <c:pt idx="83">
                  <c:v>4.3596728297284113E-14</c:v>
                </c:pt>
                <c:pt idx="84">
                  <c:v>3.5842728477347549E-13</c:v>
                </c:pt>
                <c:pt idx="85">
                  <c:v>2.8639923734000727E-12</c:v>
                </c:pt>
                <c:pt idx="86">
                  <c:v>2.2234929706843972E-11</c:v>
                </c:pt>
                <c:pt idx="87">
                  <c:v>1.6762471400502756E-10</c:v>
                </c:pt>
                <c:pt idx="88">
                  <c:v>1.2258823233177361E-9</c:v>
                </c:pt>
                <c:pt idx="89">
                  <c:v>8.6832176365185506E-9</c:v>
                </c:pt>
                <c:pt idx="90">
                  <c:v>5.9422472268385294E-8</c:v>
                </c:pt>
                <c:pt idx="91">
                  <c:v>3.9132102474192489E-7</c:v>
                </c:pt>
                <c:pt idx="92">
                  <c:v>2.463712891180654E-6</c:v>
                </c:pt>
                <c:pt idx="93">
                  <c:v>1.4662878805340483E-5</c:v>
                </c:pt>
                <c:pt idx="94">
                  <c:v>8.0809630874405334E-5</c:v>
                </c:pt>
                <c:pt idx="95">
                  <c:v>3.9669919542793228E-4</c:v>
                </c:pt>
                <c:pt idx="96">
                  <c:v>1.6207030442219768E-3</c:v>
                </c:pt>
                <c:pt idx="97">
                  <c:v>5.0495592761427973E-3</c:v>
                </c:pt>
                <c:pt idx="98">
                  <c:v>1.1476331380567579E-2</c:v>
                </c:pt>
                <c:pt idx="99">
                  <c:v>1.9977728466002466E-2</c:v>
                </c:pt>
                <c:pt idx="100">
                  <c:v>2.9197301129598022E-2</c:v>
                </c:pt>
                <c:pt idx="101">
                  <c:v>3.8473476649786557E-2</c:v>
                </c:pt>
                <c:pt idx="102">
                  <c:v>4.7620861659846275E-2</c:v>
                </c:pt>
                <c:pt idx="103">
                  <c:v>5.6604026507859707E-2</c:v>
                </c:pt>
                <c:pt idx="104">
                  <c:v>6.5420593097286261E-2</c:v>
                </c:pt>
                <c:pt idx="105">
                  <c:v>7.4074077812833317E-2</c:v>
                </c:pt>
                <c:pt idx="106">
                  <c:v>8.256880771315496E-2</c:v>
                </c:pt>
                <c:pt idx="107">
                  <c:v>9.0909090937110873E-2</c:v>
                </c:pt>
                <c:pt idx="108">
                  <c:v>9.9099099099485888E-2</c:v>
                </c:pt>
                <c:pt idx="109">
                  <c:v>0.10714285714244301</c:v>
                </c:pt>
                <c:pt idx="110">
                  <c:v>0.11504424778749617</c:v>
                </c:pt>
                <c:pt idx="111">
                  <c:v>0.12280701754383752</c:v>
                </c:pt>
                <c:pt idx="112">
                  <c:v>0.13043478260869193</c:v>
                </c:pt>
                <c:pt idx="113">
                  <c:v>0.13793103448275806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0.49494949494949497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0.64788732394366277</c:v>
                </c:pt>
                <c:pt idx="282">
                  <c:v>0.64912280701755187</c:v>
                </c:pt>
                <c:pt idx="283">
                  <c:v>0.65034965034971703</c:v>
                </c:pt>
                <c:pt idx="284">
                  <c:v>0.6515679442514174</c:v>
                </c:pt>
                <c:pt idx="285">
                  <c:v>0.65277777778212653</c:v>
                </c:pt>
                <c:pt idx="286">
                  <c:v>0.65397923878805664</c:v>
                </c:pt>
                <c:pt idx="287">
                  <c:v>0.6551724140481</c:v>
                </c:pt>
                <c:pt idx="288">
                  <c:v>0.65635739019497263</c:v>
                </c:pt>
                <c:pt idx="289">
                  <c:v>0.6575342600648143</c:v>
                </c:pt>
                <c:pt idx="290">
                  <c:v>0.65870316599462497</c:v>
                </c:pt>
                <c:pt idx="291">
                  <c:v>0.65986458713628682</c:v>
                </c:pt>
                <c:pt idx="292">
                  <c:v>0.66102118447067393</c:v>
                </c:pt>
                <c:pt idx="293">
                  <c:v>0.6621891805392689</c:v>
                </c:pt>
                <c:pt idx="294">
                  <c:v>0.66346467180600832</c:v>
                </c:pt>
                <c:pt idx="295">
                  <c:v>0.66537214426625646</c:v>
                </c:pt>
                <c:pt idx="296">
                  <c:v>0.67023786365869509</c:v>
                </c:pt>
                <c:pt idx="297">
                  <c:v>0.68295602979772785</c:v>
                </c:pt>
                <c:pt idx="298">
                  <c:v>0.69963443046204865</c:v>
                </c:pt>
                <c:pt idx="299">
                  <c:v>0.71251237020503078</c:v>
                </c:pt>
                <c:pt idx="300">
                  <c:v>0.72239388678986705</c:v>
                </c:pt>
                <c:pt idx="301">
                  <c:v>0.73059128654654559</c:v>
                </c:pt>
                <c:pt idx="302">
                  <c:v>0.7377049180162224</c:v>
                </c:pt>
                <c:pt idx="303">
                  <c:v>0.74404550770727385</c:v>
                </c:pt>
                <c:pt idx="304">
                  <c:v>0.74979808563571404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0.78046411662849868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0.80489676360802365</c:v>
                </c:pt>
                <c:pt idx="320">
                  <c:v>0.80748559340037396</c:v>
                </c:pt>
                <c:pt idx="321">
                  <c:v>0.80999407670269752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0.81931624613907317</c:v>
                </c:pt>
                <c:pt idx="326">
                  <c:v>0.82148819265437434</c:v>
                </c:pt>
                <c:pt idx="327">
                  <c:v>0.8236032832060689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0.82963454245073964</c:v>
                </c:pt>
                <c:pt idx="331">
                  <c:v>0.46785287857412933</c:v>
                </c:pt>
                <c:pt idx="332">
                  <c:v>0.46509010926487909</c:v>
                </c:pt>
                <c:pt idx="333">
                  <c:v>0.46237547900755038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0.454502597085439</c:v>
                </c:pt>
                <c:pt idx="337">
                  <c:v>0.45196324762662798</c:v>
                </c:pt>
                <c:pt idx="338">
                  <c:v>0.44946391662327972</c:v>
                </c:pt>
                <c:pt idx="339">
                  <c:v>0.44700328215393748</c:v>
                </c:pt>
                <c:pt idx="340">
                  <c:v>0.4445803965865438</c:v>
                </c:pt>
                <c:pt idx="341">
                  <c:v>0.44198226463455925</c:v>
                </c:pt>
                <c:pt idx="342">
                  <c:v>0.43060588801301397</c:v>
                </c:pt>
                <c:pt idx="343">
                  <c:v>0.41323373639724897</c:v>
                </c:pt>
                <c:pt idx="344">
                  <c:v>0.40291365318326977</c:v>
                </c:pt>
                <c:pt idx="345">
                  <c:v>0.39506449532346744</c:v>
                </c:pt>
                <c:pt idx="346">
                  <c:v>0.38852053453687846</c:v>
                </c:pt>
                <c:pt idx="347">
                  <c:v>0.50088421030721786</c:v>
                </c:pt>
                <c:pt idx="348">
                  <c:v>0.50671305521526533</c:v>
                </c:pt>
                <c:pt idx="349">
                  <c:v>0.51207636184448801</c:v>
                </c:pt>
                <c:pt idx="350">
                  <c:v>0.51706826426056129</c:v>
                </c:pt>
                <c:pt idx="351">
                  <c:v>0.52185196857479788</c:v>
                </c:pt>
                <c:pt idx="352">
                  <c:v>0.5404748340005554</c:v>
                </c:pt>
                <c:pt idx="353">
                  <c:v>0.55088096660146746</c:v>
                </c:pt>
                <c:pt idx="354">
                  <c:v>0.54784196796711038</c:v>
                </c:pt>
                <c:pt idx="355">
                  <c:v>0.50664305896103023</c:v>
                </c:pt>
                <c:pt idx="356">
                  <c:v>0.45929334057668197</c:v>
                </c:pt>
                <c:pt idx="357">
                  <c:v>0.40219545134578027</c:v>
                </c:pt>
                <c:pt idx="358">
                  <c:v>0.37516597293973836</c:v>
                </c:pt>
                <c:pt idx="359">
                  <c:v>0.62704201628324197</c:v>
                </c:pt>
                <c:pt idx="360">
                  <c:v>0.64368629216041939</c:v>
                </c:pt>
                <c:pt idx="361">
                  <c:v>0.60252170150237949</c:v>
                </c:pt>
                <c:pt idx="362">
                  <c:v>0.32303286081213362</c:v>
                </c:pt>
                <c:pt idx="363">
                  <c:v>0.63389302985906104</c:v>
                </c:pt>
                <c:pt idx="364">
                  <c:v>0.36769540284583374</c:v>
                </c:pt>
                <c:pt idx="365">
                  <c:v>0.73288441949293226</c:v>
                </c:pt>
                <c:pt idx="366">
                  <c:v>0.42828753997135988</c:v>
                </c:pt>
                <c:pt idx="367">
                  <c:v>0.76406845371492571</c:v>
                </c:pt>
                <c:pt idx="368">
                  <c:v>0.88982962502745966</c:v>
                </c:pt>
                <c:pt idx="369">
                  <c:v>0.76410663526155664</c:v>
                </c:pt>
                <c:pt idx="370">
                  <c:v>0.44614264681020244</c:v>
                </c:pt>
                <c:pt idx="371">
                  <c:v>0.22747639532485728</c:v>
                </c:pt>
                <c:pt idx="372">
                  <c:v>0.90797429226441495</c:v>
                </c:pt>
                <c:pt idx="373">
                  <c:v>0.85968509297605422</c:v>
                </c:pt>
                <c:pt idx="374">
                  <c:v>0.21350799698924816</c:v>
                </c:pt>
                <c:pt idx="375">
                  <c:v>0.57654008570570847</c:v>
                </c:pt>
                <c:pt idx="376">
                  <c:v>0.18948700375435254</c:v>
                </c:pt>
                <c:pt idx="377">
                  <c:v>0.93738197802438594</c:v>
                </c:pt>
                <c:pt idx="378">
                  <c:v>0.27643374480843952</c:v>
                </c:pt>
                <c:pt idx="379">
                  <c:v>0.87538283613845047</c:v>
                </c:pt>
                <c:pt idx="380">
                  <c:v>0.15614931568360532</c:v>
                </c:pt>
                <c:pt idx="381">
                  <c:v>0.48800801684945683</c:v>
                </c:pt>
                <c:pt idx="382">
                  <c:v>0.95678937452551205</c:v>
                </c:pt>
                <c:pt idx="383">
                  <c:v>0.96133590039114825</c:v>
                </c:pt>
                <c:pt idx="384">
                  <c:v>0.37410248113655059</c:v>
                </c:pt>
                <c:pt idx="385">
                  <c:v>0.38903970300165525</c:v>
                </c:pt>
                <c:pt idx="386">
                  <c:v>0.92466918309870982</c:v>
                </c:pt>
                <c:pt idx="387">
                  <c:v>0.34900182098260585</c:v>
                </c:pt>
                <c:pt idx="388">
                  <c:v>8.6710979794568641E-2</c:v>
                </c:pt>
                <c:pt idx="389">
                  <c:v>0.72518759332883431</c:v>
                </c:pt>
                <c:pt idx="390">
                  <c:v>8.5752026999650705E-2</c:v>
                </c:pt>
                <c:pt idx="391">
                  <c:v>0.90586217208799469</c:v>
                </c:pt>
                <c:pt idx="392">
                  <c:v>0.10130165149372794</c:v>
                </c:pt>
                <c:pt idx="393">
                  <c:v>0.14528854305959302</c:v>
                </c:pt>
                <c:pt idx="394">
                  <c:v>0.98671656470612656</c:v>
                </c:pt>
                <c:pt idx="395">
                  <c:v>0.98980217838726403</c:v>
                </c:pt>
                <c:pt idx="396">
                  <c:v>4.0692822220270437E-2</c:v>
                </c:pt>
                <c:pt idx="397">
                  <c:v>0.91547338673128664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38-434E-A1FD-14931CF86187}"/>
            </c:ext>
          </c:extLst>
        </c:ser>
        <c:ser>
          <c:idx val="6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ex7자동화!$S$10:$S$407</c:f>
              <c:numCache>
                <c:formatCode>General</c:formatCode>
                <c:ptCount val="398"/>
                <c:pt idx="0">
                  <c:v>4.9840861109089701E-285</c:v>
                </c:pt>
                <c:pt idx="1">
                  <c:v>8.6252104727455833E-262</c:v>
                </c:pt>
                <c:pt idx="2">
                  <c:v>9.132762717194897E-244</c:v>
                </c:pt>
                <c:pt idx="3">
                  <c:v>4.8738777453823738E-229</c:v>
                </c:pt>
                <c:pt idx="4">
                  <c:v>1.3788866410497113E-216</c:v>
                </c:pt>
                <c:pt idx="5">
                  <c:v>8.4250376625498573E-206</c:v>
                </c:pt>
                <c:pt idx="6">
                  <c:v>2.7508820457085894E-196</c:v>
                </c:pt>
                <c:pt idx="7">
                  <c:v>8.9101628628319232E-188</c:v>
                </c:pt>
                <c:pt idx="8">
                  <c:v>4.4507651306329597E-180</c:v>
                </c:pt>
                <c:pt idx="9">
                  <c:v>4.7490356381460138E-173</c:v>
                </c:pt>
                <c:pt idx="10">
                  <c:v>1.3862581112832076E-166</c:v>
                </c:pt>
                <c:pt idx="11">
                  <c:v>1.3417457553946524E-160</c:v>
                </c:pt>
                <c:pt idx="12">
                  <c:v>5.0152493879957753E-155</c:v>
                </c:pt>
                <c:pt idx="13">
                  <c:v>8.1862539109541962E-150</c:v>
                </c:pt>
                <c:pt idx="14">
                  <c:v>6.4521553343163841E-145</c:v>
                </c:pt>
                <c:pt idx="15">
                  <c:v>2.6687928361364019E-140</c:v>
                </c:pt>
                <c:pt idx="16">
                  <c:v>6.2116672403010457E-136</c:v>
                </c:pt>
                <c:pt idx="17">
                  <c:v>8.6300363284515895E-132</c:v>
                </c:pt>
                <c:pt idx="18">
                  <c:v>7.5266601192482761E-128</c:v>
                </c:pt>
                <c:pt idx="19">
                  <c:v>4.3032509284817486E-124</c:v>
                </c:pt>
                <c:pt idx="20">
                  <c:v>1.6745728079330976E-120</c:v>
                </c:pt>
                <c:pt idx="21">
                  <c:v>4.5829946595374323E-117</c:v>
                </c:pt>
                <c:pt idx="22">
                  <c:v>9.0785107038377969E-114</c:v>
                </c:pt>
                <c:pt idx="23">
                  <c:v>1.3350957882616986E-110</c:v>
                </c:pt>
                <c:pt idx="24">
                  <c:v>1.4907608102353657E-107</c:v>
                </c:pt>
                <c:pt idx="25">
                  <c:v>1.2894381171199896E-104</c:v>
                </c:pt>
                <c:pt idx="26">
                  <c:v>8.7957541815362824E-102</c:v>
                </c:pt>
                <c:pt idx="27">
                  <c:v>4.8085796971390362E-99</c:v>
                </c:pt>
                <c:pt idx="28">
                  <c:v>2.1376411019446324E-96</c:v>
                </c:pt>
                <c:pt idx="29">
                  <c:v>7.8294175162730578E-94</c:v>
                </c:pt>
                <c:pt idx="30">
                  <c:v>2.3909834458768282E-91</c:v>
                </c:pt>
                <c:pt idx="31">
                  <c:v>6.1544340653021716E-89</c:v>
                </c:pt>
                <c:pt idx="32">
                  <c:v>1.3485470356457578E-86</c:v>
                </c:pt>
                <c:pt idx="33">
                  <c:v>2.5383335020148027E-84</c:v>
                </c:pt>
                <c:pt idx="34">
                  <c:v>4.1385683488550385E-82</c:v>
                </c:pt>
                <c:pt idx="35">
                  <c:v>5.8897292792781039E-80</c:v>
                </c:pt>
                <c:pt idx="36">
                  <c:v>7.3680040152393523E-78</c:v>
                </c:pt>
                <c:pt idx="37">
                  <c:v>8.1554175819145959E-76</c:v>
                </c:pt>
                <c:pt idx="38">
                  <c:v>8.0353877460592412E-74</c:v>
                </c:pt>
                <c:pt idx="39">
                  <c:v>7.0870321366528024E-72</c:v>
                </c:pt>
                <c:pt idx="40">
                  <c:v>5.6244437032131558E-70</c:v>
                </c:pt>
                <c:pt idx="41">
                  <c:v>4.0360530903240435E-68</c:v>
                </c:pt>
                <c:pt idx="42">
                  <c:v>2.6306233054593774E-66</c:v>
                </c:pt>
                <c:pt idx="43">
                  <c:v>1.5639312609669196E-64</c:v>
                </c:pt>
                <c:pt idx="44">
                  <c:v>8.514282160656926E-63</c:v>
                </c:pt>
                <c:pt idx="45">
                  <c:v>4.2604492858757415E-61</c:v>
                </c:pt>
                <c:pt idx="46">
                  <c:v>1.9662815580200765E-59</c:v>
                </c:pt>
                <c:pt idx="47">
                  <c:v>8.3971768105070364E-58</c:v>
                </c:pt>
                <c:pt idx="48">
                  <c:v>3.3284966552432465E-56</c:v>
                </c:pt>
                <c:pt idx="49">
                  <c:v>1.2281241324502172E-54</c:v>
                </c:pt>
                <c:pt idx="50">
                  <c:v>4.2295661474969373E-53</c:v>
                </c:pt>
                <c:pt idx="51">
                  <c:v>1.3630828709904098E-51</c:v>
                </c:pt>
                <c:pt idx="52">
                  <c:v>4.1207214517985532E-50</c:v>
                </c:pt>
                <c:pt idx="53">
                  <c:v>1.17123247250559E-48</c:v>
                </c:pt>
                <c:pt idx="54">
                  <c:v>3.1366979936995206E-47</c:v>
                </c:pt>
                <c:pt idx="55">
                  <c:v>7.9314618408583639E-46</c:v>
                </c:pt>
                <c:pt idx="56">
                  <c:v>1.8972714835973454E-44</c:v>
                </c:pt>
                <c:pt idx="57">
                  <c:v>4.3013307779195789E-43</c:v>
                </c:pt>
                <c:pt idx="58">
                  <c:v>9.258362041241964E-42</c:v>
                </c:pt>
                <c:pt idx="59">
                  <c:v>1.8951614927423089E-40</c:v>
                </c:pt>
                <c:pt idx="60">
                  <c:v>3.6950992103441911E-39</c:v>
                </c:pt>
                <c:pt idx="61">
                  <c:v>6.8726981482810737E-38</c:v>
                </c:pt>
                <c:pt idx="62">
                  <c:v>1.2211570831030335E-36</c:v>
                </c:pt>
                <c:pt idx="63">
                  <c:v>2.0756341468986629E-35</c:v>
                </c:pt>
                <c:pt idx="64">
                  <c:v>3.3793153271177223E-34</c:v>
                </c:pt>
                <c:pt idx="65">
                  <c:v>5.2764528303213227E-33</c:v>
                </c:pt>
                <c:pt idx="66">
                  <c:v>7.9104666491751124E-32</c:v>
                </c:pt>
                <c:pt idx="67">
                  <c:v>1.1399761618974589E-30</c:v>
                </c:pt>
                <c:pt idx="68">
                  <c:v>1.5808354303031513E-29</c:v>
                </c:pt>
                <c:pt idx="69">
                  <c:v>2.1116209289150161E-28</c:v>
                </c:pt>
                <c:pt idx="70">
                  <c:v>2.7195883519434802E-27</c:v>
                </c:pt>
                <c:pt idx="71">
                  <c:v>3.3802338945106007E-26</c:v>
                </c:pt>
                <c:pt idx="72">
                  <c:v>4.0581166128659045E-25</c:v>
                </c:pt>
                <c:pt idx="73">
                  <c:v>4.7097076575684819E-24</c:v>
                </c:pt>
                <c:pt idx="74">
                  <c:v>5.2880091857139666E-23</c:v>
                </c:pt>
                <c:pt idx="75">
                  <c:v>5.7482540654410977E-22</c:v>
                </c:pt>
                <c:pt idx="76">
                  <c:v>6.0537005279919156E-21</c:v>
                </c:pt>
                <c:pt idx="77">
                  <c:v>6.1804636281762104E-20</c:v>
                </c:pt>
                <c:pt idx="78">
                  <c:v>6.1205034171650294E-19</c:v>
                </c:pt>
                <c:pt idx="79">
                  <c:v>5.8822710602769852E-18</c:v>
                </c:pt>
                <c:pt idx="80">
                  <c:v>5.4889954576976099E-17</c:v>
                </c:pt>
                <c:pt idx="81">
                  <c:v>4.9750490556505446E-16</c:v>
                </c:pt>
                <c:pt idx="82">
                  <c:v>4.3811541866651921E-15</c:v>
                </c:pt>
                <c:pt idx="83">
                  <c:v>3.7493186335662701E-14</c:v>
                </c:pt>
                <c:pt idx="84">
                  <c:v>3.1183173775281191E-13</c:v>
                </c:pt>
                <c:pt idx="85">
                  <c:v>2.5203132885848454E-12</c:v>
                </c:pt>
                <c:pt idx="86">
                  <c:v>1.9789087438651126E-11</c:v>
                </c:pt>
                <c:pt idx="87">
                  <c:v>1.5086224257923658E-10</c:v>
                </c:pt>
                <c:pt idx="88">
                  <c:v>1.1155529128516033E-9</c:v>
                </c:pt>
                <c:pt idx="89">
                  <c:v>7.9885601562306611E-9</c:v>
                </c:pt>
                <c:pt idx="90">
                  <c:v>5.5262895925740228E-8</c:v>
                </c:pt>
                <c:pt idx="91">
                  <c:v>3.6784161931319365E-7</c:v>
                </c:pt>
                <c:pt idx="92">
                  <c:v>2.3405214802344717E-6</c:v>
                </c:pt>
                <c:pt idx="93">
                  <c:v>1.4076157253112598E-5</c:v>
                </c:pt>
                <c:pt idx="94">
                  <c:v>7.8379007657624375E-5</c:v>
                </c:pt>
                <c:pt idx="95">
                  <c:v>3.8861098867275354E-4</c:v>
                </c:pt>
                <c:pt idx="96">
                  <c:v>1.6018956022057821E-3</c:v>
                </c:pt>
                <c:pt idx="97">
                  <c:v>5.0240612272595174E-3</c:v>
                </c:pt>
                <c:pt idx="98">
                  <c:v>1.1458071450597089E-2</c:v>
                </c:pt>
                <c:pt idx="99">
                  <c:v>1.9970191207967964E-2</c:v>
                </c:pt>
                <c:pt idx="100">
                  <c:v>2.9195163298435963E-2</c:v>
                </c:pt>
                <c:pt idx="101">
                  <c:v>3.8472998974035486E-2</c:v>
                </c:pt>
                <c:pt idx="102">
                  <c:v>4.7620770954351063E-2</c:v>
                </c:pt>
                <c:pt idx="103">
                  <c:v>5.6604011332414661E-2</c:v>
                </c:pt>
                <c:pt idx="104">
                  <c:v>6.5420590832811557E-2</c:v>
                </c:pt>
                <c:pt idx="105">
                  <c:v>7.4074077513732572E-2</c:v>
                </c:pt>
                <c:pt idx="106">
                  <c:v>8.2568807679521475E-2</c:v>
                </c:pt>
                <c:pt idx="107">
                  <c:v>9.0909090934308878E-2</c:v>
                </c:pt>
                <c:pt idx="108">
                  <c:v>9.9099099099443352E-2</c:v>
                </c:pt>
                <c:pt idx="109">
                  <c:v>0.10714285714249272</c:v>
                </c:pt>
                <c:pt idx="110">
                  <c:v>0.11504424778751103</c:v>
                </c:pt>
                <c:pt idx="111">
                  <c:v>0.1228070175438406</c:v>
                </c:pt>
                <c:pt idx="112">
                  <c:v>0.13043478260869248</c:v>
                </c:pt>
                <c:pt idx="113">
                  <c:v>0.13793103448275815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0.49494949494949486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0.64788732394366122</c:v>
                </c:pt>
                <c:pt idx="282">
                  <c:v>0.64912280701753711</c:v>
                </c:pt>
                <c:pt idx="283">
                  <c:v>0.65034965034959291</c:v>
                </c:pt>
                <c:pt idx="284">
                  <c:v>0.65156794425039577</c:v>
                </c:pt>
                <c:pt idx="285">
                  <c:v>0.65277777777395085</c:v>
                </c:pt>
                <c:pt idx="286">
                  <c:v>0.6539792387243043</c:v>
                </c:pt>
                <c:pt idx="287">
                  <c:v>0.65517241356360656</c:v>
                </c:pt>
                <c:pt idx="288">
                  <c:v>0.65635738660642373</c:v>
                </c:pt>
                <c:pt idx="289">
                  <c:v>0.65753423416502788</c:v>
                </c:pt>
                <c:pt idx="290">
                  <c:v>0.65870298395261773</c:v>
                </c:pt>
                <c:pt idx="291">
                  <c:v>0.65986334251244894</c:v>
                </c:pt>
                <c:pt idx="292">
                  <c:v>0.66101292554740054</c:v>
                </c:pt>
                <c:pt idx="293">
                  <c:v>0.66213622235936131</c:v>
                </c:pt>
                <c:pt idx="294">
                  <c:v>0.66313952418192135</c:v>
                </c:pt>
                <c:pt idx="295">
                  <c:v>0.66350312062432582</c:v>
                </c:pt>
                <c:pt idx="296">
                  <c:v>0.66084701863300155</c:v>
                </c:pt>
                <c:pt idx="297">
                  <c:v>0.64958127348195882</c:v>
                </c:pt>
                <c:pt idx="298">
                  <c:v>0.6325397434640212</c:v>
                </c:pt>
                <c:pt idx="299">
                  <c:v>0.61861224737971665</c:v>
                </c:pt>
                <c:pt idx="300">
                  <c:v>0.60763910612904215</c:v>
                </c:pt>
                <c:pt idx="301">
                  <c:v>0.59835608204917901</c:v>
                </c:pt>
                <c:pt idx="302">
                  <c:v>0.59016393445024795</c:v>
                </c:pt>
                <c:pt idx="303">
                  <c:v>0.5827518779137707</c:v>
                </c:pt>
                <c:pt idx="304">
                  <c:v>0.57593481338708863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0.53800722095111919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0.50566224260315651</c:v>
                </c:pt>
                <c:pt idx="320">
                  <c:v>0.50211192981944031</c:v>
                </c:pt>
                <c:pt idx="321">
                  <c:v>0.49864789860594438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0.48556180264141469</c:v>
                </c:pt>
                <c:pt idx="326">
                  <c:v>0.48246317512678061</c:v>
                </c:pt>
                <c:pt idx="327">
                  <c:v>0.47942701982423414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0.47066575784956083</c:v>
                </c:pt>
                <c:pt idx="331">
                  <c:v>0.83154831903066118</c:v>
                </c:pt>
                <c:pt idx="332">
                  <c:v>0.83341735342168732</c:v>
                </c:pt>
                <c:pt idx="333">
                  <c:v>0.83524356861149807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0.84048265365202202</c:v>
                </c:pt>
                <c:pt idx="337">
                  <c:v>0.84215439943282566</c:v>
                </c:pt>
                <c:pt idx="338">
                  <c:v>0.84379121558436954</c:v>
                </c:pt>
                <c:pt idx="339">
                  <c:v>0.84539440980960334</c:v>
                </c:pt>
                <c:pt idx="340">
                  <c:v>0.84696532972220862</c:v>
                </c:pt>
                <c:pt idx="341">
                  <c:v>0.84842076179774595</c:v>
                </c:pt>
                <c:pt idx="342">
                  <c:v>0.84588637741430495</c:v>
                </c:pt>
                <c:pt idx="343">
                  <c:v>0.83895178963144612</c:v>
                </c:pt>
                <c:pt idx="344">
                  <c:v>0.83479261717838216</c:v>
                </c:pt>
                <c:pt idx="345">
                  <c:v>0.83168011870681935</c:v>
                </c:pt>
                <c:pt idx="346">
                  <c:v>0.82912742744239787</c:v>
                </c:pt>
                <c:pt idx="347">
                  <c:v>0.8749972636024641</c:v>
                </c:pt>
                <c:pt idx="348">
                  <c:v>0.87734182146276551</c:v>
                </c:pt>
                <c:pt idx="349">
                  <c:v>0.87948664842579549</c:v>
                </c:pt>
                <c:pt idx="350">
                  <c:v>0.8814716204736146</c:v>
                </c:pt>
                <c:pt idx="351">
                  <c:v>0.88330961980169742</c:v>
                </c:pt>
                <c:pt idx="352">
                  <c:v>0.88168434673482754</c:v>
                </c:pt>
                <c:pt idx="353">
                  <c:v>0.88078361296621321</c:v>
                </c:pt>
                <c:pt idx="354">
                  <c:v>0.88432879158069133</c:v>
                </c:pt>
                <c:pt idx="355">
                  <c:v>0.8948420137681522</c:v>
                </c:pt>
                <c:pt idx="356">
                  <c:v>0.89155125468415253</c:v>
                </c:pt>
                <c:pt idx="357">
                  <c:v>0.86556337294515973</c:v>
                </c:pt>
                <c:pt idx="358">
                  <c:v>0.84624344113338357</c:v>
                </c:pt>
                <c:pt idx="359">
                  <c:v>0.84657438047725231</c:v>
                </c:pt>
                <c:pt idx="360">
                  <c:v>0.83255592548604185</c:v>
                </c:pt>
                <c:pt idx="361">
                  <c:v>0.87174105462464757</c:v>
                </c:pt>
                <c:pt idx="362">
                  <c:v>0.79819160551396751</c:v>
                </c:pt>
                <c:pt idx="363">
                  <c:v>0.84938592299188775</c:v>
                </c:pt>
                <c:pt idx="364">
                  <c:v>0.85325846140877681</c:v>
                </c:pt>
                <c:pt idx="365">
                  <c:v>0.72041463753937907</c:v>
                </c:pt>
                <c:pt idx="366">
                  <c:v>0.90352352215280407</c:v>
                </c:pt>
                <c:pt idx="367">
                  <c:v>0.66699105148465021</c:v>
                </c:pt>
                <c:pt idx="368">
                  <c:v>0.36370192340302521</c:v>
                </c:pt>
                <c:pt idx="369">
                  <c:v>0.67052138898424707</c:v>
                </c:pt>
                <c:pt idx="370">
                  <c:v>0.9216807079425624</c:v>
                </c:pt>
                <c:pt idx="371">
                  <c:v>0.65723350950680082</c:v>
                </c:pt>
                <c:pt idx="372">
                  <c:v>0.31333866319256148</c:v>
                </c:pt>
                <c:pt idx="373">
                  <c:v>0.45355614342943512</c:v>
                </c:pt>
                <c:pt idx="374">
                  <c:v>0.63306719243504528</c:v>
                </c:pt>
                <c:pt idx="375">
                  <c:v>0.92285530575901542</c:v>
                </c:pt>
                <c:pt idx="376">
                  <c:v>0.58207456402606639</c:v>
                </c:pt>
                <c:pt idx="377">
                  <c:v>0.22304862013800716</c:v>
                </c:pt>
                <c:pt idx="378">
                  <c:v>0.76206907354595999</c:v>
                </c:pt>
                <c:pt idx="379">
                  <c:v>0.4167151145907354</c:v>
                </c:pt>
                <c:pt idx="380">
                  <c:v>0.50466648740841336</c:v>
                </c:pt>
                <c:pt idx="381">
                  <c:v>0.95944777858604957</c:v>
                </c:pt>
                <c:pt idx="382">
                  <c:v>0.15917234918427722</c:v>
                </c:pt>
                <c:pt idx="383">
                  <c:v>0.14347306185971379</c:v>
                </c:pt>
                <c:pt idx="384">
                  <c:v>0.90615978305938616</c:v>
                </c:pt>
                <c:pt idx="385">
                  <c:v>0.92222871246135185</c:v>
                </c:pt>
                <c:pt idx="386">
                  <c:v>0.27096217036320769</c:v>
                </c:pt>
                <c:pt idx="387">
                  <c:v>0.88607824474038088</c:v>
                </c:pt>
                <c:pt idx="388">
                  <c:v>0.30964144639055108</c:v>
                </c:pt>
                <c:pt idx="389">
                  <c:v>0.78121894741820874</c:v>
                </c:pt>
                <c:pt idx="390">
                  <c:v>0.30810656427985045</c:v>
                </c:pt>
                <c:pt idx="391">
                  <c:v>0.335987035235979</c:v>
                </c:pt>
                <c:pt idx="392">
                  <c:v>0.35960652624856637</c:v>
                </c:pt>
                <c:pt idx="393">
                  <c:v>0.49175193796824662</c:v>
                </c:pt>
                <c:pt idx="394">
                  <c:v>5.2034732993447644E-2</c:v>
                </c:pt>
                <c:pt idx="395">
                  <c:v>4.0173427667421317E-2</c:v>
                </c:pt>
                <c:pt idx="396">
                  <c:v>0.15575729659567941</c:v>
                </c:pt>
                <c:pt idx="397">
                  <c:v>0.3095274596721389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38-434E-A1FD-14931CF86187}"/>
            </c:ext>
          </c:extLst>
        </c:ser>
        <c:ser>
          <c:idx val="7"/>
          <c:order val="7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ex7자동화!$T$10:$T$407</c:f>
              <c:numCache>
                <c:formatCode>General</c:formatCode>
                <c:ptCount val="398"/>
                <c:pt idx="0">
                  <c:v>1.4952258332726909E-286</c:v>
                </c:pt>
                <c:pt idx="1">
                  <c:v>3.4500841890982332E-263</c:v>
                </c:pt>
                <c:pt idx="2">
                  <c:v>4.566381358597449E-245</c:v>
                </c:pt>
                <c:pt idx="3">
                  <c:v>2.9243266472294241E-230</c:v>
                </c:pt>
                <c:pt idx="4">
                  <c:v>9.6522064873479798E-218</c:v>
                </c:pt>
                <c:pt idx="5">
                  <c:v>6.7400301300398864E-207</c:v>
                </c:pt>
                <c:pt idx="6">
                  <c:v>2.4757938411377305E-197</c:v>
                </c:pt>
                <c:pt idx="7">
                  <c:v>8.9101628628319232E-189</c:v>
                </c:pt>
                <c:pt idx="8">
                  <c:v>4.8958416436962562E-181</c:v>
                </c:pt>
                <c:pt idx="9">
                  <c:v>5.698842765775216E-174</c:v>
                </c:pt>
                <c:pt idx="10">
                  <c:v>1.8021355446681701E-167</c:v>
                </c:pt>
                <c:pt idx="11">
                  <c:v>1.8784440575525136E-161</c:v>
                </c:pt>
                <c:pt idx="12">
                  <c:v>7.5228740819936626E-156</c:v>
                </c:pt>
                <c:pt idx="13">
                  <c:v>1.3098006257526713E-150</c:v>
                </c:pt>
                <c:pt idx="14">
                  <c:v>1.0968664068337853E-145</c:v>
                </c:pt>
                <c:pt idx="15">
                  <c:v>4.8038271050455231E-141</c:v>
                </c:pt>
                <c:pt idx="16">
                  <c:v>1.1802167756571986E-136</c:v>
                </c:pt>
                <c:pt idx="17">
                  <c:v>1.7260072656903181E-132</c:v>
                </c:pt>
                <c:pt idx="18">
                  <c:v>1.580598625042138E-128</c:v>
                </c:pt>
                <c:pt idx="19">
                  <c:v>9.4671520426598473E-125</c:v>
                </c:pt>
                <c:pt idx="20">
                  <c:v>3.8515174582461246E-121</c:v>
                </c:pt>
                <c:pt idx="21">
                  <c:v>1.0999187182889837E-117</c:v>
                </c:pt>
                <c:pt idx="22">
                  <c:v>2.2696276759594492E-114</c:v>
                </c:pt>
                <c:pt idx="23">
                  <c:v>3.4712490494804165E-111</c:v>
                </c:pt>
                <c:pt idx="24">
                  <c:v>4.0250541876354879E-108</c:v>
                </c:pt>
                <c:pt idx="25">
                  <c:v>3.6104267279359712E-105</c:v>
                </c:pt>
                <c:pt idx="26">
                  <c:v>2.5507687126455217E-102</c:v>
                </c:pt>
                <c:pt idx="27">
                  <c:v>1.4425739091417108E-99</c:v>
                </c:pt>
                <c:pt idx="28">
                  <c:v>6.6266874160283601E-97</c:v>
                </c:pt>
                <c:pt idx="29">
                  <c:v>2.5054136052073784E-94</c:v>
                </c:pt>
                <c:pt idx="30">
                  <c:v>7.8902453713935338E-92</c:v>
                </c:pt>
                <c:pt idx="31">
                  <c:v>2.0925075822027384E-89</c:v>
                </c:pt>
                <c:pt idx="32">
                  <c:v>4.7199146247601519E-87</c:v>
                </c:pt>
                <c:pt idx="33">
                  <c:v>9.1380006072532892E-85</c:v>
                </c:pt>
                <c:pt idx="34">
                  <c:v>1.5312702890763641E-82</c:v>
                </c:pt>
                <c:pt idx="35">
                  <c:v>2.2380971261256796E-80</c:v>
                </c:pt>
                <c:pt idx="36">
                  <c:v>2.8735215659433476E-78</c:v>
                </c:pt>
                <c:pt idx="37">
                  <c:v>3.2621670327658387E-76</c:v>
                </c:pt>
                <c:pt idx="38">
                  <c:v>3.2945089758842887E-74</c:v>
                </c:pt>
                <c:pt idx="39">
                  <c:v>2.9765534973941769E-72</c:v>
                </c:pt>
                <c:pt idx="40">
                  <c:v>2.418510792381657E-70</c:v>
                </c:pt>
                <c:pt idx="41">
                  <c:v>1.7758633597425791E-68</c:v>
                </c:pt>
                <c:pt idx="42">
                  <c:v>1.1837804874567199E-66</c:v>
                </c:pt>
                <c:pt idx="43">
                  <c:v>7.1940838004478306E-65</c:v>
                </c:pt>
                <c:pt idx="44">
                  <c:v>4.001712615508755E-63</c:v>
                </c:pt>
                <c:pt idx="45">
                  <c:v>2.0450156572203559E-61</c:v>
                </c:pt>
                <c:pt idx="46">
                  <c:v>9.6347796342983748E-60</c:v>
                </c:pt>
                <c:pt idx="47">
                  <c:v>4.1985884052535182E-58</c:v>
                </c:pt>
                <c:pt idx="48">
                  <c:v>1.6975332941740557E-56</c:v>
                </c:pt>
                <c:pt idx="49">
                  <c:v>6.3862454887411296E-55</c:v>
                </c:pt>
                <c:pt idx="50">
                  <c:v>2.2416700581733769E-53</c:v>
                </c:pt>
                <c:pt idx="51">
                  <c:v>7.360647503348214E-52</c:v>
                </c:pt>
                <c:pt idx="52">
                  <c:v>2.2663967984892047E-50</c:v>
                </c:pt>
                <c:pt idx="53">
                  <c:v>6.5589018460313043E-49</c:v>
                </c:pt>
                <c:pt idx="54">
                  <c:v>1.7879178564087265E-47</c:v>
                </c:pt>
                <c:pt idx="55">
                  <c:v>4.600247867697851E-46</c:v>
                </c:pt>
                <c:pt idx="56">
                  <c:v>1.1193901753224338E-44</c:v>
                </c:pt>
                <c:pt idx="57">
                  <c:v>2.5807984667517472E-43</c:v>
                </c:pt>
                <c:pt idx="58">
                  <c:v>5.6476008451575981E-42</c:v>
                </c:pt>
                <c:pt idx="59">
                  <c:v>1.1750001255002316E-40</c:v>
                </c:pt>
                <c:pt idx="60">
                  <c:v>2.3279125025168403E-39</c:v>
                </c:pt>
                <c:pt idx="61">
                  <c:v>4.3985268148998874E-38</c:v>
                </c:pt>
                <c:pt idx="62">
                  <c:v>7.9375210401697188E-37</c:v>
                </c:pt>
                <c:pt idx="63">
                  <c:v>1.3699185369531175E-35</c:v>
                </c:pt>
                <c:pt idx="64">
                  <c:v>2.2641412691688741E-34</c:v>
                </c:pt>
                <c:pt idx="65">
                  <c:v>3.5879879246185E-33</c:v>
                </c:pt>
                <c:pt idx="66">
                  <c:v>5.4582219879308274E-32</c:v>
                </c:pt>
                <c:pt idx="67">
                  <c:v>7.979833133282212E-31</c:v>
                </c:pt>
                <c:pt idx="68">
                  <c:v>1.1223931555152374E-29</c:v>
                </c:pt>
                <c:pt idx="69">
                  <c:v>1.5203670688188116E-28</c:v>
                </c:pt>
                <c:pt idx="70">
                  <c:v>1.9852994969187405E-27</c:v>
                </c:pt>
                <c:pt idx="71">
                  <c:v>2.5013730819378444E-26</c:v>
                </c:pt>
                <c:pt idx="72">
                  <c:v>3.0435874596494283E-25</c:v>
                </c:pt>
                <c:pt idx="73">
                  <c:v>3.5793778197520461E-24</c:v>
                </c:pt>
                <c:pt idx="74">
                  <c:v>4.0717670729997542E-23</c:v>
                </c:pt>
                <c:pt idx="75">
                  <c:v>4.4836381710440568E-22</c:v>
                </c:pt>
                <c:pt idx="76">
                  <c:v>4.7824234171136133E-21</c:v>
                </c:pt>
                <c:pt idx="77">
                  <c:v>4.9443709025409685E-20</c:v>
                </c:pt>
                <c:pt idx="78">
                  <c:v>4.9576077679036739E-19</c:v>
                </c:pt>
                <c:pt idx="79">
                  <c:v>4.8234622694271274E-18</c:v>
                </c:pt>
                <c:pt idx="80">
                  <c:v>4.5558662298890163E-17</c:v>
                </c:pt>
                <c:pt idx="81">
                  <c:v>4.1790412067464553E-16</c:v>
                </c:pt>
                <c:pt idx="82">
                  <c:v>3.7239810586653973E-15</c:v>
                </c:pt>
                <c:pt idx="83">
                  <c:v>3.2244140248668713E-14</c:v>
                </c:pt>
                <c:pt idx="84">
                  <c:v>2.7129361184486176E-13</c:v>
                </c:pt>
                <c:pt idx="85">
                  <c:v>2.2178756939490742E-12</c:v>
                </c:pt>
                <c:pt idx="86">
                  <c:v>1.7612287820050971E-11</c:v>
                </c:pt>
                <c:pt idx="87">
                  <c:v>1.3577601830082944E-10</c:v>
                </c:pt>
                <c:pt idx="88">
                  <c:v>1.015153149562502E-9</c:v>
                </c:pt>
                <c:pt idx="89">
                  <c:v>7.3494752850204832E-9</c:v>
                </c:pt>
                <c:pt idx="90">
                  <c:v>5.1394490370729884E-8</c:v>
                </c:pt>
                <c:pt idx="91">
                  <c:v>3.4577099496539258E-7</c:v>
                </c:pt>
                <c:pt idx="92">
                  <c:v>2.2234902020839886E-6</c:v>
                </c:pt>
                <c:pt idx="93">
                  <c:v>1.35129207503132E-5</c:v>
                </c:pt>
                <c:pt idx="94">
                  <c:v>7.6021678457119488E-5</c:v>
                </c:pt>
                <c:pt idx="95">
                  <c:v>3.8069077076879161E-4</c:v>
                </c:pt>
                <c:pt idx="96">
                  <c:v>1.5833362373585617E-3</c:v>
                </c:pt>
                <c:pt idx="97">
                  <c:v>4.998820036044265E-3</c:v>
                </c:pt>
                <c:pt idx="98">
                  <c:v>1.1440051889722403E-2</c:v>
                </c:pt>
                <c:pt idx="99">
                  <c:v>1.9962810324506867E-2</c:v>
                </c:pt>
                <c:pt idx="100">
                  <c:v>2.9193089910566031E-2</c:v>
                </c:pt>
                <c:pt idx="101">
                  <c:v>3.8472540416938532E-2</c:v>
                </c:pt>
                <c:pt idx="102">
                  <c:v>4.7620684784467515E-2</c:v>
                </c:pt>
                <c:pt idx="103">
                  <c:v>5.6603997067504207E-2</c:v>
                </c:pt>
                <c:pt idx="104">
                  <c:v>6.5420588726850235E-2</c:v>
                </c:pt>
                <c:pt idx="105">
                  <c:v>7.4074077238559882E-2</c:v>
                </c:pt>
                <c:pt idx="106">
                  <c:v>8.2568807648915013E-2</c:v>
                </c:pt>
                <c:pt idx="107">
                  <c:v>9.090909093178709E-2</c:v>
                </c:pt>
                <c:pt idx="108">
                  <c:v>9.9099099099405494E-2</c:v>
                </c:pt>
                <c:pt idx="109">
                  <c:v>0.10714285714253646</c:v>
                </c:pt>
                <c:pt idx="110">
                  <c:v>0.11504424778752398</c:v>
                </c:pt>
                <c:pt idx="111">
                  <c:v>0.12280701754384327</c:v>
                </c:pt>
                <c:pt idx="112">
                  <c:v>0.13043478260869296</c:v>
                </c:pt>
                <c:pt idx="113">
                  <c:v>0.13793103448275823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0.49494949494949503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0.64788732394366255</c:v>
                </c:pt>
                <c:pt idx="282">
                  <c:v>0.64912280701754965</c:v>
                </c:pt>
                <c:pt idx="283">
                  <c:v>0.65034965034969971</c:v>
                </c:pt>
                <c:pt idx="284">
                  <c:v>0.65156794425128461</c:v>
                </c:pt>
                <c:pt idx="285">
                  <c:v>0.65277777778114554</c:v>
                </c:pt>
                <c:pt idx="286">
                  <c:v>0.65397923878104391</c:v>
                </c:pt>
                <c:pt idx="287">
                  <c:v>0.65517241399965065</c:v>
                </c:pt>
                <c:pt idx="288">
                  <c:v>0.65635738987200321</c:v>
                </c:pt>
                <c:pt idx="289">
                  <c:v>0.65753425799283149</c:v>
                </c:pt>
                <c:pt idx="290">
                  <c:v>0.65870315325168804</c:v>
                </c:pt>
                <c:pt idx="291">
                  <c:v>0.65986451245899747</c:v>
                </c:pt>
                <c:pt idx="292">
                  <c:v>0.66102077152966843</c:v>
                </c:pt>
                <c:pt idx="293">
                  <c:v>0.66218706238114577</c:v>
                </c:pt>
                <c:pt idx="294">
                  <c:v>0.663454922079598</c:v>
                </c:pt>
                <c:pt idx="295">
                  <c:v>0.66533485404739934</c:v>
                </c:pt>
                <c:pt idx="296">
                  <c:v>0.67014342742465582</c:v>
                </c:pt>
                <c:pt idx="297">
                  <c:v>0.68287632787054631</c:v>
                </c:pt>
                <c:pt idx="298">
                  <c:v>0.69962398137149917</c:v>
                </c:pt>
                <c:pt idx="299">
                  <c:v>0.71251202701002936</c:v>
                </c:pt>
                <c:pt idx="300">
                  <c:v>0.72239388318017461</c:v>
                </c:pt>
                <c:pt idx="301">
                  <c:v>0.73059128661676298</c:v>
                </c:pt>
                <c:pt idx="302">
                  <c:v>0.73770491801957672</c:v>
                </c:pt>
                <c:pt idx="303">
                  <c:v>0.74404550770733791</c:v>
                </c:pt>
                <c:pt idx="304">
                  <c:v>0.74979808563571482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0.78046411662849857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0.80489676360802376</c:v>
                </c:pt>
                <c:pt idx="320">
                  <c:v>0.80748559340037396</c:v>
                </c:pt>
                <c:pt idx="321">
                  <c:v>0.80999407670269741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0.81931624613907328</c:v>
                </c:pt>
                <c:pt idx="326">
                  <c:v>0.82148819265437434</c:v>
                </c:pt>
                <c:pt idx="327">
                  <c:v>0.82360328320606901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0.82963454245073986</c:v>
                </c:pt>
                <c:pt idx="331">
                  <c:v>0.46785287857412933</c:v>
                </c:pt>
                <c:pt idx="332">
                  <c:v>0.46509010926488015</c:v>
                </c:pt>
                <c:pt idx="333">
                  <c:v>0.46237547900754933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0.45450259708544183</c:v>
                </c:pt>
                <c:pt idx="337">
                  <c:v>0.45196324762579215</c:v>
                </c:pt>
                <c:pt idx="338">
                  <c:v>0.44946391629674348</c:v>
                </c:pt>
                <c:pt idx="339">
                  <c:v>0.44700323971918315</c:v>
                </c:pt>
                <c:pt idx="340">
                  <c:v>0.44457965569970359</c:v>
                </c:pt>
                <c:pt idx="341">
                  <c:v>0.44239422625407759</c:v>
                </c:pt>
                <c:pt idx="342">
                  <c:v>0.4497510180212711</c:v>
                </c:pt>
                <c:pt idx="343">
                  <c:v>0.46748642769751403</c:v>
                </c:pt>
                <c:pt idx="344">
                  <c:v>0.47856124508548697</c:v>
                </c:pt>
                <c:pt idx="345">
                  <c:v>0.48715928001411318</c:v>
                </c:pt>
                <c:pt idx="346">
                  <c:v>0.49444622640297048</c:v>
                </c:pt>
                <c:pt idx="347">
                  <c:v>0.38281968301732416</c:v>
                </c:pt>
                <c:pt idx="348">
                  <c:v>0.37772215571081996</c:v>
                </c:pt>
                <c:pt idx="349">
                  <c:v>0.37308439050627956</c:v>
                </c:pt>
                <c:pt idx="350">
                  <c:v>0.36881229178951791</c:v>
                </c:pt>
                <c:pt idx="351">
                  <c:v>0.36488102320087273</c:v>
                </c:pt>
                <c:pt idx="352">
                  <c:v>0.3703255610745082</c:v>
                </c:pt>
                <c:pt idx="353">
                  <c:v>0.37381367074317379</c:v>
                </c:pt>
                <c:pt idx="354">
                  <c:v>0.36518022646478809</c:v>
                </c:pt>
                <c:pt idx="355">
                  <c:v>0.3368772273053669</c:v>
                </c:pt>
                <c:pt idx="356">
                  <c:v>0.34710853768940464</c:v>
                </c:pt>
                <c:pt idx="357">
                  <c:v>0.41890831329944905</c:v>
                </c:pt>
                <c:pt idx="358">
                  <c:v>0.46971688089432845</c:v>
                </c:pt>
                <c:pt idx="359">
                  <c:v>0.47018803964444766</c:v>
                </c:pt>
                <c:pt idx="360">
                  <c:v>0.50604579981956355</c:v>
                </c:pt>
                <c:pt idx="361">
                  <c:v>0.4069832614358595</c:v>
                </c:pt>
                <c:pt idx="362">
                  <c:v>0.58794844736365859</c:v>
                </c:pt>
                <c:pt idx="363">
                  <c:v>0.46822188514329044</c:v>
                </c:pt>
                <c:pt idx="364">
                  <c:v>0.45951504615619071</c:v>
                </c:pt>
                <c:pt idx="365">
                  <c:v>0.74121598621485363</c:v>
                </c:pt>
                <c:pt idx="366">
                  <c:v>0.32165275048606917</c:v>
                </c:pt>
                <c:pt idx="367">
                  <c:v>0.82182175827898829</c:v>
                </c:pt>
                <c:pt idx="368">
                  <c:v>0.85857871531223084</c:v>
                </c:pt>
                <c:pt idx="369">
                  <c:v>0.82183153594384517</c:v>
                </c:pt>
                <c:pt idx="370">
                  <c:v>0.26925146944799155</c:v>
                </c:pt>
                <c:pt idx="371">
                  <c:v>0.84253831184577366</c:v>
                </c:pt>
                <c:pt idx="372">
                  <c:v>0.80684079502972506</c:v>
                </c:pt>
                <c:pt idx="373">
                  <c:v>0.93188956038256654</c:v>
                </c:pt>
                <c:pt idx="374">
                  <c:v>0.87574507106140398</c:v>
                </c:pt>
                <c:pt idx="375">
                  <c:v>0.26911101567967938</c:v>
                </c:pt>
                <c:pt idx="376">
                  <c:v>0.921969672912339</c:v>
                </c:pt>
                <c:pt idx="377">
                  <c:v>0.6585321461316449</c:v>
                </c:pt>
                <c:pt idx="378">
                  <c:v>0.69082844063180404</c:v>
                </c:pt>
                <c:pt idx="379">
                  <c:v>0.92850305843423686</c:v>
                </c:pt>
                <c:pt idx="380">
                  <c:v>0.95741659751887309</c:v>
                </c:pt>
                <c:pt idx="381">
                  <c:v>0.14940571680900236</c:v>
                </c:pt>
                <c:pt idx="382">
                  <c:v>0.51527057289182765</c:v>
                </c:pt>
                <c:pt idx="383">
                  <c:v>0.4743497735880064</c:v>
                </c:pt>
                <c:pt idx="384">
                  <c:v>0.3290824725193397</c:v>
                </c:pt>
                <c:pt idx="385">
                  <c:v>0.27828490776812875</c:v>
                </c:pt>
                <c:pt idx="386">
                  <c:v>0.76843710639559126</c:v>
                </c:pt>
                <c:pt idx="387">
                  <c:v>0.39367999685892757</c:v>
                </c:pt>
                <c:pt idx="388">
                  <c:v>0.83581575837477973</c:v>
                </c:pt>
                <c:pt idx="389">
                  <c:v>0.6699903421629394</c:v>
                </c:pt>
                <c:pt idx="390">
                  <c:v>0.83778525365714129</c:v>
                </c:pt>
                <c:pt idx="391">
                  <c:v>0.87901300471390509</c:v>
                </c:pt>
                <c:pt idx="392">
                  <c:v>0.90964420648562183</c:v>
                </c:pt>
                <c:pt idx="393">
                  <c:v>0.98973059911197248</c:v>
                </c:pt>
                <c:pt idx="394">
                  <c:v>0.19582866463632059</c:v>
                </c:pt>
                <c:pt idx="395">
                  <c:v>0.15346690303994973</c:v>
                </c:pt>
                <c:pt idx="396">
                  <c:v>0.52467287500001114</c:v>
                </c:pt>
                <c:pt idx="397">
                  <c:v>0.85488084552420529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38-434E-A1FD-14931CF86187}"/>
            </c:ext>
          </c:extLst>
        </c:ser>
        <c:ser>
          <c:idx val="8"/>
          <c:order val="8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ex7자동화!$U$10:$U$407</c:f>
              <c:numCache>
                <c:formatCode>General</c:formatCode>
                <c:ptCount val="398"/>
                <c:pt idx="0">
                  <c:v>4.4856774998180724E-288</c:v>
                </c:pt>
                <c:pt idx="1">
                  <c:v>1.3800336756392933E-264</c:v>
                </c:pt>
                <c:pt idx="2">
                  <c:v>2.2831906792987245E-246</c:v>
                </c:pt>
                <c:pt idx="3">
                  <c:v>1.7545959883376544E-231</c:v>
                </c:pt>
                <c:pt idx="4">
                  <c:v>6.7565445411435865E-219</c:v>
                </c:pt>
                <c:pt idx="5">
                  <c:v>5.3920241040319096E-208</c:v>
                </c:pt>
                <c:pt idx="6">
                  <c:v>2.2282144570239575E-198</c:v>
                </c:pt>
                <c:pt idx="7">
                  <c:v>8.9101628628319234E-190</c:v>
                </c:pt>
                <c:pt idx="8">
                  <c:v>5.3854258080658817E-182</c:v>
                </c:pt>
                <c:pt idx="9">
                  <c:v>6.8386113189302586E-175</c:v>
                </c:pt>
                <c:pt idx="10">
                  <c:v>2.3427762080686213E-168</c:v>
                </c:pt>
                <c:pt idx="11">
                  <c:v>2.6298216805735192E-162</c:v>
                </c:pt>
                <c:pt idx="12">
                  <c:v>1.1284311122990494E-156</c:v>
                </c:pt>
                <c:pt idx="13">
                  <c:v>2.0956810012042743E-151</c:v>
                </c:pt>
                <c:pt idx="14">
                  <c:v>1.864672891617435E-146</c:v>
                </c:pt>
                <c:pt idx="15">
                  <c:v>8.646888789081941E-142</c:v>
                </c:pt>
                <c:pt idx="16">
                  <c:v>2.2424118737486773E-137</c:v>
                </c:pt>
                <c:pt idx="17">
                  <c:v>3.4520145313806365E-133</c:v>
                </c:pt>
                <c:pt idx="18">
                  <c:v>3.3192571125884897E-129</c:v>
                </c:pt>
                <c:pt idx="19">
                  <c:v>2.0827734493851665E-125</c:v>
                </c:pt>
                <c:pt idx="20">
                  <c:v>8.8584901539660866E-122</c:v>
                </c:pt>
                <c:pt idx="21">
                  <c:v>2.6398049238935607E-118</c:v>
                </c:pt>
                <c:pt idx="22">
                  <c:v>5.6740691898986231E-115</c:v>
                </c:pt>
                <c:pt idx="23">
                  <c:v>9.0252475286490826E-112</c:v>
                </c:pt>
                <c:pt idx="24">
                  <c:v>1.0867646306615817E-108</c:v>
                </c:pt>
                <c:pt idx="25">
                  <c:v>1.010919483822072E-105</c:v>
                </c:pt>
                <c:pt idx="26">
                  <c:v>7.3972292666720121E-103</c:v>
                </c:pt>
                <c:pt idx="27">
                  <c:v>4.3277217274251322E-100</c:v>
                </c:pt>
                <c:pt idx="28">
                  <c:v>2.0542730989687915E-97</c:v>
                </c:pt>
                <c:pt idx="29">
                  <c:v>8.017323536663611E-95</c:v>
                </c:pt>
                <c:pt idx="30">
                  <c:v>2.6037809725598664E-92</c:v>
                </c:pt>
                <c:pt idx="31">
                  <c:v>7.1145257794893112E-90</c:v>
                </c:pt>
                <c:pt idx="32">
                  <c:v>1.651970118666053E-87</c:v>
                </c:pt>
                <c:pt idx="33">
                  <c:v>3.2896802186111837E-85</c:v>
                </c:pt>
                <c:pt idx="34">
                  <c:v>5.6657000695825471E-83</c:v>
                </c:pt>
                <c:pt idx="35">
                  <c:v>8.504769079277583E-81</c:v>
                </c:pt>
                <c:pt idx="36">
                  <c:v>1.1206734107179055E-78</c:v>
                </c:pt>
                <c:pt idx="37">
                  <c:v>1.3048668131063356E-76</c:v>
                </c:pt>
                <c:pt idx="38">
                  <c:v>1.3507486801125583E-74</c:v>
                </c:pt>
                <c:pt idx="39">
                  <c:v>1.2501524689055542E-72</c:v>
                </c:pt>
                <c:pt idx="40">
                  <c:v>1.0399596407241125E-70</c:v>
                </c:pt>
                <c:pt idx="41">
                  <c:v>7.8137987828673485E-69</c:v>
                </c:pt>
                <c:pt idx="42">
                  <c:v>5.3270121935552395E-67</c:v>
                </c:pt>
                <c:pt idx="43">
                  <c:v>3.3092785482060024E-65</c:v>
                </c:pt>
                <c:pt idx="44">
                  <c:v>1.8808049292891147E-63</c:v>
                </c:pt>
                <c:pt idx="45">
                  <c:v>9.8160751546577089E-62</c:v>
                </c:pt>
                <c:pt idx="46">
                  <c:v>4.7210420208062034E-60</c:v>
                </c:pt>
                <c:pt idx="47">
                  <c:v>2.0992942026267591E-58</c:v>
                </c:pt>
                <c:pt idx="48">
                  <c:v>8.6574198002876847E-57</c:v>
                </c:pt>
                <c:pt idx="49">
                  <c:v>3.3208476541453872E-55</c:v>
                </c:pt>
                <c:pt idx="50">
                  <c:v>1.1880851308318897E-53</c:v>
                </c:pt>
                <c:pt idx="51">
                  <c:v>3.9747496518080358E-52</c:v>
                </c:pt>
                <c:pt idx="52">
                  <c:v>1.2465182391690626E-50</c:v>
                </c:pt>
                <c:pt idx="53">
                  <c:v>3.672985033777531E-49</c:v>
                </c:pt>
                <c:pt idx="54">
                  <c:v>1.0191131781529741E-47</c:v>
                </c:pt>
                <c:pt idx="55">
                  <c:v>2.6681437632647533E-46</c:v>
                </c:pt>
                <c:pt idx="56">
                  <c:v>6.6044020344023594E-45</c:v>
                </c:pt>
                <c:pt idx="57">
                  <c:v>1.5484790800510483E-43</c:v>
                </c:pt>
                <c:pt idx="58">
                  <c:v>3.445036515546135E-42</c:v>
                </c:pt>
                <c:pt idx="59">
                  <c:v>7.2850007781014359E-41</c:v>
                </c:pt>
                <c:pt idx="60">
                  <c:v>1.4665848765856093E-39</c:v>
                </c:pt>
                <c:pt idx="61">
                  <c:v>2.8150571615359281E-38</c:v>
                </c:pt>
                <c:pt idx="62">
                  <c:v>5.1593886761103171E-37</c:v>
                </c:pt>
                <c:pt idx="63">
                  <c:v>9.0414623438905768E-36</c:v>
                </c:pt>
                <c:pt idx="64">
                  <c:v>1.5169746503431458E-34</c:v>
                </c:pt>
                <c:pt idx="65">
                  <c:v>2.4398317887405801E-33</c:v>
                </c:pt>
                <c:pt idx="66">
                  <c:v>3.7661731716722706E-32</c:v>
                </c:pt>
                <c:pt idx="67">
                  <c:v>5.5858831932975482E-31</c:v>
                </c:pt>
                <c:pt idx="68">
                  <c:v>7.9689914041581857E-30</c:v>
                </c:pt>
                <c:pt idx="69">
                  <c:v>1.0946642895495443E-28</c:v>
                </c:pt>
                <c:pt idx="70">
                  <c:v>1.4492686327506805E-27</c:v>
                </c:pt>
                <c:pt idx="71">
                  <c:v>1.8510160806340047E-26</c:v>
                </c:pt>
                <c:pt idx="72">
                  <c:v>2.2826905947370712E-25</c:v>
                </c:pt>
                <c:pt idx="73">
                  <c:v>2.7203271430115551E-24</c:v>
                </c:pt>
                <c:pt idx="74">
                  <c:v>3.1352606462098106E-23</c:v>
                </c:pt>
                <c:pt idx="75">
                  <c:v>3.4972377734143645E-22</c:v>
                </c:pt>
                <c:pt idx="76">
                  <c:v>3.7781144995197547E-21</c:v>
                </c:pt>
                <c:pt idx="77">
                  <c:v>3.9554967220327753E-20</c:v>
                </c:pt>
                <c:pt idx="78">
                  <c:v>4.0156622920019764E-19</c:v>
                </c:pt>
                <c:pt idx="79">
                  <c:v>3.9552390609302441E-18</c:v>
                </c:pt>
                <c:pt idx="80">
                  <c:v>3.7813689708078835E-17</c:v>
                </c:pt>
                <c:pt idx="81">
                  <c:v>3.5103946136670209E-16</c:v>
                </c:pt>
                <c:pt idx="82">
                  <c:v>3.1653838998655756E-15</c:v>
                </c:pt>
                <c:pt idx="83">
                  <c:v>2.7729960613854199E-14</c:v>
                </c:pt>
                <c:pt idx="84">
                  <c:v>2.360254423049657E-13</c:v>
                </c:pt>
                <c:pt idx="85">
                  <c:v>1.9517306106708566E-12</c:v>
                </c:pt>
                <c:pt idx="86">
                  <c:v>1.5674936159569294E-11</c:v>
                </c:pt>
                <c:pt idx="87">
                  <c:v>1.221984164541549E-10</c:v>
                </c:pt>
                <c:pt idx="88">
                  <c:v>9.237893651640892E-10</c:v>
                </c:pt>
                <c:pt idx="89">
                  <c:v>6.7615172125252412E-9</c:v>
                </c:pt>
                <c:pt idx="90">
                  <c:v>4.7796873588282709E-8</c:v>
                </c:pt>
                <c:pt idx="91">
                  <c:v>3.2502462288334294E-7</c:v>
                </c:pt>
                <c:pt idx="92">
                  <c:v>2.1123109952665446E-6</c:v>
                </c:pt>
                <c:pt idx="93">
                  <c:v>1.2972228625234555E-5</c:v>
                </c:pt>
                <c:pt idx="94">
                  <c:v>7.3735422186678329E-5</c:v>
                </c:pt>
                <c:pt idx="95">
                  <c:v>3.7293492839972619E-4</c:v>
                </c:pt>
                <c:pt idx="96">
                  <c:v>1.5650209908808488E-3</c:v>
                </c:pt>
                <c:pt idx="97">
                  <c:v>4.9738318342915071E-3</c:v>
                </c:pt>
                <c:pt idx="98">
                  <c:v>1.1422268873507691E-2</c:v>
                </c:pt>
                <c:pt idx="99">
                  <c:v>1.9955582459023721E-2</c:v>
                </c:pt>
                <c:pt idx="100">
                  <c:v>2.9191079014400829E-2</c:v>
                </c:pt>
                <c:pt idx="101">
                  <c:v>3.8472100212837791E-2</c:v>
                </c:pt>
                <c:pt idx="102">
                  <c:v>4.7620602923382195E-2</c:v>
                </c:pt>
                <c:pt idx="103">
                  <c:v>5.6603983658495352E-2</c:v>
                </c:pt>
                <c:pt idx="104">
                  <c:v>6.5420586768306338E-2</c:v>
                </c:pt>
                <c:pt idx="105">
                  <c:v>7.4074076985401013E-2</c:v>
                </c:pt>
                <c:pt idx="106">
                  <c:v>8.2568807621063112E-2</c:v>
                </c:pt>
                <c:pt idx="107">
                  <c:v>9.0909090929517475E-2</c:v>
                </c:pt>
                <c:pt idx="108">
                  <c:v>9.9099099099371799E-2</c:v>
                </c:pt>
                <c:pt idx="109">
                  <c:v>0.10714285714257496</c:v>
                </c:pt>
                <c:pt idx="110">
                  <c:v>0.11504424778753523</c:v>
                </c:pt>
                <c:pt idx="111">
                  <c:v>0.12280701754384554</c:v>
                </c:pt>
                <c:pt idx="112">
                  <c:v>0.13043478260869334</c:v>
                </c:pt>
                <c:pt idx="113">
                  <c:v>0.13793103448275829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0.64788732394366144</c:v>
                </c:pt>
                <c:pt idx="282">
                  <c:v>0.64912280701753899</c:v>
                </c:pt>
                <c:pt idx="283">
                  <c:v>0.6503496503496079</c:v>
                </c:pt>
                <c:pt idx="284">
                  <c:v>0.65156794425051134</c:v>
                </c:pt>
                <c:pt idx="285">
                  <c:v>0.65277777777481405</c:v>
                </c:pt>
                <c:pt idx="286">
                  <c:v>0.65397923873054564</c:v>
                </c:pt>
                <c:pt idx="287">
                  <c:v>0.6551724136072109</c:v>
                </c:pt>
                <c:pt idx="288">
                  <c:v>0.65635738690032586</c:v>
                </c:pt>
                <c:pt idx="289">
                  <c:v>0.65753423607125216</c:v>
                </c:pt>
                <c:pt idx="290">
                  <c:v>0.65870299580355562</c:v>
                </c:pt>
                <c:pt idx="291">
                  <c:v>0.65986341270936633</c:v>
                </c:pt>
                <c:pt idx="292">
                  <c:v>0.66101331785117146</c:v>
                </c:pt>
                <c:pt idx="293">
                  <c:v>0.66213825611667598</c:v>
                </c:pt>
                <c:pt idx="294">
                  <c:v>0.6631489906904191</c:v>
                </c:pt>
                <c:pt idx="295">
                  <c:v>0.663539870390633</c:v>
                </c:pt>
                <c:pt idx="296">
                  <c:v>0.66094313017153072</c:v>
                </c:pt>
                <c:pt idx="297">
                  <c:v>0.64966874611375336</c:v>
                </c:pt>
                <c:pt idx="298">
                  <c:v>0.63255230084478786</c:v>
                </c:pt>
                <c:pt idx="299">
                  <c:v>0.61861268789578738</c:v>
                </c:pt>
                <c:pt idx="300">
                  <c:v>0.60763911099384982</c:v>
                </c:pt>
                <c:pt idx="301">
                  <c:v>0.59835608195073464</c:v>
                </c:pt>
                <c:pt idx="302">
                  <c:v>0.59016393444538418</c:v>
                </c:pt>
                <c:pt idx="303">
                  <c:v>0.58275187791367511</c:v>
                </c:pt>
                <c:pt idx="304">
                  <c:v>0.57593481338708752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0.4794270198242338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0.8404826536520229</c:v>
                </c:pt>
                <c:pt idx="337">
                  <c:v>0.84215439943255266</c:v>
                </c:pt>
                <c:pt idx="338">
                  <c:v>0.84379121547182667</c:v>
                </c:pt>
                <c:pt idx="339">
                  <c:v>0.84539439442710262</c:v>
                </c:pt>
                <c:pt idx="340">
                  <c:v>0.84696504805109363</c:v>
                </c:pt>
                <c:pt idx="341">
                  <c:v>0.84858461741909941</c:v>
                </c:pt>
                <c:pt idx="342">
                  <c:v>0.85378888734484981</c:v>
                </c:pt>
                <c:pt idx="343">
                  <c:v>0.86134232195181326</c:v>
                </c:pt>
                <c:pt idx="344">
                  <c:v>0.86590511786337254</c:v>
                </c:pt>
                <c:pt idx="345">
                  <c:v>0.86942620336764942</c:v>
                </c:pt>
                <c:pt idx="346">
                  <c:v>0.8723923530399269</c:v>
                </c:pt>
                <c:pt idx="347">
                  <c:v>0.8269407065914387</c:v>
                </c:pt>
                <c:pt idx="348">
                  <c:v>0.82501893207392851</c:v>
                </c:pt>
                <c:pt idx="349">
                  <c:v>0.8233013467952679</c:v>
                </c:pt>
                <c:pt idx="350">
                  <c:v>0.8217479418071193</c:v>
                </c:pt>
                <c:pt idx="351">
                  <c:v>0.8203697318649994</c:v>
                </c:pt>
                <c:pt idx="352">
                  <c:v>0.827805116607224</c:v>
                </c:pt>
                <c:pt idx="353">
                  <c:v>0.83331415669892872</c:v>
                </c:pt>
                <c:pt idx="354">
                  <c:v>0.8276103543301736</c:v>
                </c:pt>
                <c:pt idx="355">
                  <c:v>0.79973964048172597</c:v>
                </c:pt>
                <c:pt idx="356">
                  <c:v>0.81358088070157475</c:v>
                </c:pt>
                <c:pt idx="357">
                  <c:v>0.87632689805301478</c:v>
                </c:pt>
                <c:pt idx="358">
                  <c:v>0.89918938703700646</c:v>
                </c:pt>
                <c:pt idx="359">
                  <c:v>0.90178271421152756</c:v>
                </c:pt>
                <c:pt idx="360">
                  <c:v>0.90736731734548659</c:v>
                </c:pt>
                <c:pt idx="361">
                  <c:v>0.87850630630268078</c:v>
                </c:pt>
                <c:pt idx="362">
                  <c:v>0.8842675077130745</c:v>
                </c:pt>
                <c:pt idx="363">
                  <c:v>0.91130395418312293</c:v>
                </c:pt>
                <c:pt idx="364">
                  <c:v>0.91148475444001109</c:v>
                </c:pt>
                <c:pt idx="365">
                  <c:v>0.70587864061937566</c:v>
                </c:pt>
                <c:pt idx="366">
                  <c:v>0.80512943420010996</c:v>
                </c:pt>
                <c:pt idx="367">
                  <c:v>0.54179379682341566</c:v>
                </c:pt>
                <c:pt idx="368">
                  <c:v>0.45047304127186172</c:v>
                </c:pt>
                <c:pt idx="369">
                  <c:v>0.54469900039593488</c:v>
                </c:pt>
                <c:pt idx="370">
                  <c:v>0.73389658136737135</c:v>
                </c:pt>
                <c:pt idx="371">
                  <c:v>0.4961764683927497</c:v>
                </c:pt>
                <c:pt idx="372">
                  <c:v>0.58443272439572347</c:v>
                </c:pt>
                <c:pt idx="373">
                  <c:v>0.23865249269840083</c:v>
                </c:pt>
                <c:pt idx="374">
                  <c:v>0.41023496873043797</c:v>
                </c:pt>
                <c:pt idx="375">
                  <c:v>0.74348924675582617</c:v>
                </c:pt>
                <c:pt idx="376">
                  <c:v>0.27265864558914132</c:v>
                </c:pt>
                <c:pt idx="377">
                  <c:v>0.85449672284300016</c:v>
                </c:pt>
                <c:pt idx="378">
                  <c:v>0.81375696879738968</c:v>
                </c:pt>
                <c:pt idx="379">
                  <c:v>0.25359119244576905</c:v>
                </c:pt>
                <c:pt idx="380">
                  <c:v>0.15614931568360532</c:v>
                </c:pt>
                <c:pt idx="381">
                  <c:v>0.48800121060015561</c:v>
                </c:pt>
                <c:pt idx="382">
                  <c:v>0.96160221697368831</c:v>
                </c:pt>
                <c:pt idx="383">
                  <c:v>0.96246037431615183</c:v>
                </c:pt>
                <c:pt idx="384">
                  <c:v>0.85444645935560415</c:v>
                </c:pt>
                <c:pt idx="385">
                  <c:v>0.77926858136125776</c:v>
                </c:pt>
                <c:pt idx="386">
                  <c:v>0.69219251244975233</c:v>
                </c:pt>
                <c:pt idx="387">
                  <c:v>0.93091462203512121</c:v>
                </c:pt>
                <c:pt idx="388">
                  <c:v>0.53656060583024079</c:v>
                </c:pt>
                <c:pt idx="389">
                  <c:v>0.86672487159960099</c:v>
                </c:pt>
                <c:pt idx="390">
                  <c:v>0.53409141107829816</c:v>
                </c:pt>
                <c:pt idx="391">
                  <c:v>0.41901562049548519</c:v>
                </c:pt>
                <c:pt idx="392">
                  <c:v>0.32465691516642264</c:v>
                </c:pt>
                <c:pt idx="393">
                  <c:v>4.0249203561976879E-2</c:v>
                </c:pt>
                <c:pt idx="394">
                  <c:v>0.62519480101001212</c:v>
                </c:pt>
                <c:pt idx="395">
                  <c:v>0.51706095459088008</c:v>
                </c:pt>
                <c:pt idx="396">
                  <c:v>0.99507108446454307</c:v>
                </c:pt>
                <c:pt idx="397">
                  <c:v>0.49623834192010058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38-434E-A1FD-14931CF86187}"/>
            </c:ext>
          </c:extLst>
        </c:ser>
        <c:ser>
          <c:idx val="9"/>
          <c:order val="9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ex7자동화!$V$10:$V$407</c:f>
              <c:numCache>
                <c:formatCode>General</c:formatCode>
                <c:ptCount val="398"/>
                <c:pt idx="0">
                  <c:v>1.3457032499454218E-289</c:v>
                </c:pt>
                <c:pt idx="1">
                  <c:v>5.520134702557173E-266</c:v>
                </c:pt>
                <c:pt idx="2">
                  <c:v>1.1415953396493624E-247</c:v>
                </c:pt>
                <c:pt idx="3">
                  <c:v>1.0527575930025925E-232</c:v>
                </c:pt>
                <c:pt idx="4">
                  <c:v>4.729581178800511E-220</c:v>
                </c:pt>
                <c:pt idx="5">
                  <c:v>4.3136192832255279E-209</c:v>
                </c:pt>
                <c:pt idx="6">
                  <c:v>2.0053930113215617E-199</c:v>
                </c:pt>
                <c:pt idx="7">
                  <c:v>8.9101628628319244E-191</c:v>
                </c:pt>
                <c:pt idx="8">
                  <c:v>5.9239683888724699E-183</c:v>
                </c:pt>
                <c:pt idx="9">
                  <c:v>8.2063335827163103E-176</c:v>
                </c:pt>
                <c:pt idx="10">
                  <c:v>3.0456090704892077E-169</c:v>
                </c:pt>
                <c:pt idx="11">
                  <c:v>3.6817503528029271E-163</c:v>
                </c:pt>
                <c:pt idx="12">
                  <c:v>1.6926466684485739E-157</c:v>
                </c:pt>
                <c:pt idx="13">
                  <c:v>3.3530896019268391E-152</c:v>
                </c:pt>
                <c:pt idx="14">
                  <c:v>3.1699439157496397E-147</c:v>
                </c:pt>
                <c:pt idx="15">
                  <c:v>1.5564399820347493E-142</c:v>
                </c:pt>
                <c:pt idx="16">
                  <c:v>4.2605825601224872E-138</c:v>
                </c:pt>
                <c:pt idx="17">
                  <c:v>6.9040290627612734E-134</c:v>
                </c:pt>
                <c:pt idx="18">
                  <c:v>6.9704399364358278E-130</c:v>
                </c:pt>
                <c:pt idx="19">
                  <c:v>4.5821015886473665E-126</c:v>
                </c:pt>
                <c:pt idx="20">
                  <c:v>2.0374527354121999E-122</c:v>
                </c:pt>
                <c:pt idx="21">
                  <c:v>6.3355318173445458E-119</c:v>
                </c:pt>
                <c:pt idx="22">
                  <c:v>1.4185172974746558E-115</c:v>
                </c:pt>
                <c:pt idx="23">
                  <c:v>2.3465643574487616E-112</c:v>
                </c:pt>
                <c:pt idx="24">
                  <c:v>2.9342645027862707E-109</c:v>
                </c:pt>
                <c:pt idx="25">
                  <c:v>2.830574554701802E-106</c:v>
                </c:pt>
                <c:pt idx="26">
                  <c:v>2.1451964873348833E-103</c:v>
                </c:pt>
                <c:pt idx="27">
                  <c:v>1.2983165182275396E-100</c:v>
                </c:pt>
                <c:pt idx="28">
                  <c:v>6.3682466068032536E-98</c:v>
                </c:pt>
                <c:pt idx="29">
                  <c:v>2.5655435317323554E-95</c:v>
                </c:pt>
                <c:pt idx="30">
                  <c:v>8.5924772094475601E-93</c:v>
                </c:pt>
                <c:pt idx="31">
                  <c:v>2.4189387650263659E-90</c:v>
                </c:pt>
                <c:pt idx="32">
                  <c:v>5.7818954153311847E-88</c:v>
                </c:pt>
                <c:pt idx="33">
                  <c:v>1.1842848787000261E-85</c:v>
                </c:pt>
                <c:pt idx="34">
                  <c:v>2.0963090257455424E-83</c:v>
                </c:pt>
                <c:pt idx="35">
                  <c:v>3.2318122501254815E-81</c:v>
                </c:pt>
                <c:pt idx="36">
                  <c:v>4.3706263017998313E-79</c:v>
                </c:pt>
                <c:pt idx="37">
                  <c:v>5.2194672524253429E-77</c:v>
                </c:pt>
                <c:pt idx="38">
                  <c:v>5.5380695884614886E-75</c:v>
                </c:pt>
                <c:pt idx="39">
                  <c:v>5.2506403694033277E-73</c:v>
                </c:pt>
                <c:pt idx="40">
                  <c:v>4.4718264551136832E-71</c:v>
                </c:pt>
                <c:pt idx="41">
                  <c:v>3.4380714644616332E-69</c:v>
                </c:pt>
                <c:pt idx="42">
                  <c:v>2.3971554870998577E-67</c:v>
                </c:pt>
                <c:pt idx="43">
                  <c:v>1.5222681321747611E-65</c:v>
                </c:pt>
                <c:pt idx="44">
                  <c:v>8.8397831676588381E-64</c:v>
                </c:pt>
                <c:pt idx="45">
                  <c:v>4.7117160742356999E-62</c:v>
                </c:pt>
                <c:pt idx="46">
                  <c:v>2.3133105901950398E-60</c:v>
                </c:pt>
                <c:pt idx="47">
                  <c:v>1.0496471013133796E-58</c:v>
                </c:pt>
                <c:pt idx="48">
                  <c:v>4.4152840981467194E-57</c:v>
                </c:pt>
                <c:pt idx="49">
                  <c:v>1.7268407801556015E-55</c:v>
                </c:pt>
                <c:pt idx="50">
                  <c:v>6.2968511934090163E-54</c:v>
                </c:pt>
                <c:pt idx="51">
                  <c:v>2.1463648119763394E-52</c:v>
                </c:pt>
                <c:pt idx="52">
                  <c:v>6.855850315429845E-51</c:v>
                </c:pt>
                <c:pt idx="53">
                  <c:v>2.0568716189154177E-49</c:v>
                </c:pt>
                <c:pt idx="54">
                  <c:v>5.8089451154719517E-48</c:v>
                </c:pt>
                <c:pt idx="55">
                  <c:v>1.5475233826935569E-46</c:v>
                </c:pt>
                <c:pt idx="56">
                  <c:v>3.8965972002973919E-45</c:v>
                </c:pt>
                <c:pt idx="57">
                  <c:v>9.2908744803062898E-44</c:v>
                </c:pt>
                <c:pt idx="58">
                  <c:v>2.1014722744831424E-42</c:v>
                </c:pt>
                <c:pt idx="59">
                  <c:v>4.5167004824228902E-41</c:v>
                </c:pt>
                <c:pt idx="60">
                  <c:v>9.2394847224893396E-40</c:v>
                </c:pt>
                <c:pt idx="61">
                  <c:v>1.8016365833829941E-38</c:v>
                </c:pt>
                <c:pt idx="62">
                  <c:v>3.3536026394717061E-37</c:v>
                </c:pt>
                <c:pt idx="63">
                  <c:v>5.9673651469677812E-36</c:v>
                </c:pt>
                <c:pt idx="64">
                  <c:v>1.0163730157299078E-34</c:v>
                </c:pt>
                <c:pt idx="65">
                  <c:v>1.6590856163435948E-33</c:v>
                </c:pt>
                <c:pt idx="66">
                  <c:v>2.5986594884538667E-32</c:v>
                </c:pt>
                <c:pt idx="67">
                  <c:v>3.9101182353082833E-31</c:v>
                </c:pt>
                <c:pt idx="68">
                  <c:v>5.6579838969523115E-30</c:v>
                </c:pt>
                <c:pt idx="69">
                  <c:v>7.8815828847567184E-29</c:v>
                </c:pt>
                <c:pt idx="70">
                  <c:v>1.0579661019079968E-27</c:v>
                </c:pt>
                <c:pt idx="71">
                  <c:v>1.3697518996691636E-26</c:v>
                </c:pt>
                <c:pt idx="72">
                  <c:v>1.7120179460528034E-25</c:v>
                </c:pt>
                <c:pt idx="73">
                  <c:v>2.0674486286887818E-24</c:v>
                </c:pt>
                <c:pt idx="74">
                  <c:v>2.4141506975815543E-23</c:v>
                </c:pt>
                <c:pt idx="75">
                  <c:v>2.7278454632632043E-22</c:v>
                </c:pt>
                <c:pt idx="76">
                  <c:v>2.9847104546206062E-21</c:v>
                </c:pt>
                <c:pt idx="77">
                  <c:v>3.1643973776262206E-20</c:v>
                </c:pt>
                <c:pt idx="78">
                  <c:v>3.2526864565216012E-19</c:v>
                </c:pt>
                <c:pt idx="79">
                  <c:v>3.2432960299627999E-18</c:v>
                </c:pt>
                <c:pt idx="80">
                  <c:v>3.1385362457705432E-17</c:v>
                </c:pt>
                <c:pt idx="81">
                  <c:v>2.9487314754802962E-16</c:v>
                </c:pt>
                <c:pt idx="82">
                  <c:v>2.6905763148857306E-15</c:v>
                </c:pt>
                <c:pt idx="83">
                  <c:v>2.3847766127913949E-14</c:v>
                </c:pt>
                <c:pt idx="84">
                  <c:v>2.053421348052717E-13</c:v>
                </c:pt>
                <c:pt idx="85">
                  <c:v>1.7175229373870016E-12</c:v>
                </c:pt>
                <c:pt idx="86">
                  <c:v>1.3950693181797996E-11</c:v>
                </c:pt>
                <c:pt idx="87">
                  <c:v>1.0997857479530021E-10</c:v>
                </c:pt>
                <c:pt idx="88">
                  <c:v>8.4064832152273926E-10</c:v>
                </c:pt>
                <c:pt idx="89">
                  <c:v>6.220595793462556E-9</c:v>
                </c:pt>
                <c:pt idx="90">
                  <c:v>4.445109031247968E-8</c:v>
                </c:pt>
                <c:pt idx="91">
                  <c:v>3.0552304620779718E-7</c:v>
                </c:pt>
                <c:pt idx="92">
                  <c:v>2.0066912067383636E-6</c:v>
                </c:pt>
                <c:pt idx="93">
                  <c:v>1.2453177932658288E-5</c:v>
                </c:pt>
                <c:pt idx="94">
                  <c:v>7.1518085715967475E-5</c:v>
                </c:pt>
                <c:pt idx="95">
                  <c:v>3.6533993098012758E-4</c:v>
                </c:pt>
                <c:pt idx="96">
                  <c:v>1.5469459831771615E-3</c:v>
                </c:pt>
                <c:pt idx="97">
                  <c:v>4.9490928311756955E-3</c:v>
                </c:pt>
                <c:pt idx="98">
                  <c:v>1.1404718653761877E-2</c:v>
                </c:pt>
                <c:pt idx="99">
                  <c:v>1.9948504331499722E-2</c:v>
                </c:pt>
                <c:pt idx="100">
                  <c:v>2.9189128717987112E-2</c:v>
                </c:pt>
                <c:pt idx="101">
                  <c:v>3.8471677626773206E-2</c:v>
                </c:pt>
                <c:pt idx="102">
                  <c:v>4.7620525155625544E-2</c:v>
                </c:pt>
                <c:pt idx="103">
                  <c:v>5.6603971054033191E-2</c:v>
                </c:pt>
                <c:pt idx="104">
                  <c:v>6.5420584946860622E-2</c:v>
                </c:pt>
                <c:pt idx="105">
                  <c:v>7.4074076752494847E-2</c:v>
                </c:pt>
                <c:pt idx="106">
                  <c:v>8.25688075957179E-2</c:v>
                </c:pt>
                <c:pt idx="107">
                  <c:v>9.0909090927474817E-2</c:v>
                </c:pt>
                <c:pt idx="108">
                  <c:v>9.9099099099341809E-2</c:v>
                </c:pt>
                <c:pt idx="109">
                  <c:v>0.10714285714260884</c:v>
                </c:pt>
                <c:pt idx="110">
                  <c:v>0.11504424778754502</c:v>
                </c:pt>
                <c:pt idx="111">
                  <c:v>0.12280701754384751</c:v>
                </c:pt>
                <c:pt idx="112">
                  <c:v>0.13043478260869368</c:v>
                </c:pt>
                <c:pt idx="113">
                  <c:v>0.13793103448275831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0.49494949494949497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0.64788732394366233</c:v>
                </c:pt>
                <c:pt idx="282">
                  <c:v>0.64912280701754799</c:v>
                </c:pt>
                <c:pt idx="283">
                  <c:v>0.65034965034968684</c:v>
                </c:pt>
                <c:pt idx="284">
                  <c:v>0.65156794425118403</c:v>
                </c:pt>
                <c:pt idx="285">
                  <c:v>0.65277777778038593</c:v>
                </c:pt>
                <c:pt idx="286">
                  <c:v>0.65397923877548914</c:v>
                </c:pt>
                <c:pt idx="287">
                  <c:v>0.65517241396040671</c:v>
                </c:pt>
                <c:pt idx="288">
                  <c:v>0.65635738960455225</c:v>
                </c:pt>
                <c:pt idx="289">
                  <c:v>0.65753425623910522</c:v>
                </c:pt>
                <c:pt idx="290">
                  <c:v>0.65870314223032145</c:v>
                </c:pt>
                <c:pt idx="291">
                  <c:v>0.65986444647412956</c:v>
                </c:pt>
                <c:pt idx="292">
                  <c:v>0.66102039884994501</c:v>
                </c:pt>
                <c:pt idx="293">
                  <c:v>0.6621851102741918</c:v>
                </c:pt>
                <c:pt idx="294">
                  <c:v>0.6634457483049917</c:v>
                </c:pt>
                <c:pt idx="295">
                  <c:v>0.66529903816199265</c:v>
                </c:pt>
                <c:pt idx="296">
                  <c:v>0.67005095346326338</c:v>
                </c:pt>
                <c:pt idx="297">
                  <c:v>0.68279779931021056</c:v>
                </c:pt>
                <c:pt idx="298">
                  <c:v>0.69961396149766597</c:v>
                </c:pt>
                <c:pt idx="299">
                  <c:v>0.71251171141581238</c:v>
                </c:pt>
                <c:pt idx="300">
                  <c:v>0.72239388000689453</c:v>
                </c:pt>
                <c:pt idx="301">
                  <c:v>0.73059128667563322</c:v>
                </c:pt>
                <c:pt idx="302">
                  <c:v>0.73770491802225169</c:v>
                </c:pt>
                <c:pt idx="303">
                  <c:v>0.7440455077073862</c:v>
                </c:pt>
                <c:pt idx="304">
                  <c:v>0.74979808563571537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0.78046411662849868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0.80489676360802365</c:v>
                </c:pt>
                <c:pt idx="320">
                  <c:v>0.80748559340037396</c:v>
                </c:pt>
                <c:pt idx="321">
                  <c:v>0.80999407670269752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0.81931624613907317</c:v>
                </c:pt>
                <c:pt idx="326">
                  <c:v>0.82148819265437434</c:v>
                </c:pt>
                <c:pt idx="327">
                  <c:v>0.82360328320606868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0.82963454245073964</c:v>
                </c:pt>
                <c:pt idx="331">
                  <c:v>0.46785287857412933</c:v>
                </c:pt>
                <c:pt idx="332">
                  <c:v>0.46509010926487909</c:v>
                </c:pt>
                <c:pt idx="333">
                  <c:v>0.46237547900755038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0.45450259708543972</c:v>
                </c:pt>
                <c:pt idx="337">
                  <c:v>0.45196324762642726</c:v>
                </c:pt>
                <c:pt idx="338">
                  <c:v>0.44946391656061779</c:v>
                </c:pt>
                <c:pt idx="339">
                  <c:v>0.44700327606030588</c:v>
                </c:pt>
                <c:pt idx="340">
                  <c:v>0.44458032612799492</c:v>
                </c:pt>
                <c:pt idx="341">
                  <c:v>0.44200134987580353</c:v>
                </c:pt>
                <c:pt idx="342">
                  <c:v>0.43067531000996145</c:v>
                </c:pt>
                <c:pt idx="343">
                  <c:v>0.41323377322799354</c:v>
                </c:pt>
                <c:pt idx="344">
                  <c:v>0.40291365318322836</c:v>
                </c:pt>
                <c:pt idx="345">
                  <c:v>0.39506449532346716</c:v>
                </c:pt>
                <c:pt idx="346">
                  <c:v>0.38852053453687874</c:v>
                </c:pt>
                <c:pt idx="347">
                  <c:v>0.50088421030721786</c:v>
                </c:pt>
                <c:pt idx="348">
                  <c:v>0.50671305521526588</c:v>
                </c:pt>
                <c:pt idx="349">
                  <c:v>0.51207636184448801</c:v>
                </c:pt>
                <c:pt idx="350">
                  <c:v>0.51706826465837541</c:v>
                </c:pt>
                <c:pt idx="351">
                  <c:v>0.52166585156280931</c:v>
                </c:pt>
                <c:pt idx="352">
                  <c:v>0.50603050961774121</c:v>
                </c:pt>
                <c:pt idx="353">
                  <c:v>0.4944899556809319</c:v>
                </c:pt>
                <c:pt idx="354">
                  <c:v>0.50933709697629936</c:v>
                </c:pt>
                <c:pt idx="355">
                  <c:v>0.57335900956751074</c:v>
                </c:pt>
                <c:pt idx="356">
                  <c:v>0.54448464221774473</c:v>
                </c:pt>
                <c:pt idx="357">
                  <c:v>0.39016103688646497</c:v>
                </c:pt>
                <c:pt idx="358">
                  <c:v>0.32723867813003876</c:v>
                </c:pt>
                <c:pt idx="359">
                  <c:v>0.32062575503016105</c:v>
                </c:pt>
                <c:pt idx="360">
                  <c:v>0.30510828359423209</c:v>
                </c:pt>
                <c:pt idx="361">
                  <c:v>0.38850803296432834</c:v>
                </c:pt>
                <c:pt idx="362">
                  <c:v>0.37353546118333514</c:v>
                </c:pt>
                <c:pt idx="363">
                  <c:v>0.29583434962037869</c:v>
                </c:pt>
                <c:pt idx="364">
                  <c:v>0.29609668948883866</c:v>
                </c:pt>
                <c:pt idx="365">
                  <c:v>0.76401946603912207</c:v>
                </c:pt>
                <c:pt idx="366">
                  <c:v>0.57894634473961959</c:v>
                </c:pt>
                <c:pt idx="367">
                  <c:v>0.91853713062420728</c:v>
                </c:pt>
                <c:pt idx="368">
                  <c:v>0.91839966813241414</c:v>
                </c:pt>
                <c:pt idx="369">
                  <c:v>0.92256743763260762</c:v>
                </c:pt>
                <c:pt idx="370">
                  <c:v>0.72844061180796915</c:v>
                </c:pt>
                <c:pt idx="371">
                  <c:v>0.93494532346662096</c:v>
                </c:pt>
                <c:pt idx="372">
                  <c:v>0.91076668144168427</c:v>
                </c:pt>
                <c:pt idx="373">
                  <c:v>0.68318252640642452</c:v>
                </c:pt>
                <c:pt idx="374">
                  <c:v>0.91212224163762801</c:v>
                </c:pt>
                <c:pt idx="375">
                  <c:v>0.72089508977997985</c:v>
                </c:pt>
                <c:pt idx="376">
                  <c:v>0.75161729349787176</c:v>
                </c:pt>
                <c:pt idx="377">
                  <c:v>0.47246187927557787</c:v>
                </c:pt>
                <c:pt idx="378">
                  <c:v>0.57743051086339137</c:v>
                </c:pt>
                <c:pt idx="379">
                  <c:v>0.72305991231806155</c:v>
                </c:pt>
                <c:pt idx="380">
                  <c:v>0.50466648740841336</c:v>
                </c:pt>
                <c:pt idx="381">
                  <c:v>0.95944715156328253</c:v>
                </c:pt>
                <c:pt idx="382">
                  <c:v>0.14215506414715753</c:v>
                </c:pt>
                <c:pt idx="383">
                  <c:v>0.13946335244322786</c:v>
                </c:pt>
                <c:pt idx="384">
                  <c:v>0.48130302783256834</c:v>
                </c:pt>
                <c:pt idx="385">
                  <c:v>0.66739515072214572</c:v>
                </c:pt>
                <c:pt idx="386">
                  <c:v>0.82881132843559957</c:v>
                </c:pt>
                <c:pt idx="387">
                  <c:v>0.25081909521368168</c:v>
                </c:pt>
                <c:pt idx="388">
                  <c:v>0.9722735894161838</c:v>
                </c:pt>
                <c:pt idx="389">
                  <c:v>0.45281044471700421</c:v>
                </c:pt>
                <c:pt idx="390">
                  <c:v>0.97793245846441368</c:v>
                </c:pt>
                <c:pt idx="391">
                  <c:v>0.95915962928849885</c:v>
                </c:pt>
                <c:pt idx="392">
                  <c:v>0.86605647027412724</c:v>
                </c:pt>
                <c:pt idx="393">
                  <c:v>0.15297165249142958</c:v>
                </c:pt>
                <c:pt idx="394">
                  <c:v>0.93027525934625199</c:v>
                </c:pt>
                <c:pt idx="395">
                  <c:v>0.99384151683722277</c:v>
                </c:pt>
                <c:pt idx="396">
                  <c:v>1.9569439095134051E-2</c:v>
                </c:pt>
                <c:pt idx="397">
                  <c:v>0.99994339971395962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38-434E-A1FD-14931CF86187}"/>
            </c:ext>
          </c:extLst>
        </c:ser>
        <c:ser>
          <c:idx val="10"/>
          <c:order val="1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ex7자동화!$W$10:$W$407</c:f>
              <c:numCache>
                <c:formatCode>General</c:formatCode>
                <c:ptCount val="398"/>
                <c:pt idx="0">
                  <c:v>4.0371097498362653E-291</c:v>
                </c:pt>
                <c:pt idx="1">
                  <c:v>2.2080538810228693E-267</c:v>
                </c:pt>
                <c:pt idx="2">
                  <c:v>5.707976698246812E-249</c:v>
                </c:pt>
                <c:pt idx="3">
                  <c:v>6.3165455580155547E-234</c:v>
                </c:pt>
                <c:pt idx="4">
                  <c:v>3.3107068251603579E-221</c:v>
                </c:pt>
                <c:pt idx="5">
                  <c:v>3.4508954265804224E-210</c:v>
                </c:pt>
                <c:pt idx="6">
                  <c:v>1.8048537101894055E-200</c:v>
                </c:pt>
                <c:pt idx="7">
                  <c:v>8.9101628628319247E-192</c:v>
                </c:pt>
                <c:pt idx="8">
                  <c:v>6.5163652277597174E-184</c:v>
                </c:pt>
                <c:pt idx="9">
                  <c:v>9.8476002992595728E-177</c:v>
                </c:pt>
                <c:pt idx="10">
                  <c:v>3.9592917916359702E-170</c:v>
                </c:pt>
                <c:pt idx="11">
                  <c:v>5.1544504939240986E-164</c:v>
                </c:pt>
                <c:pt idx="12">
                  <c:v>2.5389700026728606E-158</c:v>
                </c:pt>
                <c:pt idx="13">
                  <c:v>5.3649433630829423E-153</c:v>
                </c:pt>
                <c:pt idx="14">
                  <c:v>5.3889046567743878E-148</c:v>
                </c:pt>
                <c:pt idx="15">
                  <c:v>2.8015919676625487E-143</c:v>
                </c:pt>
                <c:pt idx="16">
                  <c:v>8.0951068642327264E-139</c:v>
                </c:pt>
                <c:pt idx="17">
                  <c:v>1.3808058125522547E-134</c:v>
                </c:pt>
                <c:pt idx="18">
                  <c:v>1.4637923866515237E-130</c:v>
                </c:pt>
                <c:pt idx="19">
                  <c:v>1.0080623495024206E-126</c:v>
                </c:pt>
                <c:pt idx="20">
                  <c:v>4.68614129144806E-123</c:v>
                </c:pt>
                <c:pt idx="21">
                  <c:v>1.520527636162691E-119</c:v>
                </c:pt>
                <c:pt idx="22">
                  <c:v>3.5462932436866394E-116</c:v>
                </c:pt>
                <c:pt idx="23">
                  <c:v>6.1010673293667805E-113</c:v>
                </c:pt>
                <c:pt idx="24">
                  <c:v>7.922514157522932E-110</c:v>
                </c:pt>
                <c:pt idx="25">
                  <c:v>7.9256087531650458E-107</c:v>
                </c:pt>
                <c:pt idx="26">
                  <c:v>6.2210698132711612E-104</c:v>
                </c:pt>
                <c:pt idx="27">
                  <c:v>3.8949495546826185E-101</c:v>
                </c:pt>
                <c:pt idx="28">
                  <c:v>1.9741564481090087E-98</c:v>
                </c:pt>
                <c:pt idx="29">
                  <c:v>8.2097393015435379E-96</c:v>
                </c:pt>
                <c:pt idx="30">
                  <c:v>2.8355174791176949E-93</c:v>
                </c:pt>
                <c:pt idx="31">
                  <c:v>8.2243918010896451E-91</c:v>
                </c:pt>
                <c:pt idx="32">
                  <c:v>2.0236633953659145E-88</c:v>
                </c:pt>
                <c:pt idx="33">
                  <c:v>4.2634255633200935E-86</c:v>
                </c:pt>
                <c:pt idx="34">
                  <c:v>7.7563433952585066E-84</c:v>
                </c:pt>
                <c:pt idx="35">
                  <c:v>1.228088655047683E-81</c:v>
                </c:pt>
                <c:pt idx="36">
                  <c:v>1.7045442577019342E-79</c:v>
                </c:pt>
                <c:pt idx="37">
                  <c:v>2.0877869009701373E-77</c:v>
                </c:pt>
                <c:pt idx="38">
                  <c:v>2.2706085312692102E-75</c:v>
                </c:pt>
                <c:pt idx="39">
                  <c:v>2.2052689551493976E-73</c:v>
                </c:pt>
                <c:pt idx="40">
                  <c:v>1.9228853756988838E-71</c:v>
                </c:pt>
                <c:pt idx="41">
                  <c:v>1.5127514443631187E-69</c:v>
                </c:pt>
                <c:pt idx="42">
                  <c:v>1.078719969194936E-67</c:v>
                </c:pt>
                <c:pt idx="43">
                  <c:v>7.0024334080039013E-66</c:v>
                </c:pt>
                <c:pt idx="44">
                  <c:v>4.1546980887996538E-64</c:v>
                </c:pt>
                <c:pt idx="45">
                  <c:v>2.2616237156331359E-62</c:v>
                </c:pt>
                <c:pt idx="46">
                  <c:v>1.1335221891955695E-60</c:v>
                </c:pt>
                <c:pt idx="47">
                  <c:v>5.2482355065668978E-59</c:v>
                </c:pt>
                <c:pt idx="48">
                  <c:v>2.2517948900548269E-57</c:v>
                </c:pt>
                <c:pt idx="49">
                  <c:v>8.9795720568091276E-56</c:v>
                </c:pt>
                <c:pt idx="50">
                  <c:v>3.3373311325067789E-54</c:v>
                </c:pt>
                <c:pt idx="51">
                  <c:v>1.1590369984672234E-52</c:v>
                </c:pt>
                <c:pt idx="52">
                  <c:v>3.7707176734864153E-51</c:v>
                </c:pt>
                <c:pt idx="53">
                  <c:v>1.151848106592634E-49</c:v>
                </c:pt>
                <c:pt idx="54">
                  <c:v>3.3110987158190119E-48</c:v>
                </c:pt>
                <c:pt idx="55">
                  <c:v>8.9756356196226296E-47</c:v>
                </c:pt>
                <c:pt idx="56">
                  <c:v>2.298992348175461E-45</c:v>
                </c:pt>
                <c:pt idx="57">
                  <c:v>5.5745246881837739E-44</c:v>
                </c:pt>
                <c:pt idx="58">
                  <c:v>1.2818980874347168E-42</c:v>
                </c:pt>
                <c:pt idx="59">
                  <c:v>2.8003542991021918E-41</c:v>
                </c:pt>
                <c:pt idx="60">
                  <c:v>5.8208753751682836E-40</c:v>
                </c:pt>
                <c:pt idx="61">
                  <c:v>1.1530474133651163E-38</c:v>
                </c:pt>
                <c:pt idx="62">
                  <c:v>2.1798417156566089E-37</c:v>
                </c:pt>
                <c:pt idx="63">
                  <c:v>3.9384609969987358E-36</c:v>
                </c:pt>
                <c:pt idx="64">
                  <c:v>6.8096992053903822E-35</c:v>
                </c:pt>
                <c:pt idx="65">
                  <c:v>1.1281782191136446E-33</c:v>
                </c:pt>
                <c:pt idx="66">
                  <c:v>1.793075047033168E-32</c:v>
                </c:pt>
                <c:pt idx="67">
                  <c:v>2.7370827647157981E-31</c:v>
                </c:pt>
                <c:pt idx="68">
                  <c:v>4.0171685668361411E-30</c:v>
                </c:pt>
                <c:pt idx="69">
                  <c:v>5.6747396770248369E-29</c:v>
                </c:pt>
                <c:pt idx="70">
                  <c:v>7.723152543928377E-28</c:v>
                </c:pt>
                <c:pt idx="71">
                  <c:v>1.013616405755181E-26</c:v>
                </c:pt>
                <c:pt idx="72">
                  <c:v>1.2840134595396025E-25</c:v>
                </c:pt>
                <c:pt idx="73">
                  <c:v>1.5712609578034742E-24</c:v>
                </c:pt>
                <c:pt idx="74">
                  <c:v>1.8588960371377967E-23</c:v>
                </c:pt>
                <c:pt idx="75">
                  <c:v>2.1277194613452994E-22</c:v>
                </c:pt>
                <c:pt idx="76">
                  <c:v>2.3579212591502789E-21</c:v>
                </c:pt>
                <c:pt idx="77">
                  <c:v>2.5315179021009766E-20</c:v>
                </c:pt>
                <c:pt idx="78">
                  <c:v>2.6346760297824973E-19</c:v>
                </c:pt>
                <c:pt idx="79">
                  <c:v>2.6595027445694956E-18</c:v>
                </c:pt>
                <c:pt idx="80">
                  <c:v>2.6049850839895508E-17</c:v>
                </c:pt>
                <c:pt idx="81">
                  <c:v>2.4769344394034475E-16</c:v>
                </c:pt>
                <c:pt idx="82">
                  <c:v>2.2869898676528652E-15</c:v>
                </c:pt>
                <c:pt idx="83">
                  <c:v>2.0509078870005506E-14</c:v>
                </c:pt>
                <c:pt idx="84">
                  <c:v>1.7864765728054967E-13</c:v>
                </c:pt>
                <c:pt idx="85">
                  <c:v>1.5114201848979656E-12</c:v>
                </c:pt>
                <c:pt idx="86">
                  <c:v>1.2416116931627004E-11</c:v>
                </c:pt>
                <c:pt idx="87">
                  <c:v>9.8980717304884438E-11</c:v>
                </c:pt>
                <c:pt idx="88">
                  <c:v>7.6498997194260527E-10</c:v>
                </c:pt>
                <c:pt idx="89">
                  <c:v>5.7229480943854051E-9</c:v>
                </c:pt>
                <c:pt idx="90">
                  <c:v>4.1339512153019634E-8</c:v>
                </c:pt>
                <c:pt idx="91">
                  <c:v>2.8719157569165747E-7</c:v>
                </c:pt>
                <c:pt idx="92">
                  <c:v>1.906352820932326E-6</c:v>
                </c:pt>
                <c:pt idx="93">
                  <c:v>1.1954901936976959E-5</c:v>
                </c:pt>
                <c:pt idx="94">
                  <c:v>6.9367581753001514E-5</c:v>
                </c:pt>
                <c:pt idx="95">
                  <c:v>3.579023285606598E-4</c:v>
                </c:pt>
                <c:pt idx="96">
                  <c:v>1.5291074118892708E-3</c:v>
                </c:pt>
                <c:pt idx="97">
                  <c:v>4.924599311324101E-3</c:v>
                </c:pt>
                <c:pt idx="98">
                  <c:v>1.1387397556652318E-2</c:v>
                </c:pt>
                <c:pt idx="99">
                  <c:v>1.9941572736564574E-2</c:v>
                </c:pt>
                <c:pt idx="100">
                  <c:v>2.9187237187152052E-2</c:v>
                </c:pt>
                <c:pt idx="101">
                  <c:v>3.8471271953249044E-2</c:v>
                </c:pt>
                <c:pt idx="102">
                  <c:v>4.7620451276504376E-2</c:v>
                </c:pt>
                <c:pt idx="103">
                  <c:v>5.6603959205844212E-2</c:v>
                </c:pt>
                <c:pt idx="104">
                  <c:v>6.5420583252916206E-2</c:v>
                </c:pt>
                <c:pt idx="105">
                  <c:v>7.4074076538221179E-2</c:v>
                </c:pt>
                <c:pt idx="106">
                  <c:v>8.2568807572653752E-2</c:v>
                </c:pt>
                <c:pt idx="107">
                  <c:v>9.0909090925636427E-2</c:v>
                </c:pt>
                <c:pt idx="108">
                  <c:v>9.9099099099315122E-2</c:v>
                </c:pt>
                <c:pt idx="109">
                  <c:v>0.10714285714263865</c:v>
                </c:pt>
                <c:pt idx="110">
                  <c:v>0.11504424778755354</c:v>
                </c:pt>
                <c:pt idx="111">
                  <c:v>0.12280701754384922</c:v>
                </c:pt>
                <c:pt idx="112">
                  <c:v>0.13043478260869396</c:v>
                </c:pt>
                <c:pt idx="113">
                  <c:v>0.13793103448275837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0.49494949494949486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0.64912280701754044</c:v>
                </c:pt>
                <c:pt idx="283">
                  <c:v>0.65034965034961889</c:v>
                </c:pt>
                <c:pt idx="284">
                  <c:v>0.65156794425059883</c:v>
                </c:pt>
                <c:pt idx="285">
                  <c:v>0.65277777777548263</c:v>
                </c:pt>
                <c:pt idx="286">
                  <c:v>0.65397923873548947</c:v>
                </c:pt>
                <c:pt idx="287">
                  <c:v>0.65517241364253054</c:v>
                </c:pt>
                <c:pt idx="288">
                  <c:v>0.65635738714370628</c:v>
                </c:pt>
                <c:pt idx="289">
                  <c:v>0.65753423768468044</c:v>
                </c:pt>
                <c:pt idx="290">
                  <c:v>0.65870300605343157</c:v>
                </c:pt>
                <c:pt idx="291">
                  <c:v>0.65986347473534934</c:v>
                </c:pt>
                <c:pt idx="292">
                  <c:v>0.66101367190490368</c:v>
                </c:pt>
                <c:pt idx="293">
                  <c:v>0.66214013041583075</c:v>
                </c:pt>
                <c:pt idx="294">
                  <c:v>0.6631578974622333</c:v>
                </c:pt>
                <c:pt idx="295">
                  <c:v>0.66357515938850586</c:v>
                </c:pt>
                <c:pt idx="296">
                  <c:v>0.66103719294644281</c:v>
                </c:pt>
                <c:pt idx="297">
                  <c:v>0.64975489370203188</c:v>
                </c:pt>
                <c:pt idx="298">
                  <c:v>0.63256434178937704</c:v>
                </c:pt>
                <c:pt idx="299">
                  <c:v>0.61861309298358991</c:v>
                </c:pt>
                <c:pt idx="300">
                  <c:v>0.6076391152705013</c:v>
                </c:pt>
                <c:pt idx="301">
                  <c:v>0.59835608186819889</c:v>
                </c:pt>
                <c:pt idx="302">
                  <c:v>0.5901639344415055</c:v>
                </c:pt>
                <c:pt idx="303">
                  <c:v>0.58275187791360294</c:v>
                </c:pt>
                <c:pt idx="304">
                  <c:v>0.57593481338708663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0.53800722095111919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0.50566224260315651</c:v>
                </c:pt>
                <c:pt idx="320">
                  <c:v>0.50211192981944031</c:v>
                </c:pt>
                <c:pt idx="321">
                  <c:v>0.49864789860594438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0.48556180264141469</c:v>
                </c:pt>
                <c:pt idx="326">
                  <c:v>0.48246317512678061</c:v>
                </c:pt>
                <c:pt idx="327">
                  <c:v>0.47942701982423458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0.47066575784956083</c:v>
                </c:pt>
                <c:pt idx="331">
                  <c:v>0.83154831903066118</c:v>
                </c:pt>
                <c:pt idx="332">
                  <c:v>0.83341735342168732</c:v>
                </c:pt>
                <c:pt idx="333">
                  <c:v>0.83524356861149807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0.84048265365202235</c:v>
                </c:pt>
                <c:pt idx="337">
                  <c:v>0.84215439943276016</c:v>
                </c:pt>
                <c:pt idx="338">
                  <c:v>0.84379121556277259</c:v>
                </c:pt>
                <c:pt idx="339">
                  <c:v>0.84539440760067674</c:v>
                </c:pt>
                <c:pt idx="340">
                  <c:v>0.84696530293536765</c:v>
                </c:pt>
                <c:pt idx="341">
                  <c:v>0.84842837864817244</c:v>
                </c:pt>
                <c:pt idx="342">
                  <c:v>0.84591960138435851</c:v>
                </c:pt>
                <c:pt idx="343">
                  <c:v>0.83895181174545053</c:v>
                </c:pt>
                <c:pt idx="344">
                  <c:v>0.83479261717835418</c:v>
                </c:pt>
                <c:pt idx="345">
                  <c:v>0.83168011870681902</c:v>
                </c:pt>
                <c:pt idx="346">
                  <c:v>0.82912742744239809</c:v>
                </c:pt>
                <c:pt idx="347">
                  <c:v>0.8749972636024641</c:v>
                </c:pt>
                <c:pt idx="348">
                  <c:v>0.8773418214627654</c:v>
                </c:pt>
                <c:pt idx="349">
                  <c:v>0.87948664842579549</c:v>
                </c:pt>
                <c:pt idx="350">
                  <c:v>0.88147162042567728</c:v>
                </c:pt>
                <c:pt idx="351">
                  <c:v>0.88333829170124645</c:v>
                </c:pt>
                <c:pt idx="352">
                  <c:v>0.88737089698581362</c:v>
                </c:pt>
                <c:pt idx="353">
                  <c:v>0.88989191630530284</c:v>
                </c:pt>
                <c:pt idx="354">
                  <c:v>0.89218876247359702</c:v>
                </c:pt>
                <c:pt idx="355">
                  <c:v>0.8757340714606805</c:v>
                </c:pt>
                <c:pt idx="356">
                  <c:v>0.89039580861826573</c:v>
                </c:pt>
                <c:pt idx="357">
                  <c:v>0.85656744785571659</c:v>
                </c:pt>
                <c:pt idx="358">
                  <c:v>0.79475422765333459</c:v>
                </c:pt>
                <c:pt idx="359">
                  <c:v>0.78852606647423085</c:v>
                </c:pt>
                <c:pt idx="360">
                  <c:v>0.76962250452138192</c:v>
                </c:pt>
                <c:pt idx="361">
                  <c:v>0.86475313028292089</c:v>
                </c:pt>
                <c:pt idx="362">
                  <c:v>0.85412452953989215</c:v>
                </c:pt>
                <c:pt idx="363">
                  <c:v>0.76243797717054251</c:v>
                </c:pt>
                <c:pt idx="364">
                  <c:v>0.76491402466270131</c:v>
                </c:pt>
                <c:pt idx="365">
                  <c:v>0.66348089531289411</c:v>
                </c:pt>
                <c:pt idx="366">
                  <c:v>0.89950198146681404</c:v>
                </c:pt>
                <c:pt idx="367">
                  <c:v>0.27685868006876446</c:v>
                </c:pt>
                <c:pt idx="368">
                  <c:v>0.27803377269180396</c:v>
                </c:pt>
                <c:pt idx="369">
                  <c:v>0.26574474962771766</c:v>
                </c:pt>
                <c:pt idx="370">
                  <c:v>0.73784952805046677</c:v>
                </c:pt>
                <c:pt idx="371">
                  <c:v>0.22747639532349156</c:v>
                </c:pt>
                <c:pt idx="372">
                  <c:v>0.30476525031519702</c:v>
                </c:pt>
                <c:pt idx="373">
                  <c:v>0.813830049192792</c:v>
                </c:pt>
                <c:pt idx="374">
                  <c:v>0.30218532246236357</c:v>
                </c:pt>
                <c:pt idx="375">
                  <c:v>0.76055625819593775</c:v>
                </c:pt>
                <c:pt idx="376">
                  <c:v>0.70755031555253423</c:v>
                </c:pt>
                <c:pt idx="377">
                  <c:v>0.94711827724647502</c:v>
                </c:pt>
                <c:pt idx="378">
                  <c:v>0.92965720591212442</c:v>
                </c:pt>
                <c:pt idx="379">
                  <c:v>0.76493313247363615</c:v>
                </c:pt>
                <c:pt idx="380">
                  <c:v>0.95741659751887309</c:v>
                </c:pt>
                <c:pt idx="381">
                  <c:v>0.14940792929428259</c:v>
                </c:pt>
                <c:pt idx="382">
                  <c:v>0.46949595725522902</c:v>
                </c:pt>
                <c:pt idx="383">
                  <c:v>0.46325143746650216</c:v>
                </c:pt>
                <c:pt idx="384">
                  <c:v>0.96614713790695106</c:v>
                </c:pt>
                <c:pt idx="385">
                  <c:v>0.8612779904370752</c:v>
                </c:pt>
                <c:pt idx="386">
                  <c:v>0.55192529903749932</c:v>
                </c:pt>
                <c:pt idx="387">
                  <c:v>0.7328446190904998</c:v>
                </c:pt>
                <c:pt idx="388">
                  <c:v>0.10540443785321953</c:v>
                </c:pt>
                <c:pt idx="389">
                  <c:v>0.9712707318189967</c:v>
                </c:pt>
                <c:pt idx="390">
                  <c:v>8.4811621024414682E-2</c:v>
                </c:pt>
                <c:pt idx="391">
                  <c:v>0.15433939323669435</c:v>
                </c:pt>
                <c:pt idx="392">
                  <c:v>0.45821050925326567</c:v>
                </c:pt>
                <c:pt idx="393">
                  <c:v>0.51310245106086472</c:v>
                </c:pt>
                <c:pt idx="394">
                  <c:v>0.25750690874222693</c:v>
                </c:pt>
                <c:pt idx="395">
                  <c:v>2.4359813866685853E-2</c:v>
                </c:pt>
                <c:pt idx="396">
                  <c:v>7.6554039833057197E-2</c:v>
                </c:pt>
                <c:pt idx="397">
                  <c:v>2.2638832979198384E-4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38-434E-A1FD-14931CF86187}"/>
            </c:ext>
          </c:extLst>
        </c:ser>
        <c:ser>
          <c:idx val="11"/>
          <c:order val="1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ex7자동화!$X$10:$X$407</c:f>
              <c:numCache>
                <c:formatCode>General</c:formatCode>
                <c:ptCount val="398"/>
                <c:pt idx="0">
                  <c:v>1.2111329249508796E-292</c:v>
                </c:pt>
                <c:pt idx="1">
                  <c:v>8.8322155240914779E-269</c:v>
                </c:pt>
                <c:pt idx="2">
                  <c:v>2.8539883491234064E-250</c:v>
                </c:pt>
                <c:pt idx="3">
                  <c:v>3.7899273348093325E-235</c:v>
                </c:pt>
                <c:pt idx="4">
                  <c:v>2.3174947776122506E-222</c:v>
                </c:pt>
                <c:pt idx="5">
                  <c:v>2.760716341264338E-211</c:v>
                </c:pt>
                <c:pt idx="6">
                  <c:v>1.6243683391704649E-201</c:v>
                </c:pt>
                <c:pt idx="7">
                  <c:v>8.9101628628319259E-193</c:v>
                </c:pt>
                <c:pt idx="8">
                  <c:v>7.1680017505356887E-185</c:v>
                </c:pt>
                <c:pt idx="9">
                  <c:v>1.1817120359111487E-177</c:v>
                </c:pt>
                <c:pt idx="10">
                  <c:v>5.1470793291267611E-171</c:v>
                </c:pt>
                <c:pt idx="11">
                  <c:v>7.2162306914937391E-165</c:v>
                </c:pt>
                <c:pt idx="12">
                  <c:v>3.808455004009291E-159</c:v>
                </c:pt>
                <c:pt idx="13">
                  <c:v>8.5839093809327084E-154</c:v>
                </c:pt>
                <c:pt idx="14">
                  <c:v>9.1611379165164595E-149</c:v>
                </c:pt>
                <c:pt idx="15">
                  <c:v>5.0428655417925877E-144</c:v>
                </c:pt>
                <c:pt idx="16">
                  <c:v>1.5380703042042181E-139</c:v>
                </c:pt>
                <c:pt idx="17">
                  <c:v>2.7616116251045093E-135</c:v>
                </c:pt>
                <c:pt idx="18">
                  <c:v>3.0739640119681999E-131</c:v>
                </c:pt>
                <c:pt idx="19">
                  <c:v>2.2177371689053253E-127</c:v>
                </c:pt>
                <c:pt idx="20">
                  <c:v>1.0778124970330538E-123</c:v>
                </c:pt>
                <c:pt idx="21">
                  <c:v>3.6492663267904583E-120</c:v>
                </c:pt>
                <c:pt idx="22">
                  <c:v>8.8657331092165986E-117</c:v>
                </c:pt>
                <c:pt idx="23">
                  <c:v>1.586277505635363E-113</c:v>
                </c:pt>
                <c:pt idx="24">
                  <c:v>2.1390788225311919E-110</c:v>
                </c:pt>
                <c:pt idx="25">
                  <c:v>2.2191704508862131E-107</c:v>
                </c:pt>
                <c:pt idx="26">
                  <c:v>1.8041102458486367E-104</c:v>
                </c:pt>
                <c:pt idx="27">
                  <c:v>1.1684848664047854E-101</c:v>
                </c:pt>
                <c:pt idx="28">
                  <c:v>6.1198849891379266E-99</c:v>
                </c:pt>
                <c:pt idx="29">
                  <c:v>2.627116576493932E-96</c:v>
                </c:pt>
                <c:pt idx="30">
                  <c:v>9.3572076810883939E-94</c:v>
                </c:pt>
                <c:pt idx="31">
                  <c:v>2.7962932123704797E-91</c:v>
                </c:pt>
                <c:pt idx="32">
                  <c:v>7.0828218837806996E-89</c:v>
                </c:pt>
                <c:pt idx="33">
                  <c:v>1.5348332027952336E-86</c:v>
                </c:pt>
                <c:pt idx="34">
                  <c:v>2.8698470562456472E-84</c:v>
                </c:pt>
                <c:pt idx="35">
                  <c:v>4.6667368891811953E-82</c:v>
                </c:pt>
                <c:pt idx="36">
                  <c:v>6.6477226050375432E-80</c:v>
                </c:pt>
                <c:pt idx="37">
                  <c:v>8.3511476038805493E-78</c:v>
                </c:pt>
                <c:pt idx="38">
                  <c:v>9.3094949782037617E-76</c:v>
                </c:pt>
                <c:pt idx="39">
                  <c:v>9.2621296116274703E-74</c:v>
                </c:pt>
                <c:pt idx="40">
                  <c:v>8.2684071155052008E-72</c:v>
                </c:pt>
                <c:pt idx="41">
                  <c:v>6.6561063551977226E-70</c:v>
                </c:pt>
                <c:pt idx="42">
                  <c:v>4.8542398613772119E-68</c:v>
                </c:pt>
                <c:pt idx="43">
                  <c:v>3.2211193676817948E-66</c:v>
                </c:pt>
                <c:pt idx="44">
                  <c:v>1.9527081017358371E-64</c:v>
                </c:pt>
                <c:pt idx="45">
                  <c:v>1.0855793835039053E-62</c:v>
                </c:pt>
                <c:pt idx="46">
                  <c:v>5.5542587270582906E-61</c:v>
                </c:pt>
                <c:pt idx="47">
                  <c:v>2.6241177532834489E-59</c:v>
                </c:pt>
                <c:pt idx="48">
                  <c:v>1.1484153939279618E-57</c:v>
                </c:pt>
                <c:pt idx="49">
                  <c:v>4.6693774695407463E-56</c:v>
                </c:pt>
                <c:pt idx="50">
                  <c:v>1.7687855002285928E-54</c:v>
                </c:pt>
                <c:pt idx="51">
                  <c:v>6.258799791723007E-53</c:v>
                </c:pt>
                <c:pt idx="52">
                  <c:v>2.0738947204175285E-51</c:v>
                </c:pt>
                <c:pt idx="53">
                  <c:v>6.4503493969187514E-50</c:v>
                </c:pt>
                <c:pt idx="54">
                  <c:v>1.8873262680168366E-48</c:v>
                </c:pt>
                <c:pt idx="55">
                  <c:v>5.205868659381125E-47</c:v>
                </c:pt>
                <c:pt idx="56">
                  <c:v>1.356405485423522E-45</c:v>
                </c:pt>
                <c:pt idx="57">
                  <c:v>3.3447148129102641E-44</c:v>
                </c:pt>
                <c:pt idx="58">
                  <c:v>7.8195783333517725E-43</c:v>
                </c:pt>
                <c:pt idx="59">
                  <c:v>1.7362196654433589E-41</c:v>
                </c:pt>
                <c:pt idx="60">
                  <c:v>3.6671514863560186E-40</c:v>
                </c:pt>
                <c:pt idx="61">
                  <c:v>7.3795034455367447E-39</c:v>
                </c:pt>
                <c:pt idx="62">
                  <c:v>1.4168971151767959E-37</c:v>
                </c:pt>
                <c:pt idx="63">
                  <c:v>2.5993842580191658E-36</c:v>
                </c:pt>
                <c:pt idx="64">
                  <c:v>4.5624984676115563E-35</c:v>
                </c:pt>
                <c:pt idx="65">
                  <c:v>7.6716118899727839E-34</c:v>
                </c:pt>
                <c:pt idx="66">
                  <c:v>1.2372217824528858E-32</c:v>
                </c:pt>
                <c:pt idx="67">
                  <c:v>1.9159579353010586E-31</c:v>
                </c:pt>
                <c:pt idx="68">
                  <c:v>2.8521896824536599E-30</c:v>
                </c:pt>
                <c:pt idx="69">
                  <c:v>4.0858125674578825E-29</c:v>
                </c:pt>
                <c:pt idx="70">
                  <c:v>5.6379013570677155E-28</c:v>
                </c:pt>
                <c:pt idx="71">
                  <c:v>7.5007614025883385E-27</c:v>
                </c:pt>
                <c:pt idx="72">
                  <c:v>9.6301009465470188E-26</c:v>
                </c:pt>
                <c:pt idx="73">
                  <c:v>1.1941583279306403E-24</c:v>
                </c:pt>
                <c:pt idx="74">
                  <c:v>1.4313499485961035E-23</c:v>
                </c:pt>
                <c:pt idx="75">
                  <c:v>1.6596211798493337E-22</c:v>
                </c:pt>
                <c:pt idx="76">
                  <c:v>1.8627577947287206E-21</c:v>
                </c:pt>
                <c:pt idx="77">
                  <c:v>2.0252143216807813E-20</c:v>
                </c:pt>
                <c:pt idx="78">
                  <c:v>2.1340875841238228E-19</c:v>
                </c:pt>
                <c:pt idx="79">
                  <c:v>2.1807922505469864E-18</c:v>
                </c:pt>
                <c:pt idx="80">
                  <c:v>2.162137619711327E-17</c:v>
                </c:pt>
                <c:pt idx="81">
                  <c:v>2.0806249290988953E-16</c:v>
                </c:pt>
                <c:pt idx="82">
                  <c:v>1.9439413875049311E-15</c:v>
                </c:pt>
                <c:pt idx="83">
                  <c:v>1.7637807828204372E-14</c:v>
                </c:pt>
                <c:pt idx="84">
                  <c:v>1.5542346183405045E-13</c:v>
                </c:pt>
                <c:pt idx="85">
                  <c:v>1.3300497627081993E-12</c:v>
                </c:pt>
                <c:pt idx="86">
                  <c:v>1.1050344069010832E-11</c:v>
                </c:pt>
                <c:pt idx="87">
                  <c:v>8.9082645565578539E-11</c:v>
                </c:pt>
                <c:pt idx="88">
                  <c:v>6.9614087393523006E-10</c:v>
                </c:pt>
                <c:pt idx="89">
                  <c:v>5.2651122167026085E-9</c:v>
                </c:pt>
                <c:pt idx="90">
                  <c:v>3.8445744712979862E-8</c:v>
                </c:pt>
                <c:pt idx="91">
                  <c:v>2.6996000361989691E-7</c:v>
                </c:pt>
                <c:pt idx="92">
                  <c:v>1.8110317274136857E-6</c:v>
                </c:pt>
                <c:pt idx="93">
                  <c:v>1.1476568656604771E-5</c:v>
                </c:pt>
                <c:pt idx="94">
                  <c:v>6.7281886794855154E-5</c:v>
                </c:pt>
                <c:pt idx="95">
                  <c:v>3.5061874979419323E-4</c:v>
                </c:pt>
                <c:pt idx="96">
                  <c:v>1.5115015499880544E-3</c:v>
                </c:pt>
                <c:pt idx="97">
                  <c:v>4.9003476329470075E-3</c:v>
                </c:pt>
                <c:pt idx="98">
                  <c:v>1.1370301980874459E-2</c:v>
                </c:pt>
                <c:pt idx="99">
                  <c:v>1.9934784541624017E-2</c:v>
                </c:pt>
                <c:pt idx="100">
                  <c:v>2.9185402643708967E-2</c:v>
                </c:pt>
                <c:pt idx="101">
                  <c:v>3.8470882515050125E-2</c:v>
                </c:pt>
                <c:pt idx="102">
                  <c:v>4.7620381091562775E-2</c:v>
                </c:pt>
                <c:pt idx="103">
                  <c:v>5.6603948068551374E-2</c:v>
                </c:pt>
                <c:pt idx="104">
                  <c:v>6.5420581677547981E-2</c:v>
                </c:pt>
                <c:pt idx="105">
                  <c:v>7.4074076341089409E-2</c:v>
                </c:pt>
                <c:pt idx="106">
                  <c:v>8.2568807551665374E-2</c:v>
                </c:pt>
                <c:pt idx="107">
                  <c:v>9.0909090923981875E-2</c:v>
                </c:pt>
                <c:pt idx="108">
                  <c:v>9.9099099099291363E-2</c:v>
                </c:pt>
                <c:pt idx="109">
                  <c:v>0.10714285714266487</c:v>
                </c:pt>
                <c:pt idx="110">
                  <c:v>0.11504424778756094</c:v>
                </c:pt>
                <c:pt idx="111">
                  <c:v>0.12280701754385066</c:v>
                </c:pt>
                <c:pt idx="112">
                  <c:v>0.13043478260869418</c:v>
                </c:pt>
                <c:pt idx="113">
                  <c:v>0.1379310344827584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0.49494949494949503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0.64788732394366222</c:v>
                </c:pt>
                <c:pt idx="282">
                  <c:v>0.64912280701754677</c:v>
                </c:pt>
                <c:pt idx="283">
                  <c:v>0.6503496503496774</c:v>
                </c:pt>
                <c:pt idx="284">
                  <c:v>0.65156794425110798</c:v>
                </c:pt>
                <c:pt idx="285">
                  <c:v>0.65277777777979751</c:v>
                </c:pt>
                <c:pt idx="286">
                  <c:v>0.6539792387710891</c:v>
                </c:pt>
                <c:pt idx="287">
                  <c:v>0.65517241392861902</c:v>
                </c:pt>
                <c:pt idx="288">
                  <c:v>0.65635738938307608</c:v>
                </c:pt>
                <c:pt idx="289">
                  <c:v>0.65753425475475125</c:v>
                </c:pt>
                <c:pt idx="290">
                  <c:v>0.65870313269794112</c:v>
                </c:pt>
                <c:pt idx="291">
                  <c:v>0.65986438816988857</c:v>
                </c:pt>
                <c:pt idx="292">
                  <c:v>0.66102006250611511</c:v>
                </c:pt>
                <c:pt idx="293">
                  <c:v>0.66218331120186269</c:v>
                </c:pt>
                <c:pt idx="294">
                  <c:v>0.66343711647223902</c:v>
                </c:pt>
                <c:pt idx="295">
                  <c:v>0.66526463834845428</c:v>
                </c:pt>
                <c:pt idx="296">
                  <c:v>0.66996039723891121</c:v>
                </c:pt>
                <c:pt idx="297">
                  <c:v>0.68272041543687945</c:v>
                </c:pt>
                <c:pt idx="298">
                  <c:v>0.6996043528107071</c:v>
                </c:pt>
                <c:pt idx="299">
                  <c:v>0.71251142120205613</c:v>
                </c:pt>
                <c:pt idx="300">
                  <c:v>0.72239387721726467</c:v>
                </c:pt>
                <c:pt idx="301">
                  <c:v>0.73059128672498996</c:v>
                </c:pt>
                <c:pt idx="302">
                  <c:v>0.73770491802438509</c:v>
                </c:pt>
                <c:pt idx="303">
                  <c:v>0.74404550770742284</c:v>
                </c:pt>
                <c:pt idx="304">
                  <c:v>0.74979808563571582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0.78046411662849857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0.80489676360802376</c:v>
                </c:pt>
                <c:pt idx="320">
                  <c:v>0.80748559340037396</c:v>
                </c:pt>
                <c:pt idx="321">
                  <c:v>0.80999407670269741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0.81931624613907328</c:v>
                </c:pt>
                <c:pt idx="326">
                  <c:v>0.82148819265437434</c:v>
                </c:pt>
                <c:pt idx="327">
                  <c:v>0.8236032832060689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0.82963454245073986</c:v>
                </c:pt>
                <c:pt idx="331">
                  <c:v>0.46785287857412933</c:v>
                </c:pt>
                <c:pt idx="332">
                  <c:v>0.46509010926488015</c:v>
                </c:pt>
                <c:pt idx="333">
                  <c:v>0.46237547900754933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0.454502597085441</c:v>
                </c:pt>
                <c:pt idx="337">
                  <c:v>0.45196324762594453</c:v>
                </c:pt>
                <c:pt idx="338">
                  <c:v>0.44946391634738092</c:v>
                </c:pt>
                <c:pt idx="339">
                  <c:v>0.44700324493776727</c:v>
                </c:pt>
                <c:pt idx="340">
                  <c:v>0.44457971945726216</c:v>
                </c:pt>
                <c:pt idx="341">
                  <c:v>0.44237596743696384</c:v>
                </c:pt>
                <c:pt idx="342">
                  <c:v>0.44967172135439853</c:v>
                </c:pt>
                <c:pt idx="343">
                  <c:v>0.46748637582808922</c:v>
                </c:pt>
                <c:pt idx="344">
                  <c:v>0.47856124508555192</c:v>
                </c:pt>
                <c:pt idx="345">
                  <c:v>0.48715928001411396</c:v>
                </c:pt>
                <c:pt idx="346">
                  <c:v>0.49444622640296998</c:v>
                </c:pt>
                <c:pt idx="347">
                  <c:v>0.38281968301732416</c:v>
                </c:pt>
                <c:pt idx="348">
                  <c:v>0.37772215571082024</c:v>
                </c:pt>
                <c:pt idx="349">
                  <c:v>0.37308439050627956</c:v>
                </c:pt>
                <c:pt idx="350">
                  <c:v>0.36881229191862219</c:v>
                </c:pt>
                <c:pt idx="351">
                  <c:v>0.36480320956911816</c:v>
                </c:pt>
                <c:pt idx="352">
                  <c:v>0.35480044799784194</c:v>
                </c:pt>
                <c:pt idx="353">
                  <c:v>0.34882408521521224</c:v>
                </c:pt>
                <c:pt idx="354">
                  <c:v>0.34339106928425972</c:v>
                </c:pt>
                <c:pt idx="355">
                  <c:v>0.38958958900601726</c:v>
                </c:pt>
                <c:pt idx="356">
                  <c:v>0.35035209428171266</c:v>
                </c:pt>
                <c:pt idx="357">
                  <c:v>0.44229475846677901</c:v>
                </c:pt>
                <c:pt idx="358">
                  <c:v>0.58886300246255519</c:v>
                </c:pt>
                <c:pt idx="359">
                  <c:v>0.60364480645296592</c:v>
                </c:pt>
                <c:pt idx="360">
                  <c:v>0.6436124493518911</c:v>
                </c:pt>
                <c:pt idx="361">
                  <c:v>0.42571676037367034</c:v>
                </c:pt>
                <c:pt idx="362">
                  <c:v>0.45477473416024772</c:v>
                </c:pt>
                <c:pt idx="363">
                  <c:v>0.6629222877873997</c:v>
                </c:pt>
                <c:pt idx="364">
                  <c:v>0.65994145350082556</c:v>
                </c:pt>
                <c:pt idx="365">
                  <c:v>0.82164830847311598</c:v>
                </c:pt>
                <c:pt idx="366">
                  <c:v>0.33356923550708978</c:v>
                </c:pt>
                <c:pt idx="367">
                  <c:v>0.74076941995558021</c:v>
                </c:pt>
                <c:pt idx="368">
                  <c:v>0.74471198749724077</c:v>
                </c:pt>
                <c:pt idx="369">
                  <c:v>0.72586305694363196</c:v>
                </c:pt>
                <c:pt idx="370">
                  <c:v>0.72148495548301494</c:v>
                </c:pt>
                <c:pt idx="371">
                  <c:v>0.65723350950401693</c:v>
                </c:pt>
                <c:pt idx="372">
                  <c:v>0.79456272193317135</c:v>
                </c:pt>
                <c:pt idx="373">
                  <c:v>0.56968023284092306</c:v>
                </c:pt>
                <c:pt idx="374">
                  <c:v>0.79497746213206699</c:v>
                </c:pt>
                <c:pt idx="375">
                  <c:v>0.6883774492704422</c:v>
                </c:pt>
                <c:pt idx="376">
                  <c:v>0.78423766408822482</c:v>
                </c:pt>
                <c:pt idx="377">
                  <c:v>0.19032393537814835</c:v>
                </c:pt>
                <c:pt idx="378">
                  <c:v>0.24915375140366589</c:v>
                </c:pt>
                <c:pt idx="379">
                  <c:v>0.68687586291363978</c:v>
                </c:pt>
                <c:pt idx="380">
                  <c:v>0.15614931568360532</c:v>
                </c:pt>
                <c:pt idx="381">
                  <c:v>0.48800716783978465</c:v>
                </c:pt>
                <c:pt idx="382">
                  <c:v>0.95891758799846694</c:v>
                </c:pt>
                <c:pt idx="383">
                  <c:v>0.95978723656564524</c:v>
                </c:pt>
                <c:pt idx="384">
                  <c:v>0.12657549332788126</c:v>
                </c:pt>
                <c:pt idx="385">
                  <c:v>0.46357546886790457</c:v>
                </c:pt>
                <c:pt idx="386">
                  <c:v>0.9620116393142798</c:v>
                </c:pt>
                <c:pt idx="387">
                  <c:v>0.76355519510634018</c:v>
                </c:pt>
                <c:pt idx="388">
                  <c:v>0.36869087852619931</c:v>
                </c:pt>
                <c:pt idx="389">
                  <c:v>0.10938327753668618</c:v>
                </c:pt>
                <c:pt idx="390">
                  <c:v>0.30504113715704922</c:v>
                </c:pt>
                <c:pt idx="391">
                  <c:v>0.51424385503217207</c:v>
                </c:pt>
                <c:pt idx="392">
                  <c:v>0.9806018719293581</c:v>
                </c:pt>
                <c:pt idx="393">
                  <c:v>0.98932017007374262</c:v>
                </c:pt>
                <c:pt idx="394">
                  <c:v>0.75905248974823003</c:v>
                </c:pt>
                <c:pt idx="395">
                  <c:v>9.4590325073563755E-2</c:v>
                </c:pt>
                <c:pt idx="396">
                  <c:v>0.28206714008500061</c:v>
                </c:pt>
                <c:pt idx="397">
                  <c:v>9.0534831246447144E-4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38-434E-A1FD-14931CF86187}"/>
            </c:ext>
          </c:extLst>
        </c:ser>
        <c:ser>
          <c:idx val="12"/>
          <c:order val="1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ex7자동화!$Y$10:$Y$407</c:f>
              <c:numCache>
                <c:formatCode>General</c:formatCode>
                <c:ptCount val="398"/>
                <c:pt idx="0">
                  <c:v>3.6333987748526391E-294</c:v>
                </c:pt>
                <c:pt idx="1">
                  <c:v>3.5328862096365912E-270</c:v>
                </c:pt>
                <c:pt idx="2">
                  <c:v>1.4269941745617032E-251</c:v>
                </c:pt>
                <c:pt idx="3">
                  <c:v>2.2739564008855994E-236</c:v>
                </c:pt>
                <c:pt idx="4">
                  <c:v>1.6222463443285757E-223</c:v>
                </c:pt>
                <c:pt idx="5">
                  <c:v>2.2085730730114705E-212</c:v>
                </c:pt>
                <c:pt idx="6">
                  <c:v>1.4619315052534183E-202</c:v>
                </c:pt>
                <c:pt idx="7">
                  <c:v>8.9101628628319269E-194</c:v>
                </c:pt>
                <c:pt idx="8">
                  <c:v>7.884801925589257E-186</c:v>
                </c:pt>
                <c:pt idx="9">
                  <c:v>1.4180544430933784E-178</c:v>
                </c:pt>
                <c:pt idx="10">
                  <c:v>6.6912031278647899E-172</c:v>
                </c:pt>
                <c:pt idx="11">
                  <c:v>1.0102722968091236E-165</c:v>
                </c:pt>
                <c:pt idx="12">
                  <c:v>5.7126825060139365E-160</c:v>
                </c:pt>
                <c:pt idx="13">
                  <c:v>1.3734255009492333E-154</c:v>
                </c:pt>
                <c:pt idx="14">
                  <c:v>1.5573934458077982E-149</c:v>
                </c:pt>
                <c:pt idx="15">
                  <c:v>9.0771579752266581E-145</c:v>
                </c:pt>
                <c:pt idx="16">
                  <c:v>2.9223335779880141E-140</c:v>
                </c:pt>
                <c:pt idx="17">
                  <c:v>5.5232232502090189E-136</c:v>
                </c:pt>
                <c:pt idx="18">
                  <c:v>6.4553244251332192E-132</c:v>
                </c:pt>
                <c:pt idx="19">
                  <c:v>4.8790217715917154E-128</c:v>
                </c:pt>
                <c:pt idx="20">
                  <c:v>2.4789687431760238E-124</c:v>
                </c:pt>
                <c:pt idx="21">
                  <c:v>8.7582391842970988E-121</c:v>
                </c:pt>
                <c:pt idx="22">
                  <c:v>2.2164332773041496E-117</c:v>
                </c:pt>
                <c:pt idx="23">
                  <c:v>4.1243215146519442E-114</c:v>
                </c:pt>
                <c:pt idx="24">
                  <c:v>5.7755128208342187E-111</c:v>
                </c:pt>
                <c:pt idx="25">
                  <c:v>6.2136772624813974E-108</c:v>
                </c:pt>
                <c:pt idx="26">
                  <c:v>5.2319197129610457E-105</c:v>
                </c:pt>
                <c:pt idx="27">
                  <c:v>3.5054545992143563E-102</c:v>
                </c:pt>
                <c:pt idx="28">
                  <c:v>1.8971643466327574E-99</c:v>
                </c:pt>
                <c:pt idx="29">
                  <c:v>8.4067730447805827E-97</c:v>
                </c:pt>
                <c:pt idx="30">
                  <c:v>3.0878785347591702E-94</c:v>
                </c:pt>
                <c:pt idx="31">
                  <c:v>9.5073969220596318E-92</c:v>
                </c:pt>
                <c:pt idx="32">
                  <c:v>2.4789876593232448E-89</c:v>
                </c:pt>
                <c:pt idx="33">
                  <c:v>5.5253995300628408E-87</c:v>
                </c:pt>
                <c:pt idx="34">
                  <c:v>1.0618434108108895E-84</c:v>
                </c:pt>
                <c:pt idx="35">
                  <c:v>1.7733600178888541E-82</c:v>
                </c:pt>
                <c:pt idx="36">
                  <c:v>2.5926118159646418E-80</c:v>
                </c:pt>
                <c:pt idx="37">
                  <c:v>3.3404590415522197E-78</c:v>
                </c:pt>
                <c:pt idx="38">
                  <c:v>3.8168929410635418E-76</c:v>
                </c:pt>
                <c:pt idx="39">
                  <c:v>3.8900944368835375E-74</c:v>
                </c:pt>
                <c:pt idx="40">
                  <c:v>3.555415059667236E-72</c:v>
                </c:pt>
                <c:pt idx="41">
                  <c:v>2.9286867962869977E-70</c:v>
                </c:pt>
                <c:pt idx="42">
                  <c:v>2.1844079376197453E-68</c:v>
                </c:pt>
                <c:pt idx="43">
                  <c:v>1.4817149091336256E-66</c:v>
                </c:pt>
                <c:pt idx="44">
                  <c:v>9.1777280781584348E-65</c:v>
                </c:pt>
                <c:pt idx="45">
                  <c:v>5.2107810408187451E-63</c:v>
                </c:pt>
                <c:pt idx="46">
                  <c:v>2.7215867762585624E-61</c:v>
                </c:pt>
                <c:pt idx="47">
                  <c:v>1.3120588766417244E-59</c:v>
                </c:pt>
                <c:pt idx="48">
                  <c:v>5.8569185090326054E-58</c:v>
                </c:pt>
                <c:pt idx="49">
                  <c:v>2.4280762841611882E-56</c:v>
                </c:pt>
                <c:pt idx="50">
                  <c:v>9.3745631512115426E-55</c:v>
                </c:pt>
                <c:pt idx="51">
                  <c:v>3.379751887530424E-53</c:v>
                </c:pt>
                <c:pt idx="52">
                  <c:v>1.1406420962296408E-51</c:v>
                </c:pt>
                <c:pt idx="53">
                  <c:v>3.6121956622745011E-50</c:v>
                </c:pt>
                <c:pt idx="54">
                  <c:v>1.0757759727695967E-48</c:v>
                </c:pt>
                <c:pt idx="55">
                  <c:v>3.0194038224410521E-47</c:v>
                </c:pt>
                <c:pt idx="56">
                  <c:v>8.0027923639987794E-46</c:v>
                </c:pt>
                <c:pt idx="57">
                  <c:v>2.0068288877461583E-44</c:v>
                </c:pt>
                <c:pt idx="58">
                  <c:v>4.7699427833445812E-43</c:v>
                </c:pt>
                <c:pt idx="59">
                  <c:v>1.0764561925748824E-41</c:v>
                </c:pt>
                <c:pt idx="60">
                  <c:v>2.3103054364042919E-40</c:v>
                </c:pt>
                <c:pt idx="61">
                  <c:v>4.722882205143517E-39</c:v>
                </c:pt>
                <c:pt idx="62">
                  <c:v>9.2098312486491732E-38</c:v>
                </c:pt>
                <c:pt idx="63">
                  <c:v>1.7155936102926494E-36</c:v>
                </c:pt>
                <c:pt idx="64">
                  <c:v>3.0568739732997428E-35</c:v>
                </c:pt>
                <c:pt idx="65">
                  <c:v>5.2166960851814932E-34</c:v>
                </c:pt>
                <c:pt idx="66">
                  <c:v>8.5368302989249118E-33</c:v>
                </c:pt>
                <c:pt idx="67">
                  <c:v>1.3411705547107408E-31</c:v>
                </c:pt>
                <c:pt idx="68">
                  <c:v>2.0250546745420984E-30</c:v>
                </c:pt>
                <c:pt idx="69">
                  <c:v>2.9417850485696753E-29</c:v>
                </c:pt>
                <c:pt idx="70">
                  <c:v>4.1156679906594317E-28</c:v>
                </c:pt>
                <c:pt idx="71">
                  <c:v>5.5505634379153707E-27</c:v>
                </c:pt>
                <c:pt idx="72">
                  <c:v>7.2225757099102644E-26</c:v>
                </c:pt>
                <c:pt idx="73">
                  <c:v>9.075603292272866E-25</c:v>
                </c:pt>
                <c:pt idx="74">
                  <c:v>1.1021394604189997E-23</c:v>
                </c:pt>
                <c:pt idx="75">
                  <c:v>1.2945045202824803E-22</c:v>
                </c:pt>
                <c:pt idx="76">
                  <c:v>1.4715786578356893E-21</c:v>
                </c:pt>
                <c:pt idx="77">
                  <c:v>1.6201714573446251E-20</c:v>
                </c:pt>
                <c:pt idx="78">
                  <c:v>1.7286109431402966E-19</c:v>
                </c:pt>
                <c:pt idx="79">
                  <c:v>1.7882496454485285E-18</c:v>
                </c:pt>
                <c:pt idx="80">
                  <c:v>1.7945742243604013E-17</c:v>
                </c:pt>
                <c:pt idx="81">
                  <c:v>1.7477249404430714E-16</c:v>
                </c:pt>
                <c:pt idx="82">
                  <c:v>1.652350179379188E-15</c:v>
                </c:pt>
                <c:pt idx="83">
                  <c:v>1.5168514732255493E-14</c:v>
                </c:pt>
                <c:pt idx="84">
                  <c:v>1.3521841179560287E-13</c:v>
                </c:pt>
                <c:pt idx="85">
                  <c:v>1.1704437911816587E-12</c:v>
                </c:pt>
                <c:pt idx="86">
                  <c:v>9.8348062213109615E-12</c:v>
                </c:pt>
                <c:pt idx="87">
                  <c:v>8.0174381001878535E-11</c:v>
                </c:pt>
                <c:pt idx="88">
                  <c:v>6.3348819484006233E-10</c:v>
                </c:pt>
                <c:pt idx="89">
                  <c:v>4.8439032138627058E-9</c:v>
                </c:pt>
                <c:pt idx="90">
                  <c:v>3.5754541208461255E-8</c:v>
                </c:pt>
                <c:pt idx="91">
                  <c:v>2.5376233489700372E-7</c:v>
                </c:pt>
                <c:pt idx="92">
                  <c:v>1.7204770251988796E-6</c:v>
                </c:pt>
                <c:pt idx="93">
                  <c:v>1.1017379467177574E-5</c:v>
                </c:pt>
                <c:pt idx="94">
                  <c:v>6.5259039144287549E-5</c:v>
                </c:pt>
                <c:pt idx="95">
                  <c:v>3.4348589996075629E-4</c:v>
                </c:pt>
                <c:pt idx="96">
                  <c:v>1.4941247439219138E-3</c:v>
                </c:pt>
                <c:pt idx="97">
                  <c:v>4.8763342260232786E-3</c:v>
                </c:pt>
                <c:pt idx="98">
                  <c:v>1.1353428395875564E-2</c:v>
                </c:pt>
                <c:pt idx="99">
                  <c:v>1.9928136685041106E-2</c:v>
                </c:pt>
                <c:pt idx="100">
                  <c:v>2.9183623363720559E-2</c:v>
                </c:pt>
                <c:pt idx="101">
                  <c:v>3.8470508662105871E-2</c:v>
                </c:pt>
                <c:pt idx="102">
                  <c:v>4.762031441606996E-2</c:v>
                </c:pt>
                <c:pt idx="103">
                  <c:v>5.6603937599500359E-2</c:v>
                </c:pt>
                <c:pt idx="104">
                  <c:v>6.5420580212455601E-2</c:v>
                </c:pt>
                <c:pt idx="105">
                  <c:v>7.4074076159728192E-2</c:v>
                </c:pt>
                <c:pt idx="106">
                  <c:v>8.2568807532565958E-2</c:v>
                </c:pt>
                <c:pt idx="107">
                  <c:v>9.0909090922492775E-2</c:v>
                </c:pt>
                <c:pt idx="108">
                  <c:v>9.9099099099270227E-2</c:v>
                </c:pt>
                <c:pt idx="109">
                  <c:v>0.10714285714268795</c:v>
                </c:pt>
                <c:pt idx="110">
                  <c:v>0.11504424778756739</c:v>
                </c:pt>
                <c:pt idx="111">
                  <c:v>0.1228070175438519</c:v>
                </c:pt>
                <c:pt idx="112">
                  <c:v>0.1304347826086944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0.64912280701754144</c:v>
                </c:pt>
                <c:pt idx="283">
                  <c:v>0.65034965034962711</c:v>
                </c:pt>
                <c:pt idx="284">
                  <c:v>0.651567944250665</c:v>
                </c:pt>
                <c:pt idx="285">
                  <c:v>0.65277777777600043</c:v>
                </c:pt>
                <c:pt idx="286">
                  <c:v>0.65397923873940544</c:v>
                </c:pt>
                <c:pt idx="287">
                  <c:v>0.65517241367113943</c:v>
                </c:pt>
                <c:pt idx="288">
                  <c:v>0.65635738734524962</c:v>
                </c:pt>
                <c:pt idx="289">
                  <c:v>0.65753423905028618</c:v>
                </c:pt>
                <c:pt idx="290">
                  <c:v>0.65870301491854899</c:v>
                </c:pt>
                <c:pt idx="291">
                  <c:v>0.65986352954149752</c:v>
                </c:pt>
                <c:pt idx="292">
                  <c:v>0.66101399143805406</c:v>
                </c:pt>
                <c:pt idx="293">
                  <c:v>0.66214185776009526</c:v>
                </c:pt>
                <c:pt idx="294">
                  <c:v>0.6631662776089422</c:v>
                </c:pt>
                <c:pt idx="295">
                  <c:v>0.66360904594843273</c:v>
                </c:pt>
                <c:pt idx="296">
                  <c:v>0.6611292554774707</c:v>
                </c:pt>
                <c:pt idx="297">
                  <c:v>0.6498397493477226</c:v>
                </c:pt>
                <c:pt idx="298">
                  <c:v>0.6325758880404464</c:v>
                </c:pt>
                <c:pt idx="299">
                  <c:v>0.61861346549322049</c:v>
                </c:pt>
                <c:pt idx="300">
                  <c:v>0.6076391190301047</c:v>
                </c:pt>
                <c:pt idx="301">
                  <c:v>0.59835608179900091</c:v>
                </c:pt>
                <c:pt idx="302">
                  <c:v>0.59016393443841209</c:v>
                </c:pt>
                <c:pt idx="303">
                  <c:v>0.58275187791354821</c:v>
                </c:pt>
                <c:pt idx="304">
                  <c:v>0.57593481338708585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0.47942701982423414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0.84048265365202257</c:v>
                </c:pt>
                <c:pt idx="337">
                  <c:v>0.84215439943260251</c:v>
                </c:pt>
                <c:pt idx="338">
                  <c:v>0.84379121548927927</c:v>
                </c:pt>
                <c:pt idx="339">
                  <c:v>0.84539439631882818</c:v>
                </c:pt>
                <c:pt idx="340">
                  <c:v>0.84696507229065532</c:v>
                </c:pt>
                <c:pt idx="341">
                  <c:v>0.848577379796839</c:v>
                </c:pt>
                <c:pt idx="342">
                  <c:v>0.85376137207156888</c:v>
                </c:pt>
                <c:pt idx="343">
                  <c:v>0.86134231028149888</c:v>
                </c:pt>
                <c:pt idx="344">
                  <c:v>0.86590511786338242</c:v>
                </c:pt>
                <c:pt idx="345">
                  <c:v>0.86942620336764931</c:v>
                </c:pt>
                <c:pt idx="346">
                  <c:v>0.87239235303992702</c:v>
                </c:pt>
                <c:pt idx="347">
                  <c:v>0.8269407065914387</c:v>
                </c:pt>
                <c:pt idx="348">
                  <c:v>0.82501893207392873</c:v>
                </c:pt>
                <c:pt idx="349">
                  <c:v>0.8233013467952679</c:v>
                </c:pt>
                <c:pt idx="350">
                  <c:v>0.82174794192669387</c:v>
                </c:pt>
                <c:pt idx="351">
                  <c:v>0.82029527061444629</c:v>
                </c:pt>
                <c:pt idx="352">
                  <c:v>0.81265566984922266</c:v>
                </c:pt>
                <c:pt idx="353">
                  <c:v>0.80863920032877801</c:v>
                </c:pt>
                <c:pt idx="354">
                  <c:v>0.80494090486765868</c:v>
                </c:pt>
                <c:pt idx="355">
                  <c:v>0.8513581572960206</c:v>
                </c:pt>
                <c:pt idx="356">
                  <c:v>0.8171037604877287</c:v>
                </c:pt>
                <c:pt idx="357">
                  <c:v>0.88801237835853342</c:v>
                </c:pt>
                <c:pt idx="358">
                  <c:v>0.87399315412395706</c:v>
                </c:pt>
                <c:pt idx="359">
                  <c:v>0.86611306982508462</c:v>
                </c:pt>
                <c:pt idx="360">
                  <c:v>0.8326329357398764</c:v>
                </c:pt>
                <c:pt idx="361">
                  <c:v>0.88991448113064697</c:v>
                </c:pt>
                <c:pt idx="362">
                  <c:v>0.90503456495349166</c:v>
                </c:pt>
                <c:pt idx="363">
                  <c:v>0.81785016100015817</c:v>
                </c:pt>
                <c:pt idx="364">
                  <c:v>0.82361674442899879</c:v>
                </c:pt>
                <c:pt idx="365">
                  <c:v>0.53927590561549033</c:v>
                </c:pt>
                <c:pt idx="366">
                  <c:v>0.82028995432582708</c:v>
                </c:pt>
                <c:pt idx="367">
                  <c:v>0.71051131973273784</c:v>
                </c:pt>
                <c:pt idx="368">
                  <c:v>0.70533052017980746</c:v>
                </c:pt>
                <c:pt idx="369">
                  <c:v>0.74022747177004888</c:v>
                </c:pt>
                <c:pt idx="370">
                  <c:v>0.74952266606518203</c:v>
                </c:pt>
                <c:pt idx="371">
                  <c:v>0.84253831184904782</c:v>
                </c:pt>
                <c:pt idx="372">
                  <c:v>0.61212301067745434</c:v>
                </c:pt>
                <c:pt idx="373">
                  <c:v>0.92174394096864265</c:v>
                </c:pt>
                <c:pt idx="374">
                  <c:v>0.61446587906465111</c:v>
                </c:pt>
                <c:pt idx="375">
                  <c:v>0.81086268037204823</c:v>
                </c:pt>
                <c:pt idx="376">
                  <c:v>0.64130192168880729</c:v>
                </c:pt>
                <c:pt idx="377">
                  <c:v>0.58558279300122651</c:v>
                </c:pt>
                <c:pt idx="378">
                  <c:v>0.71276016794320685</c:v>
                </c:pt>
                <c:pt idx="379">
                  <c:v>0.82159571330627923</c:v>
                </c:pt>
                <c:pt idx="380">
                  <c:v>0.50466648740841336</c:v>
                </c:pt>
                <c:pt idx="381">
                  <c:v>0.95944770039082339</c:v>
                </c:pt>
                <c:pt idx="382">
                  <c:v>0.15166939258882703</c:v>
                </c:pt>
                <c:pt idx="383">
                  <c:v>0.14897939077252367</c:v>
                </c:pt>
                <c:pt idx="384">
                  <c:v>0.42784451335056994</c:v>
                </c:pt>
                <c:pt idx="385">
                  <c:v>0.96485222370341117</c:v>
                </c:pt>
                <c:pt idx="386">
                  <c:v>0.1421610035873328</c:v>
                </c:pt>
                <c:pt idx="387">
                  <c:v>0.70410077061658993</c:v>
                </c:pt>
                <c:pt idx="388">
                  <c:v>0.91008344615551462</c:v>
                </c:pt>
                <c:pt idx="389">
                  <c:v>0.38188081843751237</c:v>
                </c:pt>
                <c:pt idx="390">
                  <c:v>0.8331247942700053</c:v>
                </c:pt>
                <c:pt idx="391">
                  <c:v>0.98420062361966043</c:v>
                </c:pt>
                <c:pt idx="392">
                  <c:v>7.5136270757087648E-2</c:v>
                </c:pt>
                <c:pt idx="393">
                  <c:v>4.1840453789654238E-2</c:v>
                </c:pt>
                <c:pt idx="394">
                  <c:v>0.72608047599431547</c:v>
                </c:pt>
                <c:pt idx="395">
                  <c:v>0.34085912199464435</c:v>
                </c:pt>
                <c:pt idx="396">
                  <c:v>0.80799602159138451</c:v>
                </c:pt>
                <c:pt idx="397">
                  <c:v>3.6181146275903568E-3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38-434E-A1FD-14931CF86187}"/>
            </c:ext>
          </c:extLst>
        </c:ser>
        <c:ser>
          <c:idx val="13"/>
          <c:order val="1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ex7자동화!$Z$10:$Z$407</c:f>
              <c:numCache>
                <c:formatCode>General</c:formatCode>
                <c:ptCount val="398"/>
                <c:pt idx="0">
                  <c:v>1.0900196324557917E-295</c:v>
                </c:pt>
                <c:pt idx="1">
                  <c:v>1.4131544838546364E-271</c:v>
                </c:pt>
                <c:pt idx="2">
                  <c:v>7.1349708728085166E-253</c:v>
                </c:pt>
                <c:pt idx="3">
                  <c:v>1.3643738405313597E-237</c:v>
                </c:pt>
                <c:pt idx="4">
                  <c:v>1.135572441030003E-224</c:v>
                </c:pt>
                <c:pt idx="5">
                  <c:v>1.7668584584091764E-213</c:v>
                </c:pt>
                <c:pt idx="6">
                  <c:v>1.3157383547280764E-203</c:v>
                </c:pt>
                <c:pt idx="7">
                  <c:v>8.9101628628319272E-195</c:v>
                </c:pt>
                <c:pt idx="8">
                  <c:v>8.6732821181481823E-187</c:v>
                </c:pt>
                <c:pt idx="9">
                  <c:v>1.7016653317120541E-179</c:v>
                </c:pt>
                <c:pt idx="10">
                  <c:v>8.6985640662242277E-173</c:v>
                </c:pt>
                <c:pt idx="11">
                  <c:v>1.4143812155327733E-166</c:v>
                </c:pt>
                <c:pt idx="12">
                  <c:v>8.5690237590209047E-161</c:v>
                </c:pt>
                <c:pt idx="13">
                  <c:v>2.1974808015187732E-155</c:v>
                </c:pt>
                <c:pt idx="14">
                  <c:v>2.6475688578732572E-150</c:v>
                </c:pt>
                <c:pt idx="15">
                  <c:v>1.6338884355407986E-145</c:v>
                </c:pt>
                <c:pt idx="16">
                  <c:v>5.5524337981772273E-141</c:v>
                </c:pt>
                <c:pt idx="17">
                  <c:v>1.1046446500418039E-136</c:v>
                </c:pt>
                <c:pt idx="18">
                  <c:v>1.3556181292779759E-132</c:v>
                </c:pt>
                <c:pt idx="19">
                  <c:v>1.0733847897501774E-128</c:v>
                </c:pt>
                <c:pt idx="20">
                  <c:v>5.7016281093048547E-125</c:v>
                </c:pt>
                <c:pt idx="21">
                  <c:v>2.1019774042313035E-121</c:v>
                </c:pt>
                <c:pt idx="22">
                  <c:v>5.5410831932603741E-118</c:v>
                </c:pt>
                <c:pt idx="23">
                  <c:v>1.0723235938095055E-114</c:v>
                </c:pt>
                <c:pt idx="24">
                  <c:v>1.5593884616252391E-111</c:v>
                </c:pt>
                <c:pt idx="25">
                  <c:v>1.7398296334947914E-108</c:v>
                </c:pt>
                <c:pt idx="26">
                  <c:v>1.5172567167587032E-105</c:v>
                </c:pt>
                <c:pt idx="27">
                  <c:v>1.0516363797643069E-102</c:v>
                </c:pt>
                <c:pt idx="28">
                  <c:v>5.8812094745615482E-100</c:v>
                </c:pt>
                <c:pt idx="29">
                  <c:v>2.6901673743297864E-97</c:v>
                </c:pt>
                <c:pt idx="30">
                  <c:v>1.0189999164705262E-94</c:v>
                </c:pt>
                <c:pt idx="31">
                  <c:v>3.2325149535002748E-92</c:v>
                </c:pt>
                <c:pt idx="32">
                  <c:v>8.6764568076313555E-90</c:v>
                </c:pt>
                <c:pt idx="33">
                  <c:v>1.9891438308226225E-87</c:v>
                </c:pt>
                <c:pt idx="34">
                  <c:v>3.928820620000291E-85</c:v>
                </c:pt>
                <c:pt idx="35">
                  <c:v>6.738768067977646E-83</c:v>
                </c:pt>
                <c:pt idx="36">
                  <c:v>1.0111186082262103E-80</c:v>
                </c:pt>
                <c:pt idx="37">
                  <c:v>1.3361836166208879E-78</c:v>
                </c:pt>
                <c:pt idx="38">
                  <c:v>1.564926105836052E-76</c:v>
                </c:pt>
                <c:pt idx="39">
                  <c:v>1.6338396634910857E-74</c:v>
                </c:pt>
                <c:pt idx="40">
                  <c:v>1.5288284756569114E-72</c:v>
                </c:pt>
                <c:pt idx="41">
                  <c:v>1.288622190366279E-70</c:v>
                </c:pt>
                <c:pt idx="42">
                  <c:v>9.8298357192888536E-69</c:v>
                </c:pt>
                <c:pt idx="43">
                  <c:v>6.8158885820146777E-67</c:v>
                </c:pt>
                <c:pt idx="44">
                  <c:v>4.3135321967344645E-65</c:v>
                </c:pt>
                <c:pt idx="45">
                  <c:v>2.5011748995929976E-63</c:v>
                </c:pt>
                <c:pt idx="46">
                  <c:v>1.3335775203666955E-61</c:v>
                </c:pt>
                <c:pt idx="47">
                  <c:v>6.5602943832086222E-60</c:v>
                </c:pt>
                <c:pt idx="48">
                  <c:v>2.9870284396066287E-58</c:v>
                </c:pt>
                <c:pt idx="49">
                  <c:v>1.2625996677638178E-56</c:v>
                </c:pt>
                <c:pt idx="50">
                  <c:v>4.9685184701421182E-55</c:v>
                </c:pt>
                <c:pt idx="51">
                  <c:v>1.8250660192664291E-53</c:v>
                </c:pt>
                <c:pt idx="52">
                  <c:v>6.2735315292630247E-52</c:v>
                </c:pt>
                <c:pt idx="53">
                  <c:v>2.0228295708737207E-50</c:v>
                </c:pt>
                <c:pt idx="54">
                  <c:v>6.1319230447867003E-49</c:v>
                </c:pt>
                <c:pt idx="55">
                  <c:v>1.7512542170158102E-47</c:v>
                </c:pt>
                <c:pt idx="56">
                  <c:v>4.7216474947592794E-46</c:v>
                </c:pt>
                <c:pt idx="57">
                  <c:v>1.2040973326476948E-44</c:v>
                </c:pt>
                <c:pt idx="58">
                  <c:v>2.9096650978401943E-43</c:v>
                </c:pt>
                <c:pt idx="59">
                  <c:v>6.6740283939642717E-42</c:v>
                </c:pt>
                <c:pt idx="60">
                  <c:v>1.4554924249347039E-40</c:v>
                </c:pt>
                <c:pt idx="61">
                  <c:v>3.0226446112918513E-39</c:v>
                </c:pt>
                <c:pt idx="62">
                  <c:v>5.9863903116219623E-38</c:v>
                </c:pt>
                <c:pt idx="63">
                  <c:v>1.1322917827931487E-36</c:v>
                </c:pt>
                <c:pt idx="64">
                  <c:v>2.0481055621108277E-35</c:v>
                </c:pt>
                <c:pt idx="65">
                  <c:v>3.5473533379234156E-34</c:v>
                </c:pt>
                <c:pt idx="66">
                  <c:v>5.8904129062581886E-33</c:v>
                </c:pt>
                <c:pt idx="67">
                  <c:v>9.388193882975185E-32</c:v>
                </c:pt>
                <c:pt idx="68">
                  <c:v>1.4377888189248899E-30</c:v>
                </c:pt>
                <c:pt idx="69">
                  <c:v>2.1180852349701661E-29</c:v>
                </c:pt>
                <c:pt idx="70">
                  <c:v>3.0044376331813849E-28</c:v>
                </c:pt>
                <c:pt idx="71">
                  <c:v>4.1074169440573743E-27</c:v>
                </c:pt>
                <c:pt idx="72">
                  <c:v>5.4169317824326983E-26</c:v>
                </c:pt>
                <c:pt idx="73">
                  <c:v>6.8974585021273778E-25</c:v>
                </c:pt>
                <c:pt idx="74">
                  <c:v>8.4864738452262975E-24</c:v>
                </c:pt>
                <c:pt idx="75">
                  <c:v>1.0097135258203347E-22</c:v>
                </c:pt>
                <c:pt idx="76">
                  <c:v>1.1625471396901946E-21</c:v>
                </c:pt>
                <c:pt idx="77">
                  <c:v>1.2961371658757002E-20</c:v>
                </c:pt>
                <c:pt idx="78">
                  <c:v>1.4001748639436404E-19</c:v>
                </c:pt>
                <c:pt idx="79">
                  <c:v>1.4663647092677933E-18</c:v>
                </c:pt>
                <c:pt idx="80">
                  <c:v>1.4894966062191329E-17</c:v>
                </c:pt>
                <c:pt idx="81">
                  <c:v>1.4680889499721797E-16</c:v>
                </c:pt>
                <c:pt idx="82">
                  <c:v>1.4044976524723075E-15</c:v>
                </c:pt>
                <c:pt idx="83">
                  <c:v>1.3044922669739525E-14</c:v>
                </c:pt>
                <c:pt idx="84">
                  <c:v>1.176400182621586E-13</c:v>
                </c:pt>
                <c:pt idx="85">
                  <c:v>1.0299905362386542E-12</c:v>
                </c:pt>
                <c:pt idx="86">
                  <c:v>8.7529775368806719E-12</c:v>
                </c:pt>
                <c:pt idx="87">
                  <c:v>7.2156942895905536E-11</c:v>
                </c:pt>
                <c:pt idx="88">
                  <c:v>5.7647425693926715E-10</c:v>
                </c:pt>
                <c:pt idx="89">
                  <c:v>4.4563909351673637E-9</c:v>
                </c:pt>
                <c:pt idx="90">
                  <c:v>3.325172213496886E-8</c:v>
                </c:pt>
                <c:pt idx="91">
                  <c:v>2.3853653427158019E-7</c:v>
                </c:pt>
                <c:pt idx="92">
                  <c:v>1.634450361899801E-6</c:v>
                </c:pt>
                <c:pt idx="93">
                  <c:v>1.0576567761146161E-5</c:v>
                </c:pt>
                <c:pt idx="94">
                  <c:v>6.3297136990034578E-5</c:v>
                </c:pt>
                <c:pt idx="95">
                  <c:v>3.3650055904933872E-4</c:v>
                </c:pt>
                <c:pt idx="96">
                  <c:v>1.4769734118197989E-3</c:v>
                </c:pt>
                <c:pt idx="97">
                  <c:v>4.8525555905393923E-3</c:v>
                </c:pt>
                <c:pt idx="98">
                  <c:v>1.1336773340130642E-2</c:v>
                </c:pt>
                <c:pt idx="99">
                  <c:v>1.9921626174369496E-2</c:v>
                </c:pt>
                <c:pt idx="100">
                  <c:v>2.9181897675817615E-2</c:v>
                </c:pt>
                <c:pt idx="101">
                  <c:v>3.8470149770400093E-2</c:v>
                </c:pt>
                <c:pt idx="102">
                  <c:v>4.7620251074533833E-2</c:v>
                </c:pt>
                <c:pt idx="103">
                  <c:v>5.660392775859617E-2</c:v>
                </c:pt>
                <c:pt idx="104">
                  <c:v>6.5420578849919753E-2</c:v>
                </c:pt>
                <c:pt idx="105">
                  <c:v>7.4074075992875854E-2</c:v>
                </c:pt>
                <c:pt idx="106">
                  <c:v>8.2568807515185486E-2</c:v>
                </c:pt>
                <c:pt idx="107">
                  <c:v>9.0909090921152597E-2</c:v>
                </c:pt>
                <c:pt idx="108">
                  <c:v>9.9099099099251423E-2</c:v>
                </c:pt>
                <c:pt idx="109">
                  <c:v>0.10714285714270826</c:v>
                </c:pt>
                <c:pt idx="110">
                  <c:v>0.115044247787573</c:v>
                </c:pt>
                <c:pt idx="111">
                  <c:v>0.12280701754385298</c:v>
                </c:pt>
                <c:pt idx="112">
                  <c:v>0.13043478260869457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0.49494949494949497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0.64788732394366222</c:v>
                </c:pt>
                <c:pt idx="282">
                  <c:v>0.64912280701754599</c:v>
                </c:pt>
                <c:pt idx="283">
                  <c:v>0.65034965034967029</c:v>
                </c:pt>
                <c:pt idx="284">
                  <c:v>0.65156794425105036</c:v>
                </c:pt>
                <c:pt idx="285">
                  <c:v>0.65277777777934176</c:v>
                </c:pt>
                <c:pt idx="286">
                  <c:v>0.65397923876760389</c:v>
                </c:pt>
                <c:pt idx="287">
                  <c:v>0.65517241390287106</c:v>
                </c:pt>
                <c:pt idx="288">
                  <c:v>0.65635738919967168</c:v>
                </c:pt>
                <c:pt idx="289">
                  <c:v>0.65753425349839401</c:v>
                </c:pt>
                <c:pt idx="290">
                  <c:v>0.65870312445338508</c:v>
                </c:pt>
                <c:pt idx="291">
                  <c:v>0.65986433665225208</c:v>
                </c:pt>
                <c:pt idx="292">
                  <c:v>0.66101975895549947</c:v>
                </c:pt>
                <c:pt idx="293">
                  <c:v>0.66218165316783095</c:v>
                </c:pt>
                <c:pt idx="294">
                  <c:v>0.6634289945781876</c:v>
                </c:pt>
                <c:pt idx="295">
                  <c:v>0.66523159864985404</c:v>
                </c:pt>
                <c:pt idx="296">
                  <c:v>0.66987171545753521</c:v>
                </c:pt>
                <c:pt idx="297">
                  <c:v>0.68264414854623501</c:v>
                </c:pt>
                <c:pt idx="298">
                  <c:v>0.69959513806996387</c:v>
                </c:pt>
                <c:pt idx="299">
                  <c:v>0.71251115432713952</c:v>
                </c:pt>
                <c:pt idx="300">
                  <c:v>0.72239387476490147</c:v>
                </c:pt>
                <c:pt idx="301">
                  <c:v>0.73059128676637075</c:v>
                </c:pt>
                <c:pt idx="302">
                  <c:v>0.7377049180260864</c:v>
                </c:pt>
                <c:pt idx="303">
                  <c:v>0.74404550770745048</c:v>
                </c:pt>
                <c:pt idx="304">
                  <c:v>0.74979808563571615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0.78046411662849868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0.80489676360802365</c:v>
                </c:pt>
                <c:pt idx="320">
                  <c:v>0.80748559340037396</c:v>
                </c:pt>
                <c:pt idx="321">
                  <c:v>0.80999407670269752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0.81931624613907317</c:v>
                </c:pt>
                <c:pt idx="326">
                  <c:v>0.82148819265437434</c:v>
                </c:pt>
                <c:pt idx="327">
                  <c:v>0.82360328320606901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0.82963454245073964</c:v>
                </c:pt>
                <c:pt idx="331">
                  <c:v>0.46785287857412933</c:v>
                </c:pt>
                <c:pt idx="332">
                  <c:v>0.46509010926487909</c:v>
                </c:pt>
                <c:pt idx="333">
                  <c:v>0.46237547900755038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0.4545025970854405</c:v>
                </c:pt>
                <c:pt idx="337">
                  <c:v>0.45196324762631129</c:v>
                </c:pt>
                <c:pt idx="338">
                  <c:v>0.44946391651969753</c:v>
                </c:pt>
                <c:pt idx="339">
                  <c:v>0.4470032715911087</c:v>
                </c:pt>
                <c:pt idx="340">
                  <c:v>0.44458026843346732</c:v>
                </c:pt>
                <c:pt idx="341">
                  <c:v>0.44201870741125771</c:v>
                </c:pt>
                <c:pt idx="342">
                  <c:v>0.43074247612364147</c:v>
                </c:pt>
                <c:pt idx="343">
                  <c:v>0.41323380240948432</c:v>
                </c:pt>
                <c:pt idx="344">
                  <c:v>0.40291365318320327</c:v>
                </c:pt>
                <c:pt idx="345">
                  <c:v>0.39506449532346744</c:v>
                </c:pt>
                <c:pt idx="346">
                  <c:v>0.38852053453687846</c:v>
                </c:pt>
                <c:pt idx="347">
                  <c:v>0.50088421030721786</c:v>
                </c:pt>
                <c:pt idx="348">
                  <c:v>0.50671305521526533</c:v>
                </c:pt>
                <c:pt idx="349">
                  <c:v>0.51207636184448801</c:v>
                </c:pt>
                <c:pt idx="350">
                  <c:v>0.51706826438675701</c:v>
                </c:pt>
                <c:pt idx="351">
                  <c:v>0.52183472626194594</c:v>
                </c:pt>
                <c:pt idx="352">
                  <c:v>0.54047483399452523</c:v>
                </c:pt>
                <c:pt idx="353">
                  <c:v>0.55088096471266834</c:v>
                </c:pt>
                <c:pt idx="354">
                  <c:v>0.56052942900242186</c:v>
                </c:pt>
                <c:pt idx="355">
                  <c:v>0.45303985417953052</c:v>
                </c:pt>
                <c:pt idx="356">
                  <c:v>0.53650828625350289</c:v>
                </c:pt>
                <c:pt idx="357">
                  <c:v>0.35800701926599549</c:v>
                </c:pt>
                <c:pt idx="358">
                  <c:v>0.39756612561297489</c:v>
                </c:pt>
                <c:pt idx="359">
                  <c:v>0.41977961677377479</c:v>
                </c:pt>
                <c:pt idx="360">
                  <c:v>0.50585984812168872</c:v>
                </c:pt>
                <c:pt idx="361">
                  <c:v>0.3565987785528108</c:v>
                </c:pt>
                <c:pt idx="362">
                  <c:v>0.31370655435421546</c:v>
                </c:pt>
                <c:pt idx="363">
                  <c:v>0.54523486705695512</c:v>
                </c:pt>
                <c:pt idx="364">
                  <c:v>0.53314898400139621</c:v>
                </c:pt>
                <c:pt idx="365">
                  <c:v>0.91432324391614583</c:v>
                </c:pt>
                <c:pt idx="366">
                  <c:v>0.54395893363287096</c:v>
                </c:pt>
                <c:pt idx="367">
                  <c:v>0.76103444177820989</c:v>
                </c:pt>
                <c:pt idx="368">
                  <c:v>0.77108409046077864</c:v>
                </c:pt>
                <c:pt idx="369">
                  <c:v>0.71532163392192982</c:v>
                </c:pt>
                <c:pt idx="370">
                  <c:v>0.70026437791656926</c:v>
                </c:pt>
                <c:pt idx="371">
                  <c:v>0.49617646838436069</c:v>
                </c:pt>
                <c:pt idx="372">
                  <c:v>0.89035661428733803</c:v>
                </c:pt>
                <c:pt idx="373">
                  <c:v>0.2712165014434551</c:v>
                </c:pt>
                <c:pt idx="374">
                  <c:v>0.89310381073793665</c:v>
                </c:pt>
                <c:pt idx="375">
                  <c:v>0.5797174091382038</c:v>
                </c:pt>
                <c:pt idx="376">
                  <c:v>0.87182797665352019</c:v>
                </c:pt>
                <c:pt idx="377">
                  <c:v>0.92216722506001503</c:v>
                </c:pt>
                <c:pt idx="378">
                  <c:v>0.78003315266912576</c:v>
                </c:pt>
                <c:pt idx="379">
                  <c:v>0.5599210732391573</c:v>
                </c:pt>
                <c:pt idx="380">
                  <c:v>0.95741659751887309</c:v>
                </c:pt>
                <c:pt idx="381">
                  <c:v>0.14940599272544328</c:v>
                </c:pt>
                <c:pt idx="382">
                  <c:v>0.49536328357116866</c:v>
                </c:pt>
                <c:pt idx="383">
                  <c:v>0.48938829312462545</c:v>
                </c:pt>
                <c:pt idx="384">
                  <c:v>0.94735117683850578</c:v>
                </c:pt>
                <c:pt idx="385">
                  <c:v>0.13158015125781586</c:v>
                </c:pt>
                <c:pt idx="386">
                  <c:v>0.47439037279439933</c:v>
                </c:pt>
                <c:pt idx="387">
                  <c:v>0.81253721419148506</c:v>
                </c:pt>
                <c:pt idx="388">
                  <c:v>0.31996142770983904</c:v>
                </c:pt>
                <c:pt idx="389">
                  <c:v>0.92530760707227155</c:v>
                </c:pt>
                <c:pt idx="390">
                  <c:v>0.54637953476928691</c:v>
                </c:pt>
                <c:pt idx="391">
                  <c:v>6.1266038980147833E-2</c:v>
                </c:pt>
                <c:pt idx="392">
                  <c:v>0.27448870571653083</c:v>
                </c:pt>
                <c:pt idx="393">
                  <c:v>0.15875572765666696</c:v>
                </c:pt>
                <c:pt idx="394">
                  <c:v>0.78958384494550948</c:v>
                </c:pt>
                <c:pt idx="395">
                  <c:v>0.89420324017178432</c:v>
                </c:pt>
                <c:pt idx="396">
                  <c:v>0.61900241822867885</c:v>
                </c:pt>
                <c:pt idx="397">
                  <c:v>1.4420095496527894E-2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38-434E-A1FD-14931CF86187}"/>
            </c:ext>
          </c:extLst>
        </c:ser>
        <c:ser>
          <c:idx val="14"/>
          <c:order val="1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ex7자동화!$AA$10:$AA$407</c:f>
              <c:numCache>
                <c:formatCode>General</c:formatCode>
                <c:ptCount val="398"/>
                <c:pt idx="0">
                  <c:v>3.2700588973673745E-297</c:v>
                </c:pt>
                <c:pt idx="1">
                  <c:v>5.6526179354185456E-273</c:v>
                </c:pt>
                <c:pt idx="2">
                  <c:v>3.5674854364042588E-254</c:v>
                </c:pt>
                <c:pt idx="3">
                  <c:v>8.1862430431881572E-239</c:v>
                </c:pt>
                <c:pt idx="4">
                  <c:v>7.9490070872100224E-226</c:v>
                </c:pt>
                <c:pt idx="5">
                  <c:v>1.4134867667273411E-214</c:v>
                </c:pt>
                <c:pt idx="6">
                  <c:v>1.1841645192552687E-204</c:v>
                </c:pt>
                <c:pt idx="7">
                  <c:v>8.910162862831928E-196</c:v>
                </c:pt>
                <c:pt idx="8">
                  <c:v>9.5406103299630012E-188</c:v>
                </c:pt>
                <c:pt idx="9">
                  <c:v>2.041998398054465E-180</c:v>
                </c:pt>
                <c:pt idx="10">
                  <c:v>1.1308133286091496E-173</c:v>
                </c:pt>
                <c:pt idx="11">
                  <c:v>1.9801337017458829E-167</c:v>
                </c:pt>
                <c:pt idx="12">
                  <c:v>1.2853535638531356E-161</c:v>
                </c:pt>
                <c:pt idx="13">
                  <c:v>3.5159692824300374E-156</c:v>
                </c:pt>
                <c:pt idx="14">
                  <c:v>4.5008670583845379E-151</c:v>
                </c:pt>
                <c:pt idx="15">
                  <c:v>2.9409991839734371E-146</c:v>
                </c:pt>
                <c:pt idx="16">
                  <c:v>1.0549624216536731E-141</c:v>
                </c:pt>
                <c:pt idx="17">
                  <c:v>2.209289300083608E-137</c:v>
                </c:pt>
                <c:pt idx="18">
                  <c:v>2.8467980714837492E-133</c:v>
                </c:pt>
                <c:pt idx="19">
                  <c:v>2.3614465374503902E-129</c:v>
                </c:pt>
                <c:pt idx="20">
                  <c:v>1.3113744651401166E-125</c:v>
                </c:pt>
                <c:pt idx="21">
                  <c:v>5.0447457701551285E-122</c:v>
                </c:pt>
                <c:pt idx="22">
                  <c:v>1.3852707983150935E-118</c:v>
                </c:pt>
                <c:pt idx="23">
                  <c:v>2.7880413439047144E-115</c:v>
                </c:pt>
                <c:pt idx="24">
                  <c:v>4.2103488463881453E-112</c:v>
                </c:pt>
                <c:pt idx="25">
                  <c:v>4.8715229737854164E-109</c:v>
                </c:pt>
                <c:pt idx="26">
                  <c:v>4.400044478600239E-106</c:v>
                </c:pt>
                <c:pt idx="27">
                  <c:v>3.1549091392929206E-103</c:v>
                </c:pt>
                <c:pt idx="28">
                  <c:v>1.8231749371140799E-100</c:v>
                </c:pt>
                <c:pt idx="29">
                  <c:v>8.6085355978553166E-98</c:v>
                </c:pt>
                <c:pt idx="30">
                  <c:v>3.3626997243527365E-95</c:v>
                </c:pt>
                <c:pt idx="31">
                  <c:v>1.0990550841900935E-92</c:v>
                </c:pt>
                <c:pt idx="32">
                  <c:v>3.0367598826709741E-90</c:v>
                </c:pt>
                <c:pt idx="33">
                  <c:v>7.1609177909614404E-88</c:v>
                </c:pt>
                <c:pt idx="34">
                  <c:v>1.4536636294001078E-85</c:v>
                </c:pt>
                <c:pt idx="35">
                  <c:v>2.5607318658315057E-83</c:v>
                </c:pt>
                <c:pt idx="36">
                  <c:v>3.9433625720822204E-81</c:v>
                </c:pt>
                <c:pt idx="37">
                  <c:v>5.3447344664835518E-79</c:v>
                </c:pt>
                <c:pt idx="38">
                  <c:v>6.4161970339278131E-77</c:v>
                </c:pt>
                <c:pt idx="39">
                  <c:v>6.8621265866625598E-75</c:v>
                </c:pt>
                <c:pt idx="40">
                  <c:v>6.5739624453247191E-73</c:v>
                </c:pt>
                <c:pt idx="41">
                  <c:v>5.6699376376116279E-71</c:v>
                </c:pt>
                <c:pt idx="42">
                  <c:v>4.4234260736799841E-69</c:v>
                </c:pt>
                <c:pt idx="43">
                  <c:v>3.1353087477267518E-67</c:v>
                </c:pt>
                <c:pt idx="44">
                  <c:v>2.0273601324651981E-65</c:v>
                </c:pt>
                <c:pt idx="45">
                  <c:v>1.2005639518046388E-63</c:v>
                </c:pt>
                <c:pt idx="46">
                  <c:v>6.5345298497968081E-62</c:v>
                </c:pt>
                <c:pt idx="47">
                  <c:v>3.2801471916043111E-60</c:v>
                </c:pt>
                <c:pt idx="48">
                  <c:v>1.5233845041993807E-58</c:v>
                </c:pt>
                <c:pt idx="49">
                  <c:v>6.5655182723718534E-57</c:v>
                </c:pt>
                <c:pt idx="50">
                  <c:v>2.6333147891753228E-55</c:v>
                </c:pt>
                <c:pt idx="51">
                  <c:v>9.8553565040387174E-54</c:v>
                </c:pt>
                <c:pt idx="52">
                  <c:v>3.4504423410946641E-52</c:v>
                </c:pt>
                <c:pt idx="53">
                  <c:v>1.1327845596892837E-50</c:v>
                </c:pt>
                <c:pt idx="54">
                  <c:v>3.495196135528419E-49</c:v>
                </c:pt>
                <c:pt idx="55">
                  <c:v>1.0157274458691698E-47</c:v>
                </c:pt>
                <c:pt idx="56">
                  <c:v>2.7857720219079746E-46</c:v>
                </c:pt>
                <c:pt idx="57">
                  <c:v>7.2245839958861693E-45</c:v>
                </c:pt>
                <c:pt idx="58">
                  <c:v>1.7748957096825185E-43</c:v>
                </c:pt>
                <c:pt idx="59">
                  <c:v>4.1378976042578482E-42</c:v>
                </c:pt>
                <c:pt idx="60">
                  <c:v>9.1696022770886344E-41</c:v>
                </c:pt>
                <c:pt idx="61">
                  <c:v>1.9344925512267849E-39</c:v>
                </c:pt>
                <c:pt idx="62">
                  <c:v>3.8911537025542757E-38</c:v>
                </c:pt>
                <c:pt idx="63">
                  <c:v>7.4731257664347815E-37</c:v>
                </c:pt>
                <c:pt idx="64">
                  <c:v>1.3722307266142547E-35</c:v>
                </c:pt>
                <c:pt idx="65">
                  <c:v>2.4122002697879229E-34</c:v>
                </c:pt>
                <c:pt idx="66">
                  <c:v>4.06438490531815E-33</c:v>
                </c:pt>
                <c:pt idx="67">
                  <c:v>6.5717357180826289E-32</c:v>
                </c:pt>
                <c:pt idx="68">
                  <c:v>1.0208300614366717E-30</c:v>
                </c:pt>
                <c:pt idx="69">
                  <c:v>1.5250213691785196E-29</c:v>
                </c:pt>
                <c:pt idx="70">
                  <c:v>2.193239472222411E-28</c:v>
                </c:pt>
                <c:pt idx="71">
                  <c:v>3.0394885386024568E-27</c:v>
                </c:pt>
                <c:pt idx="72">
                  <c:v>4.062698836824524E-26</c:v>
                </c:pt>
                <c:pt idx="73">
                  <c:v>5.2420684616168068E-25</c:v>
                </c:pt>
                <c:pt idx="74">
                  <c:v>6.5345848608242491E-24</c:v>
                </c:pt>
                <c:pt idx="75">
                  <c:v>7.8757655013986103E-23</c:v>
                </c:pt>
                <c:pt idx="76">
                  <c:v>9.1841224035525384E-22</c:v>
                </c:pt>
                <c:pt idx="77">
                  <c:v>1.0369097327005601E-20</c:v>
                </c:pt>
                <c:pt idx="78">
                  <c:v>1.1341416397943487E-19</c:v>
                </c:pt>
                <c:pt idx="79">
                  <c:v>1.2024190615995905E-18</c:v>
                </c:pt>
                <c:pt idx="80">
                  <c:v>1.2362821831618803E-17</c:v>
                </c:pt>
                <c:pt idx="81">
                  <c:v>1.2331947179766306E-16</c:v>
                </c:pt>
                <c:pt idx="82">
                  <c:v>1.1938230046014596E-15</c:v>
                </c:pt>
                <c:pt idx="83">
                  <c:v>1.1218633495975847E-14</c:v>
                </c:pt>
                <c:pt idx="84">
                  <c:v>1.0234681588806594E-13</c:v>
                </c:pt>
                <c:pt idx="85">
                  <c:v>9.0639167188908226E-13</c:v>
                </c:pt>
                <c:pt idx="86">
                  <c:v>7.7901500077556106E-12</c:v>
                </c:pt>
                <c:pt idx="87">
                  <c:v>6.4941248601629017E-11</c:v>
                </c:pt>
                <c:pt idx="88">
                  <c:v>5.2459157351231963E-10</c:v>
                </c:pt>
                <c:pt idx="89">
                  <c:v>4.0998796420833083E-9</c:v>
                </c:pt>
                <c:pt idx="90">
                  <c:v>3.0924100557241408E-8</c:v>
                </c:pt>
                <c:pt idx="91">
                  <c:v>2.2422428872958788E-7</c:v>
                </c:pt>
                <c:pt idx="92">
                  <c:v>1.5527253059482248E-6</c:v>
                </c:pt>
                <c:pt idx="93">
                  <c:v>1.0153397661466131E-5</c:v>
                </c:pt>
                <c:pt idx="94">
                  <c:v>6.1394336548608943E-5</c:v>
                </c:pt>
                <c:pt idx="95">
                  <c:v>3.2965957989463621E-4</c:v>
                </c:pt>
                <c:pt idx="96">
                  <c:v>1.4600440417469704E-3</c:v>
                </c:pt>
                <c:pt idx="97">
                  <c:v>4.8290082947801171E-3</c:v>
                </c:pt>
                <c:pt idx="98">
                  <c:v>1.1320333419468797E-2</c:v>
                </c:pt>
                <c:pt idx="99">
                  <c:v>1.9915250084636935E-2</c:v>
                </c:pt>
                <c:pt idx="100">
                  <c:v>2.91802239595714E-2</c:v>
                </c:pt>
                <c:pt idx="101">
                  <c:v>3.8469805240924804E-2</c:v>
                </c:pt>
                <c:pt idx="102">
                  <c:v>4.76201909002388E-2</c:v>
                </c:pt>
                <c:pt idx="103">
                  <c:v>5.6603918508149546E-2</c:v>
                </c:pt>
                <c:pt idx="104">
                  <c:v>6.5420577582761458E-2</c:v>
                </c:pt>
                <c:pt idx="105">
                  <c:v>7.4074075839371714E-2</c:v>
                </c:pt>
                <c:pt idx="106">
                  <c:v>8.2568807499369262E-2</c:v>
                </c:pt>
                <c:pt idx="107">
                  <c:v>9.0909090919946436E-2</c:v>
                </c:pt>
                <c:pt idx="108">
                  <c:v>9.9099099099234672E-2</c:v>
                </c:pt>
                <c:pt idx="109">
                  <c:v>0.10714285714272613</c:v>
                </c:pt>
                <c:pt idx="110">
                  <c:v>0.11504424778757788</c:v>
                </c:pt>
                <c:pt idx="111">
                  <c:v>0.12280701754385391</c:v>
                </c:pt>
                <c:pt idx="112">
                  <c:v>0.13043478260869473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0.49494949494949486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0.6491228070175421</c:v>
                </c:pt>
                <c:pt idx="283">
                  <c:v>0.65034965034963321</c:v>
                </c:pt>
                <c:pt idx="284">
                  <c:v>0.65156794425071518</c:v>
                </c:pt>
                <c:pt idx="285">
                  <c:v>0.65277777777640145</c:v>
                </c:pt>
                <c:pt idx="286">
                  <c:v>0.6539792387425073</c:v>
                </c:pt>
                <c:pt idx="287">
                  <c:v>0.65517241369431256</c:v>
                </c:pt>
                <c:pt idx="288">
                  <c:v>0.65635738751214756</c:v>
                </c:pt>
                <c:pt idx="289">
                  <c:v>0.65753424020613493</c:v>
                </c:pt>
                <c:pt idx="290">
                  <c:v>0.65870302258598878</c:v>
                </c:pt>
                <c:pt idx="291">
                  <c:v>0.65986357796820205</c:v>
                </c:pt>
                <c:pt idx="292">
                  <c:v>0.6610142798164429</c:v>
                </c:pt>
                <c:pt idx="293">
                  <c:v>0.66214344967221817</c:v>
                </c:pt>
                <c:pt idx="294">
                  <c:v>0.66317416228155335</c:v>
                </c:pt>
                <c:pt idx="295">
                  <c:v>0.66364158604668844</c:v>
                </c:pt>
                <c:pt idx="296">
                  <c:v>0.66121936485966748</c:v>
                </c:pt>
                <c:pt idx="297">
                  <c:v>0.64992334500546245</c:v>
                </c:pt>
                <c:pt idx="298">
                  <c:v>0.63258696038508444</c:v>
                </c:pt>
                <c:pt idx="299">
                  <c:v>0.61861380804537103</c:v>
                </c:pt>
                <c:pt idx="300">
                  <c:v>0.60763912233517148</c:v>
                </c:pt>
                <c:pt idx="301">
                  <c:v>0.59835608174098531</c:v>
                </c:pt>
                <c:pt idx="302">
                  <c:v>0.59016393443594517</c:v>
                </c:pt>
                <c:pt idx="303">
                  <c:v>0.58275187791350691</c:v>
                </c:pt>
                <c:pt idx="304">
                  <c:v>0.57593481338708541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0.53800722095111919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0.50566224260315651</c:v>
                </c:pt>
                <c:pt idx="320">
                  <c:v>0.50211192981944031</c:v>
                </c:pt>
                <c:pt idx="321">
                  <c:v>0.49864789860594438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0.48556180264141469</c:v>
                </c:pt>
                <c:pt idx="326">
                  <c:v>0.48246317512678061</c:v>
                </c:pt>
                <c:pt idx="327">
                  <c:v>0.4794270198242338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0.47066575784956083</c:v>
                </c:pt>
                <c:pt idx="331">
                  <c:v>0.83154831903066118</c:v>
                </c:pt>
                <c:pt idx="332">
                  <c:v>0.83341735342168732</c:v>
                </c:pt>
                <c:pt idx="333">
                  <c:v>0.83524356861149807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0.84048265365202257</c:v>
                </c:pt>
                <c:pt idx="337">
                  <c:v>0.84215439943272219</c:v>
                </c:pt>
                <c:pt idx="338">
                  <c:v>0.8437912155486692</c:v>
                </c:pt>
                <c:pt idx="339">
                  <c:v>0.84539440598060334</c:v>
                </c:pt>
                <c:pt idx="340">
                  <c:v>0.84696528100111057</c:v>
                </c:pt>
                <c:pt idx="341">
                  <c:v>0.84843530380150101</c:v>
                </c:pt>
                <c:pt idx="342">
                  <c:v>0.84595171408347891</c:v>
                </c:pt>
                <c:pt idx="343">
                  <c:v>0.83895182926666523</c:v>
                </c:pt>
                <c:pt idx="344">
                  <c:v>0.8347926171783373</c:v>
                </c:pt>
                <c:pt idx="345">
                  <c:v>0.83168011870681935</c:v>
                </c:pt>
                <c:pt idx="346">
                  <c:v>0.82912742744239787</c:v>
                </c:pt>
                <c:pt idx="347">
                  <c:v>0.8749972636024641</c:v>
                </c:pt>
                <c:pt idx="348">
                  <c:v>0.87734182146276551</c:v>
                </c:pt>
                <c:pt idx="349">
                  <c:v>0.87948664842579549</c:v>
                </c:pt>
                <c:pt idx="350">
                  <c:v>0.88147162045840788</c:v>
                </c:pt>
                <c:pt idx="351">
                  <c:v>0.8833122863408932</c:v>
                </c:pt>
                <c:pt idx="352">
                  <c:v>0.88168434673656038</c:v>
                </c:pt>
                <c:pt idx="353">
                  <c:v>0.8807836136504732</c:v>
                </c:pt>
                <c:pt idx="354">
                  <c:v>0.87942019196196741</c:v>
                </c:pt>
                <c:pt idx="355">
                  <c:v>0.88710518604218247</c:v>
                </c:pt>
                <c:pt idx="356">
                  <c:v>0.89271505067504786</c:v>
                </c:pt>
                <c:pt idx="357">
                  <c:v>0.82741677632018151</c:v>
                </c:pt>
                <c:pt idx="358">
                  <c:v>0.86462135797480799</c:v>
                </c:pt>
                <c:pt idx="359">
                  <c:v>0.88170417821643599</c:v>
                </c:pt>
                <c:pt idx="360">
                  <c:v>0.90737535371336642</c:v>
                </c:pt>
                <c:pt idx="361">
                  <c:v>0.83514736646233334</c:v>
                </c:pt>
                <c:pt idx="362">
                  <c:v>0.78582584519938703</c:v>
                </c:pt>
                <c:pt idx="363">
                  <c:v>0.90751093289656304</c:v>
                </c:pt>
                <c:pt idx="364">
                  <c:v>0.91346720163500783</c:v>
                </c:pt>
                <c:pt idx="365">
                  <c:v>0.2882773983469511</c:v>
                </c:pt>
                <c:pt idx="366">
                  <c:v>0.91536948884774649</c:v>
                </c:pt>
                <c:pt idx="367">
                  <c:v>0.67288577476049194</c:v>
                </c:pt>
                <c:pt idx="368">
                  <c:v>0.65486477298548429</c:v>
                </c:pt>
                <c:pt idx="369">
                  <c:v>0.75752812955050841</c:v>
                </c:pt>
                <c:pt idx="370">
                  <c:v>0.78290528743758192</c:v>
                </c:pt>
                <c:pt idx="371">
                  <c:v>0.93494532346638093</c:v>
                </c:pt>
                <c:pt idx="372">
                  <c:v>0.36608142630797402</c:v>
                </c:pt>
                <c:pt idx="373">
                  <c:v>0.74319449656373504</c:v>
                </c:pt>
                <c:pt idx="374">
                  <c:v>0.35991961531708805</c:v>
                </c:pt>
                <c:pt idx="375">
                  <c:v>0.92097860909150453</c:v>
                </c:pt>
                <c:pt idx="376">
                  <c:v>0.42350959239766967</c:v>
                </c:pt>
                <c:pt idx="377">
                  <c:v>0.27274436952348113</c:v>
                </c:pt>
                <c:pt idx="378">
                  <c:v>0.65372526127758435</c:v>
                </c:pt>
                <c:pt idx="379">
                  <c:v>0.94128415623073403</c:v>
                </c:pt>
                <c:pt idx="380">
                  <c:v>0.15614931568360532</c:v>
                </c:pt>
                <c:pt idx="381">
                  <c:v>0.48800195352256537</c:v>
                </c:pt>
                <c:pt idx="382">
                  <c:v>0.96241722831392063</c:v>
                </c:pt>
                <c:pt idx="383">
                  <c:v>0.96456533187395777</c:v>
                </c:pt>
                <c:pt idx="384">
                  <c:v>0.19302369812925921</c:v>
                </c:pt>
                <c:pt idx="385">
                  <c:v>0.44335524240481028</c:v>
                </c:pt>
                <c:pt idx="386">
                  <c:v>0.96994873180817764</c:v>
                </c:pt>
                <c:pt idx="387">
                  <c:v>0.59404991000716056</c:v>
                </c:pt>
                <c:pt idx="388">
                  <c:v>0.85076169982698724</c:v>
                </c:pt>
                <c:pt idx="389">
                  <c:v>0.2709246823165164</c:v>
                </c:pt>
                <c:pt idx="390">
                  <c:v>0.97404632930551704</c:v>
                </c:pt>
                <c:pt idx="391">
                  <c:v>0.22659929510445351</c:v>
                </c:pt>
                <c:pt idx="392">
                  <c:v>0.78662139179484858</c:v>
                </c:pt>
                <c:pt idx="393">
                  <c:v>0.52886729250776188</c:v>
                </c:pt>
                <c:pt idx="394">
                  <c:v>0.65958055108390323</c:v>
                </c:pt>
                <c:pt idx="395">
                  <c:v>0.37652314564350481</c:v>
                </c:pt>
                <c:pt idx="396">
                  <c:v>0.9409953135783492</c:v>
                </c:pt>
                <c:pt idx="397">
                  <c:v>5.6848625369595639E-2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38-434E-A1FD-14931CF86187}"/>
            </c:ext>
          </c:extLst>
        </c:ser>
        <c:ser>
          <c:idx val="15"/>
          <c:order val="1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ex7자동화!$AB$10:$AB$407</c:f>
              <c:numCache>
                <c:formatCode>General</c:formatCode>
                <c:ptCount val="398"/>
                <c:pt idx="0">
                  <c:v>9.8101766921021238E-299</c:v>
                </c:pt>
                <c:pt idx="1">
                  <c:v>2.2610471741674182E-274</c:v>
                </c:pt>
                <c:pt idx="2">
                  <c:v>1.7837427182021294E-255</c:v>
                </c:pt>
                <c:pt idx="3">
                  <c:v>4.9117458259128944E-240</c:v>
                </c:pt>
                <c:pt idx="4">
                  <c:v>5.5643049610470165E-227</c:v>
                </c:pt>
                <c:pt idx="5">
                  <c:v>1.1307894133818729E-215</c:v>
                </c:pt>
                <c:pt idx="6">
                  <c:v>1.0657480673297419E-205</c:v>
                </c:pt>
                <c:pt idx="7">
                  <c:v>8.9101628628319284E-197</c:v>
                </c:pt>
                <c:pt idx="8">
                  <c:v>1.0494671362959302E-188</c:v>
                </c:pt>
                <c:pt idx="9">
                  <c:v>2.4503980776653577E-181</c:v>
                </c:pt>
                <c:pt idx="10">
                  <c:v>1.4700573271918946E-174</c:v>
                </c:pt>
                <c:pt idx="11">
                  <c:v>2.7721871824442361E-168</c:v>
                </c:pt>
                <c:pt idx="12">
                  <c:v>1.9280303457797033E-162</c:v>
                </c:pt>
                <c:pt idx="13">
                  <c:v>5.6255508518880598E-157</c:v>
                </c:pt>
                <c:pt idx="14">
                  <c:v>7.6514739992537153E-152</c:v>
                </c:pt>
                <c:pt idx="15">
                  <c:v>5.293798531152187E-147</c:v>
                </c:pt>
                <c:pt idx="16">
                  <c:v>2.0044286011419788E-142</c:v>
                </c:pt>
                <c:pt idx="17">
                  <c:v>4.4185786001672164E-138</c:v>
                </c:pt>
                <c:pt idx="18">
                  <c:v>5.9782759501158727E-134</c:v>
                </c:pt>
                <c:pt idx="19">
                  <c:v>5.1951823823908584E-130</c:v>
                </c:pt>
                <c:pt idx="20">
                  <c:v>3.0161612698222682E-126</c:v>
                </c:pt>
                <c:pt idx="21">
                  <c:v>1.2107389848372308E-122</c:v>
                </c:pt>
                <c:pt idx="22">
                  <c:v>3.4631769957877338E-119</c:v>
                </c:pt>
                <c:pt idx="23">
                  <c:v>7.2489074941522573E-116</c:v>
                </c:pt>
                <c:pt idx="24">
                  <c:v>1.1367941885247994E-112</c:v>
                </c:pt>
                <c:pt idx="25">
                  <c:v>1.3640264326599166E-109</c:v>
                </c:pt>
                <c:pt idx="26">
                  <c:v>1.2760128987940692E-106</c:v>
                </c:pt>
                <c:pt idx="27">
                  <c:v>9.464727417878762E-104</c:v>
                </c:pt>
                <c:pt idx="28">
                  <c:v>5.6518423050536475E-101</c:v>
                </c:pt>
                <c:pt idx="29">
                  <c:v>2.7547313913137013E-98</c:v>
                </c:pt>
                <c:pt idx="30">
                  <c:v>1.1096909090364031E-95</c:v>
                </c:pt>
                <c:pt idx="31">
                  <c:v>3.736787286246318E-93</c:v>
                </c:pt>
                <c:pt idx="32">
                  <c:v>1.0628659589348408E-90</c:v>
                </c:pt>
                <c:pt idx="33">
                  <c:v>2.5779304047461184E-88</c:v>
                </c:pt>
                <c:pt idx="34">
                  <c:v>5.378555428780399E-86</c:v>
                </c:pt>
                <c:pt idx="35">
                  <c:v>9.7307810901597225E-84</c:v>
                </c:pt>
                <c:pt idx="36">
                  <c:v>1.5379114031120659E-81</c:v>
                </c:pt>
                <c:pt idx="37">
                  <c:v>2.1378937865934209E-79</c:v>
                </c:pt>
                <c:pt idx="38">
                  <c:v>2.6306407839104032E-77</c:v>
                </c:pt>
                <c:pt idx="39">
                  <c:v>2.8820931663982752E-75</c:v>
                </c:pt>
                <c:pt idx="40">
                  <c:v>2.826803851489629E-73</c:v>
                </c:pt>
                <c:pt idx="41">
                  <c:v>2.4947725605491164E-71</c:v>
                </c:pt>
                <c:pt idx="42">
                  <c:v>1.9905417331559929E-69</c:v>
                </c:pt>
                <c:pt idx="43">
                  <c:v>1.442242023954306E-67</c:v>
                </c:pt>
                <c:pt idx="44">
                  <c:v>9.5285926225864311E-66</c:v>
                </c:pt>
                <c:pt idx="45">
                  <c:v>5.7627069686622659E-64</c:v>
                </c:pt>
                <c:pt idx="46">
                  <c:v>3.2019196264004358E-62</c:v>
                </c:pt>
                <c:pt idx="47">
                  <c:v>1.6400735958021556E-60</c:v>
                </c:pt>
                <c:pt idx="48">
                  <c:v>7.7692609714168411E-59</c:v>
                </c:pt>
                <c:pt idx="49">
                  <c:v>3.4140695016333637E-57</c:v>
                </c:pt>
                <c:pt idx="50">
                  <c:v>1.3956568382629212E-55</c:v>
                </c:pt>
                <c:pt idx="51">
                  <c:v>5.3218925121809083E-54</c:v>
                </c:pt>
                <c:pt idx="52">
                  <c:v>1.8977432876020654E-52</c:v>
                </c:pt>
                <c:pt idx="53">
                  <c:v>6.3435935342599892E-51</c:v>
                </c:pt>
                <c:pt idx="54">
                  <c:v>1.9922617972511985E-49</c:v>
                </c:pt>
                <c:pt idx="55">
                  <c:v>5.8912191860411851E-48</c:v>
                </c:pt>
                <c:pt idx="56">
                  <c:v>1.6436054929257049E-46</c:v>
                </c:pt>
                <c:pt idx="57">
                  <c:v>4.3347503975317015E-45</c:v>
                </c:pt>
                <c:pt idx="58">
                  <c:v>1.0826863829063362E-43</c:v>
                </c:pt>
                <c:pt idx="59">
                  <c:v>2.565496514639866E-42</c:v>
                </c:pt>
                <c:pt idx="60">
                  <c:v>5.77684943456584E-41</c:v>
                </c:pt>
                <c:pt idx="61">
                  <c:v>1.2380752327851424E-39</c:v>
                </c:pt>
                <c:pt idx="62">
                  <c:v>2.5292499066602795E-38</c:v>
                </c:pt>
                <c:pt idx="63">
                  <c:v>4.9322630058469557E-37</c:v>
                </c:pt>
                <c:pt idx="64">
                  <c:v>9.1939458683155065E-36</c:v>
                </c:pt>
                <c:pt idx="65">
                  <c:v>1.6402961834557876E-34</c:v>
                </c:pt>
                <c:pt idx="66">
                  <c:v>2.8044255846695233E-33</c:v>
                </c:pt>
                <c:pt idx="67">
                  <c:v>4.6002150026578398E-32</c:v>
                </c:pt>
                <c:pt idx="68">
                  <c:v>7.2478934362003687E-31</c:v>
                </c:pt>
                <c:pt idx="69">
                  <c:v>1.0980153858085341E-29</c:v>
                </c:pt>
                <c:pt idx="70">
                  <c:v>1.6010648147223599E-28</c:v>
                </c:pt>
                <c:pt idx="71">
                  <c:v>2.2492215185658181E-27</c:v>
                </c:pt>
                <c:pt idx="72">
                  <c:v>3.0470241276183933E-26</c:v>
                </c:pt>
                <c:pt idx="73">
                  <c:v>3.9839720308287732E-25</c:v>
                </c:pt>
                <c:pt idx="74">
                  <c:v>5.031630342834672E-24</c:v>
                </c:pt>
                <c:pt idx="75">
                  <c:v>6.143097091090916E-23</c:v>
                </c:pt>
                <c:pt idx="76">
                  <c:v>7.2554566988065058E-22</c:v>
                </c:pt>
                <c:pt idx="77">
                  <c:v>8.2952778616044817E-21</c:v>
                </c:pt>
                <c:pt idx="78">
                  <c:v>9.1865472823342253E-20</c:v>
                </c:pt>
                <c:pt idx="79">
                  <c:v>9.8598363051166415E-19</c:v>
                </c:pt>
                <c:pt idx="80">
                  <c:v>1.0261142120243607E-17</c:v>
                </c:pt>
                <c:pt idx="81">
                  <c:v>1.0358835631003695E-16</c:v>
                </c:pt>
                <c:pt idx="82">
                  <c:v>1.0147495539112395E-15</c:v>
                </c:pt>
                <c:pt idx="83">
                  <c:v>9.6480248065391197E-15</c:v>
                </c:pt>
                <c:pt idx="84">
                  <c:v>8.9041729822608264E-14</c:v>
                </c:pt>
                <c:pt idx="85">
                  <c:v>7.9762467126166947E-13</c:v>
                </c:pt>
                <c:pt idx="86">
                  <c:v>6.9332335068484831E-12</c:v>
                </c:pt>
                <c:pt idx="87">
                  <c:v>5.8447123737670483E-11</c:v>
                </c:pt>
                <c:pt idx="88">
                  <c:v>4.7737833164578229E-10</c:v>
                </c:pt>
                <c:pt idx="89">
                  <c:v>3.7718892552523521E-9</c:v>
                </c:pt>
                <c:pt idx="90">
                  <c:v>2.8759412628875517E-8</c:v>
                </c:pt>
                <c:pt idx="91">
                  <c:v>2.1077078414587285E-7</c:v>
                </c:pt>
                <c:pt idx="92">
                  <c:v>1.4750867502427313E-6</c:v>
                </c:pt>
                <c:pt idx="93">
                  <c:v>9.7471627871827764E-6</c:v>
                </c:pt>
                <c:pt idx="94">
                  <c:v>5.9548850265527236E-5</c:v>
                </c:pt>
                <c:pt idx="95">
                  <c:v>3.2295988636689952E-4</c:v>
                </c:pt>
                <c:pt idx="96">
                  <c:v>1.4433331900116984E-3</c:v>
                </c:pt>
                <c:pt idx="97">
                  <c:v>4.8056889736690618E-3</c:v>
                </c:pt>
                <c:pt idx="98">
                  <c:v>1.1304105305448264E-2</c:v>
                </c:pt>
                <c:pt idx="99">
                  <c:v>1.9909005556677371E-2</c:v>
                </c:pt>
                <c:pt idx="100">
                  <c:v>2.9178600643917876E-2</c:v>
                </c:pt>
                <c:pt idx="101">
                  <c:v>3.8469474498676125E-2</c:v>
                </c:pt>
                <c:pt idx="102">
                  <c:v>4.7620133734806794E-2</c:v>
                </c:pt>
                <c:pt idx="103">
                  <c:v>5.660390981273266E-2</c:v>
                </c:pt>
                <c:pt idx="104">
                  <c:v>6.5420576404304306E-2</c:v>
                </c:pt>
                <c:pt idx="105">
                  <c:v>7.4074075698147904E-2</c:v>
                </c:pt>
                <c:pt idx="106">
                  <c:v>8.2568807484976497E-2</c:v>
                </c:pt>
                <c:pt idx="107">
                  <c:v>9.0909090918860888E-2</c:v>
                </c:pt>
                <c:pt idx="108">
                  <c:v>9.9099099099219767E-2</c:v>
                </c:pt>
                <c:pt idx="109">
                  <c:v>0.10714285714274187</c:v>
                </c:pt>
                <c:pt idx="110">
                  <c:v>0.11504424778758211</c:v>
                </c:pt>
                <c:pt idx="111">
                  <c:v>0.12280701754385469</c:v>
                </c:pt>
                <c:pt idx="112">
                  <c:v>0.13043478260869487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0.49494949494949503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0.64788732394366222</c:v>
                </c:pt>
                <c:pt idx="282">
                  <c:v>0.64912280701754532</c:v>
                </c:pt>
                <c:pt idx="283">
                  <c:v>0.65034965034966508</c:v>
                </c:pt>
                <c:pt idx="284">
                  <c:v>0.65156794425100673</c:v>
                </c:pt>
                <c:pt idx="285">
                  <c:v>0.65277777777898893</c:v>
                </c:pt>
                <c:pt idx="286">
                  <c:v>0.65397923876484321</c:v>
                </c:pt>
                <c:pt idx="287">
                  <c:v>0.65517241388201519</c:v>
                </c:pt>
                <c:pt idx="288">
                  <c:v>0.6563573890477945</c:v>
                </c:pt>
                <c:pt idx="289">
                  <c:v>0.65753425243501329</c:v>
                </c:pt>
                <c:pt idx="290">
                  <c:v>0.6587031173226684</c:v>
                </c:pt>
                <c:pt idx="291">
                  <c:v>0.65986429113126144</c:v>
                </c:pt>
                <c:pt idx="292">
                  <c:v>0.66101948500081709</c:v>
                </c:pt>
                <c:pt idx="293">
                  <c:v>0.66218012511604285</c:v>
                </c:pt>
                <c:pt idx="294">
                  <c:v>0.66342135250822853</c:v>
                </c:pt>
                <c:pt idx="295">
                  <c:v>0.66519986532205033</c:v>
                </c:pt>
                <c:pt idx="296">
                  <c:v>0.66978486601879383</c:v>
                </c:pt>
                <c:pt idx="297">
                  <c:v>0.68256897186711918</c:v>
                </c:pt>
                <c:pt idx="298">
                  <c:v>0.69958630078689055</c:v>
                </c:pt>
                <c:pt idx="299">
                  <c:v>0.71251090891374713</c:v>
                </c:pt>
                <c:pt idx="300">
                  <c:v>0.72239387260902932</c:v>
                </c:pt>
                <c:pt idx="301">
                  <c:v>0.73059128680106422</c:v>
                </c:pt>
                <c:pt idx="302">
                  <c:v>0.7377049180274432</c:v>
                </c:pt>
                <c:pt idx="303">
                  <c:v>0.74404550770747147</c:v>
                </c:pt>
                <c:pt idx="304">
                  <c:v>0.74979808563571637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0.78046411662849857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0.80489676360802376</c:v>
                </c:pt>
                <c:pt idx="320">
                  <c:v>0.80748559340037396</c:v>
                </c:pt>
                <c:pt idx="321">
                  <c:v>0.80999407670269741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0.81931624613907328</c:v>
                </c:pt>
                <c:pt idx="326">
                  <c:v>0.82148819265437434</c:v>
                </c:pt>
                <c:pt idx="327">
                  <c:v>0.82360328320606868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0.82963454245073986</c:v>
                </c:pt>
                <c:pt idx="331">
                  <c:v>0.46785287857412933</c:v>
                </c:pt>
                <c:pt idx="332">
                  <c:v>0.46509010926488015</c:v>
                </c:pt>
                <c:pt idx="333">
                  <c:v>0.46237547900754933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0.4545025970854405</c:v>
                </c:pt>
                <c:pt idx="337">
                  <c:v>0.45196324762603285</c:v>
                </c:pt>
                <c:pt idx="338">
                  <c:v>0.44946391638044847</c:v>
                </c:pt>
                <c:pt idx="339">
                  <c:v>0.44700324876518704</c:v>
                </c:pt>
                <c:pt idx="340">
                  <c:v>0.44457977166478396</c:v>
                </c:pt>
                <c:pt idx="341">
                  <c:v>0.44235936638275958</c:v>
                </c:pt>
                <c:pt idx="342">
                  <c:v>0.44959506975332492</c:v>
                </c:pt>
                <c:pt idx="343">
                  <c:v>0.46748633473126378</c:v>
                </c:pt>
                <c:pt idx="344">
                  <c:v>0.47856124508559111</c:v>
                </c:pt>
                <c:pt idx="345">
                  <c:v>0.48715928001411318</c:v>
                </c:pt>
                <c:pt idx="346">
                  <c:v>0.49444622640297048</c:v>
                </c:pt>
                <c:pt idx="347">
                  <c:v>0.38281968301732416</c:v>
                </c:pt>
                <c:pt idx="348">
                  <c:v>0.37772215571081996</c:v>
                </c:pt>
                <c:pt idx="349">
                  <c:v>0.37308439050627956</c:v>
                </c:pt>
                <c:pt idx="350">
                  <c:v>0.36881229183047254</c:v>
                </c:pt>
                <c:pt idx="351">
                  <c:v>0.36487378663601455</c:v>
                </c:pt>
                <c:pt idx="352">
                  <c:v>0.37032556106981229</c:v>
                </c:pt>
                <c:pt idx="353">
                  <c:v>0.37381366888802231</c:v>
                </c:pt>
                <c:pt idx="354">
                  <c:v>0.37856393501561131</c:v>
                </c:pt>
                <c:pt idx="355">
                  <c:v>0.35853547828250537</c:v>
                </c:pt>
                <c:pt idx="356">
                  <c:v>0.34383185141412759</c:v>
                </c:pt>
                <c:pt idx="357">
                  <c:v>0.51407371650276079</c:v>
                </c:pt>
                <c:pt idx="358">
                  <c:v>0.42255506776407098</c:v>
                </c:pt>
                <c:pt idx="359">
                  <c:v>0.37757295160225735</c:v>
                </c:pt>
                <c:pt idx="360">
                  <c:v>0.30508451590848185</c:v>
                </c:pt>
                <c:pt idx="361">
                  <c:v>0.50114152362223929</c:v>
                </c:pt>
                <c:pt idx="362">
                  <c:v>0.61430808968860462</c:v>
                </c:pt>
                <c:pt idx="363">
                  <c:v>0.30720151282536878</c:v>
                </c:pt>
                <c:pt idx="364">
                  <c:v>0.29009468454166487</c:v>
                </c:pt>
                <c:pt idx="365">
                  <c:v>0.75503862701329283</c:v>
                </c:pt>
                <c:pt idx="366">
                  <c:v>0.28585761273979504</c:v>
                </c:pt>
                <c:pt idx="367">
                  <c:v>0.81440888287621849</c:v>
                </c:pt>
                <c:pt idx="368">
                  <c:v>0.83852270674705287</c:v>
                </c:pt>
                <c:pt idx="369">
                  <c:v>0.68328685646360565</c:v>
                </c:pt>
                <c:pt idx="370">
                  <c:v>0.63396795180767462</c:v>
                </c:pt>
                <c:pt idx="371">
                  <c:v>0.2274763953242725</c:v>
                </c:pt>
                <c:pt idx="372">
                  <c:v>0.87024680857610026</c:v>
                </c:pt>
                <c:pt idx="373">
                  <c:v>0.71762020252257908</c:v>
                </c:pt>
                <c:pt idx="374">
                  <c:v>0.8685231215681195</c:v>
                </c:pt>
                <c:pt idx="375">
                  <c:v>0.27509710039830476</c:v>
                </c:pt>
                <c:pt idx="376">
                  <c:v>0.92532553449490318</c:v>
                </c:pt>
                <c:pt idx="377">
                  <c:v>0.75374853798353569</c:v>
                </c:pt>
                <c:pt idx="378">
                  <c:v>0.86246415281197741</c:v>
                </c:pt>
                <c:pt idx="379">
                  <c:v>0.21112488101616525</c:v>
                </c:pt>
                <c:pt idx="380">
                  <c:v>0.50466648740841336</c:v>
                </c:pt>
                <c:pt idx="381">
                  <c:v>0.95944722002198524</c:v>
                </c:pt>
                <c:pt idx="382">
                  <c:v>0.13925568179011491</c:v>
                </c:pt>
                <c:pt idx="383">
                  <c:v>0.13193114234444039</c:v>
                </c:pt>
                <c:pt idx="384">
                  <c:v>0.60281267884738599</c:v>
                </c:pt>
                <c:pt idx="385">
                  <c:v>0.95755052117549089</c:v>
                </c:pt>
                <c:pt idx="386">
                  <c:v>0.11338645704563469</c:v>
                </c:pt>
                <c:pt idx="387">
                  <c:v>0.94050299626781553</c:v>
                </c:pt>
                <c:pt idx="388">
                  <c:v>0.49643795904382659</c:v>
                </c:pt>
                <c:pt idx="389">
                  <c:v>0.77429603540658742</c:v>
                </c:pt>
                <c:pt idx="390">
                  <c:v>9.9350705250823595E-2</c:v>
                </c:pt>
                <c:pt idx="391">
                  <c:v>0.69049309497671607</c:v>
                </c:pt>
                <c:pt idx="392">
                  <c:v>0.66300030217405648</c:v>
                </c:pt>
                <c:pt idx="393">
                  <c:v>0.98670005051615439</c:v>
                </c:pt>
                <c:pt idx="394">
                  <c:v>0.89140016943155831</c:v>
                </c:pt>
                <c:pt idx="395">
                  <c:v>0.93431879642413507</c:v>
                </c:pt>
                <c:pt idx="396">
                  <c:v>0.22153730227371449</c:v>
                </c:pt>
                <c:pt idx="397">
                  <c:v>0.21446743665273202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38-434E-A1FD-14931CF86187}"/>
            </c:ext>
          </c:extLst>
        </c:ser>
        <c:ser>
          <c:idx val="16"/>
          <c:order val="1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ex7자동화!$AC$10:$AC$407</c:f>
              <c:numCache>
                <c:formatCode>General</c:formatCode>
                <c:ptCount val="398"/>
                <c:pt idx="0">
                  <c:v>2.9430530076306369E-300</c:v>
                </c:pt>
                <c:pt idx="1">
                  <c:v>9.0441886966696738E-276</c:v>
                </c:pt>
                <c:pt idx="2">
                  <c:v>8.9187135910106478E-257</c:v>
                </c:pt>
                <c:pt idx="3">
                  <c:v>2.9470474955477366E-241</c:v>
                </c:pt>
                <c:pt idx="4">
                  <c:v>3.8950134727329119E-228</c:v>
                </c:pt>
                <c:pt idx="5">
                  <c:v>9.0463153070549835E-217</c:v>
                </c:pt>
                <c:pt idx="6">
                  <c:v>9.5917326059676763E-207</c:v>
                </c:pt>
                <c:pt idx="7">
                  <c:v>8.910162862831929E-198</c:v>
                </c:pt>
                <c:pt idx="8">
                  <c:v>1.1544138499255231E-189</c:v>
                </c:pt>
                <c:pt idx="9">
                  <c:v>2.9404776931984291E-182</c:v>
                </c:pt>
                <c:pt idx="10">
                  <c:v>1.911074525349463E-175</c:v>
                </c:pt>
                <c:pt idx="11">
                  <c:v>3.881062055421931E-169</c:v>
                </c:pt>
                <c:pt idx="12">
                  <c:v>2.8920455186695546E-163</c:v>
                </c:pt>
                <c:pt idx="13">
                  <c:v>9.0008813630208953E-158</c:v>
                </c:pt>
                <c:pt idx="14">
                  <c:v>1.3007505798731318E-152</c:v>
                </c:pt>
                <c:pt idx="15">
                  <c:v>9.5288373560739359E-148</c:v>
                </c:pt>
                <c:pt idx="16">
                  <c:v>3.8084143421697597E-143</c:v>
                </c:pt>
                <c:pt idx="17">
                  <c:v>8.8371572003344337E-139</c:v>
                </c:pt>
                <c:pt idx="18">
                  <c:v>1.2554379495243333E-134</c:v>
                </c:pt>
                <c:pt idx="19">
                  <c:v>1.1429401241259888E-130</c:v>
                </c:pt>
                <c:pt idx="20">
                  <c:v>6.9371709205912171E-127</c:v>
                </c:pt>
                <c:pt idx="21">
                  <c:v>2.9057735636093537E-123</c:v>
                </c:pt>
                <c:pt idx="22">
                  <c:v>8.6579424894693345E-120</c:v>
                </c:pt>
                <c:pt idx="23">
                  <c:v>1.884715948479587E-116</c:v>
                </c:pt>
                <c:pt idx="24">
                  <c:v>3.0693443090169583E-113</c:v>
                </c:pt>
                <c:pt idx="25">
                  <c:v>3.819274011447767E-110</c:v>
                </c:pt>
                <c:pt idx="26">
                  <c:v>3.7004374065028003E-107</c:v>
                </c:pt>
                <c:pt idx="27">
                  <c:v>2.8394182253636285E-104</c:v>
                </c:pt>
                <c:pt idx="28">
                  <c:v>1.7520711145666307E-101</c:v>
                </c:pt>
                <c:pt idx="29">
                  <c:v>8.8151404522038439E-99</c:v>
                </c:pt>
                <c:pt idx="30">
                  <c:v>3.6619799998201304E-96</c:v>
                </c:pt>
                <c:pt idx="31">
                  <c:v>1.2705076773237482E-93</c:v>
                </c:pt>
                <c:pt idx="32">
                  <c:v>3.7200308562719427E-91</c:v>
                </c:pt>
                <c:pt idx="33">
                  <c:v>9.2805494570860264E-89</c:v>
                </c:pt>
                <c:pt idx="34">
                  <c:v>1.9900655086487478E-86</c:v>
                </c:pt>
                <c:pt idx="35">
                  <c:v>3.6976968142606944E-84</c:v>
                </c:pt>
                <c:pt idx="36">
                  <c:v>5.9978544721370572E-82</c:v>
                </c:pt>
                <c:pt idx="37">
                  <c:v>8.551575146373684E-80</c:v>
                </c:pt>
                <c:pt idx="38">
                  <c:v>1.0785627214032653E-77</c:v>
                </c:pt>
                <c:pt idx="39">
                  <c:v>1.2104791298872755E-75</c:v>
                </c:pt>
                <c:pt idx="40">
                  <c:v>1.2155256561405405E-73</c:v>
                </c:pt>
                <c:pt idx="41">
                  <c:v>1.0976999266416113E-71</c:v>
                </c:pt>
                <c:pt idx="42">
                  <c:v>8.9574377992019681E-70</c:v>
                </c:pt>
                <c:pt idx="43">
                  <c:v>6.6343133101898076E-68</c:v>
                </c:pt>
                <c:pt idx="44">
                  <c:v>4.4784385326156225E-66</c:v>
                </c:pt>
                <c:pt idx="45">
                  <c:v>2.7660993449578875E-64</c:v>
                </c:pt>
                <c:pt idx="46">
                  <c:v>1.5689406169362136E-62</c:v>
                </c:pt>
                <c:pt idx="47">
                  <c:v>8.2003679790107778E-61</c:v>
                </c:pt>
                <c:pt idx="48">
                  <c:v>3.9623230954225888E-59</c:v>
                </c:pt>
                <c:pt idx="49">
                  <c:v>1.7753161408493493E-57</c:v>
                </c:pt>
                <c:pt idx="50">
                  <c:v>7.3969812427934827E-56</c:v>
                </c:pt>
                <c:pt idx="51">
                  <c:v>2.8738219565776908E-54</c:v>
                </c:pt>
                <c:pt idx="52">
                  <c:v>1.0437588081811359E-52</c:v>
                </c:pt>
                <c:pt idx="53">
                  <c:v>3.5524123791855945E-51</c:v>
                </c:pt>
                <c:pt idx="54">
                  <c:v>1.135589224433183E-49</c:v>
                </c:pt>
                <c:pt idx="55">
                  <c:v>3.4169071279038869E-48</c:v>
                </c:pt>
                <c:pt idx="56">
                  <c:v>9.6972724082616592E-47</c:v>
                </c:pt>
                <c:pt idx="57">
                  <c:v>2.6008502385190207E-45</c:v>
                </c:pt>
                <c:pt idx="58">
                  <c:v>6.6043869357286509E-44</c:v>
                </c:pt>
                <c:pt idx="59">
                  <c:v>1.5906078390767169E-42</c:v>
                </c:pt>
                <c:pt idx="60">
                  <c:v>3.6394151437764792E-41</c:v>
                </c:pt>
                <c:pt idx="61">
                  <c:v>7.9236814898249116E-40</c:v>
                </c:pt>
                <c:pt idx="62">
                  <c:v>1.6440124393291817E-38</c:v>
                </c:pt>
                <c:pt idx="63">
                  <c:v>3.2552935838589911E-37</c:v>
                </c:pt>
                <c:pt idx="64">
                  <c:v>6.1599437317713903E-36</c:v>
                </c:pt>
                <c:pt idx="65">
                  <c:v>1.1154014047499356E-34</c:v>
                </c:pt>
                <c:pt idx="66">
                  <c:v>1.9350536534219709E-33</c:v>
                </c:pt>
                <c:pt idx="67">
                  <c:v>3.2201505018604875E-32</c:v>
                </c:pt>
                <c:pt idx="68">
                  <c:v>5.1460043397022611E-31</c:v>
                </c:pt>
                <c:pt idx="69">
                  <c:v>7.9057107778214444E-30</c:v>
                </c:pt>
                <c:pt idx="70">
                  <c:v>1.1687773147473226E-28</c:v>
                </c:pt>
                <c:pt idx="71">
                  <c:v>1.6644239237387053E-27</c:v>
                </c:pt>
                <c:pt idx="72">
                  <c:v>2.285268095713795E-26</c:v>
                </c:pt>
                <c:pt idx="73">
                  <c:v>3.0278187434298676E-25</c:v>
                </c:pt>
                <c:pt idx="74">
                  <c:v>3.8743553639826972E-24</c:v>
                </c:pt>
                <c:pt idx="75">
                  <c:v>4.7916157310509148E-23</c:v>
                </c:pt>
                <c:pt idx="76">
                  <c:v>5.7318107920571403E-22</c:v>
                </c:pt>
                <c:pt idx="77">
                  <c:v>6.6362222892835858E-21</c:v>
                </c:pt>
                <c:pt idx="78">
                  <c:v>7.4411032986907224E-20</c:v>
                </c:pt>
                <c:pt idx="79">
                  <c:v>8.0850657701956452E-19</c:v>
                </c:pt>
                <c:pt idx="80">
                  <c:v>8.5167479598021936E-18</c:v>
                </c:pt>
                <c:pt idx="81">
                  <c:v>8.7014219300431025E-17</c:v>
                </c:pt>
                <c:pt idx="82">
                  <c:v>8.6253712082455266E-16</c:v>
                </c:pt>
                <c:pt idx="83">
                  <c:v>8.2973013336235631E-15</c:v>
                </c:pt>
                <c:pt idx="84">
                  <c:v>7.7466304945662301E-14</c:v>
                </c:pt>
                <c:pt idx="85">
                  <c:v>7.0190971070970935E-13</c:v>
                </c:pt>
                <c:pt idx="86">
                  <c:v>6.1705778210523675E-12</c:v>
                </c:pt>
                <c:pt idx="87">
                  <c:v>5.2602411360828973E-11</c:v>
                </c:pt>
                <c:pt idx="88">
                  <c:v>4.3441428159028191E-10</c:v>
                </c:pt>
                <c:pt idx="89">
                  <c:v>3.4701381017431872E-9</c:v>
                </c:pt>
                <c:pt idx="90">
                  <c:v>2.6746252975647685E-8</c:v>
                </c:pt>
                <c:pt idx="91">
                  <c:v>1.9812449533825644E-7</c:v>
                </c:pt>
                <c:pt idx="92">
                  <c:v>1.4013303456437202E-6</c:v>
                </c:pt>
                <c:pt idx="93">
                  <c:v>9.357185068800361E-6</c:v>
                </c:pt>
                <c:pt idx="94">
                  <c:v>5.7758945073960508E-5</c:v>
                </c:pt>
                <c:pt idx="95">
                  <c:v>3.1639847161312346E-4</c:v>
                </c:pt>
                <c:pt idx="96">
                  <c:v>1.4268374795211659E-3</c:v>
                </c:pt>
                <c:pt idx="97">
                  <c:v>4.7825943271574177E-3</c:v>
                </c:pt>
                <c:pt idx="98">
                  <c:v>1.1288085733778517E-2</c:v>
                </c:pt>
                <c:pt idx="99">
                  <c:v>1.9902889795509991E-2</c:v>
                </c:pt>
                <c:pt idx="100">
                  <c:v>2.9177026205632051E-2</c:v>
                </c:pt>
                <c:pt idx="101">
                  <c:v>3.8469156991690706E-2</c:v>
                </c:pt>
                <c:pt idx="102">
                  <c:v>4.762007942778021E-2</c:v>
                </c:pt>
                <c:pt idx="103">
                  <c:v>5.6603901639043365E-2</c:v>
                </c:pt>
                <c:pt idx="104">
                  <c:v>6.5420575308339196E-2</c:v>
                </c:pt>
                <c:pt idx="105">
                  <c:v>7.4074075568222E-2</c:v>
                </c:pt>
                <c:pt idx="106">
                  <c:v>8.2568807471879072E-2</c:v>
                </c:pt>
                <c:pt idx="107">
                  <c:v>9.0909090917883892E-2</c:v>
                </c:pt>
                <c:pt idx="108">
                  <c:v>9.90990990992065E-2</c:v>
                </c:pt>
                <c:pt idx="109">
                  <c:v>0.10714285714275572</c:v>
                </c:pt>
                <c:pt idx="110">
                  <c:v>0.1150442477875858</c:v>
                </c:pt>
                <c:pt idx="111">
                  <c:v>0.12280701754385537</c:v>
                </c:pt>
                <c:pt idx="112">
                  <c:v>0.13043478260869495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0.64912280701754266</c:v>
                </c:pt>
                <c:pt idx="283">
                  <c:v>0.65034965034963765</c:v>
                </c:pt>
                <c:pt idx="284">
                  <c:v>0.65156794425075304</c:v>
                </c:pt>
                <c:pt idx="285">
                  <c:v>0.65277777777671186</c:v>
                </c:pt>
                <c:pt idx="286">
                  <c:v>0.65397923874496433</c:v>
                </c:pt>
                <c:pt idx="287">
                  <c:v>0.65517241371308288</c:v>
                </c:pt>
                <c:pt idx="288">
                  <c:v>0.65635738765035589</c:v>
                </c:pt>
                <c:pt idx="289">
                  <c:v>0.65753424118444515</c:v>
                </c:pt>
                <c:pt idx="290">
                  <c:v>0.6587030292175573</c:v>
                </c:pt>
                <c:pt idx="291">
                  <c:v>0.65986362075803195</c:v>
                </c:pt>
                <c:pt idx="292">
                  <c:v>0.66101454007771143</c:v>
                </c:pt>
                <c:pt idx="293">
                  <c:v>0.66214491677134035</c:v>
                </c:pt>
                <c:pt idx="294">
                  <c:v>0.66318158078681244</c:v>
                </c:pt>
                <c:pt idx="295">
                  <c:v>0.66367283340277772</c:v>
                </c:pt>
                <c:pt idx="296">
                  <c:v>0.66130756682023084</c:v>
                </c:pt>
                <c:pt idx="297">
                  <c:v>0.65000571153414921</c:v>
                </c:pt>
                <c:pt idx="298">
                  <c:v>0.63259757869999655</c:v>
                </c:pt>
                <c:pt idx="299">
                  <c:v>0.61861412304981223</c:v>
                </c:pt>
                <c:pt idx="300">
                  <c:v>0.60763912524065522</c:v>
                </c:pt>
                <c:pt idx="301">
                  <c:v>0.59835608169234522</c:v>
                </c:pt>
                <c:pt idx="302">
                  <c:v>0.59016393443397774</c:v>
                </c:pt>
                <c:pt idx="303">
                  <c:v>0.5827518779134756</c:v>
                </c:pt>
                <c:pt idx="304">
                  <c:v>0.57593481338708508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0.47942701982423458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0.84048265365202257</c:v>
                </c:pt>
                <c:pt idx="337">
                  <c:v>0.84215439943263115</c:v>
                </c:pt>
                <c:pt idx="338">
                  <c:v>0.84379121550067615</c:v>
                </c:pt>
                <c:pt idx="339">
                  <c:v>0.84539439770625924</c:v>
                </c:pt>
                <c:pt idx="340">
                  <c:v>0.8469650921390649</c:v>
                </c:pt>
                <c:pt idx="341">
                  <c:v>0.84857079730533846</c:v>
                </c:pt>
                <c:pt idx="342">
                  <c:v>0.8537347333735561</c:v>
                </c:pt>
                <c:pt idx="343">
                  <c:v>0.86134230103494236</c:v>
                </c:pt>
                <c:pt idx="344">
                  <c:v>0.86590511786338797</c:v>
                </c:pt>
                <c:pt idx="345">
                  <c:v>0.86942620336764942</c:v>
                </c:pt>
                <c:pt idx="346">
                  <c:v>0.8723923530399269</c:v>
                </c:pt>
                <c:pt idx="347">
                  <c:v>0.8269407065914387</c:v>
                </c:pt>
                <c:pt idx="348">
                  <c:v>0.82501893207392851</c:v>
                </c:pt>
                <c:pt idx="349">
                  <c:v>0.8233013467952679</c:v>
                </c:pt>
                <c:pt idx="350">
                  <c:v>0.82174794184505084</c:v>
                </c:pt>
                <c:pt idx="351">
                  <c:v>0.82036280887516377</c:v>
                </c:pt>
                <c:pt idx="352">
                  <c:v>0.82780511660290057</c:v>
                </c:pt>
                <c:pt idx="353">
                  <c:v>0.8333141550321741</c:v>
                </c:pt>
                <c:pt idx="354">
                  <c:v>0.83985421717235309</c:v>
                </c:pt>
                <c:pt idx="355">
                  <c:v>0.82335628496096092</c:v>
                </c:pt>
                <c:pt idx="356">
                  <c:v>0.80994531862846642</c:v>
                </c:pt>
                <c:pt idx="357">
                  <c:v>0.89928694981367974</c:v>
                </c:pt>
                <c:pt idx="358">
                  <c:v>0.8808482397202102</c:v>
                </c:pt>
                <c:pt idx="359">
                  <c:v>0.85074205651063273</c:v>
                </c:pt>
                <c:pt idx="360">
                  <c:v>0.76958887324276981</c:v>
                </c:pt>
                <c:pt idx="361">
                  <c:v>0.90999525680270432</c:v>
                </c:pt>
                <c:pt idx="362">
                  <c:v>0.86480786130585807</c:v>
                </c:pt>
                <c:pt idx="363">
                  <c:v>0.77895320063601525</c:v>
                </c:pt>
                <c:pt idx="364">
                  <c:v>0.75579891385037612</c:v>
                </c:pt>
                <c:pt idx="365">
                  <c:v>0.6806354993307222</c:v>
                </c:pt>
                <c:pt idx="366">
                  <c:v>0.75328781014066648</c:v>
                </c:pt>
                <c:pt idx="367">
                  <c:v>0.55924410116355483</c:v>
                </c:pt>
                <c:pt idx="368">
                  <c:v>0.50234281873176723</c:v>
                </c:pt>
                <c:pt idx="369">
                  <c:v>0.80503005308140541</c:v>
                </c:pt>
                <c:pt idx="370">
                  <c:v>0.86555615282394294</c:v>
                </c:pt>
                <c:pt idx="371">
                  <c:v>0.65723350950560877</c:v>
                </c:pt>
                <c:pt idx="372">
                  <c:v>0.42343987777204717</c:v>
                </c:pt>
                <c:pt idx="373">
                  <c:v>0.76193184242715895</c:v>
                </c:pt>
                <c:pt idx="374">
                  <c:v>0.43049897243872759</c:v>
                </c:pt>
                <c:pt idx="375">
                  <c:v>0.75380263213783427</c:v>
                </c:pt>
                <c:pt idx="376">
                  <c:v>0.26188213898810847</c:v>
                </c:pt>
                <c:pt idx="377">
                  <c:v>0.70532438199062897</c:v>
                </c:pt>
                <c:pt idx="378">
                  <c:v>0.45194120149918582</c:v>
                </c:pt>
                <c:pt idx="379">
                  <c:v>0.63622545271452779</c:v>
                </c:pt>
                <c:pt idx="380">
                  <c:v>0.95741659751887309</c:v>
                </c:pt>
                <c:pt idx="381">
                  <c:v>0.14940768773402682</c:v>
                </c:pt>
                <c:pt idx="382">
                  <c:v>0.46147461698524789</c:v>
                </c:pt>
                <c:pt idx="383">
                  <c:v>0.44206771985314725</c:v>
                </c:pt>
                <c:pt idx="384">
                  <c:v>0.92659237037402797</c:v>
                </c:pt>
                <c:pt idx="385">
                  <c:v>0.15771237981950226</c:v>
                </c:pt>
                <c:pt idx="386">
                  <c:v>0.39106157709262251</c:v>
                </c:pt>
                <c:pt idx="387">
                  <c:v>0.21823273008839988</c:v>
                </c:pt>
                <c:pt idx="388">
                  <c:v>0.97745038938912576</c:v>
                </c:pt>
                <c:pt idx="389">
                  <c:v>0.6850658050440942</c:v>
                </c:pt>
                <c:pt idx="390">
                  <c:v>0.35165696048476119</c:v>
                </c:pt>
                <c:pt idx="391">
                  <c:v>0.84202678021879585</c:v>
                </c:pt>
                <c:pt idx="392">
                  <c:v>0.88255206089010685</c:v>
                </c:pt>
                <c:pt idx="393">
                  <c:v>5.1967320877188139E-2</c:v>
                </c:pt>
                <c:pt idx="394">
                  <c:v>0.38431945225472142</c:v>
                </c:pt>
                <c:pt idx="395">
                  <c:v>0.24424138862930905</c:v>
                </c:pt>
                <c:pt idx="396">
                  <c:v>0.68810951864024739</c:v>
                </c:pt>
                <c:pt idx="397">
                  <c:v>0.67388462107335356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38-434E-A1FD-14931CF86187}"/>
            </c:ext>
          </c:extLst>
        </c:ser>
        <c:ser>
          <c:idx val="17"/>
          <c:order val="17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ex7자동화!$AD$10:$AD$407</c:f>
              <c:numCache>
                <c:formatCode>General</c:formatCode>
                <c:ptCount val="398"/>
                <c:pt idx="0">
                  <c:v>8.8291590228919104E-302</c:v>
                </c:pt>
                <c:pt idx="1">
                  <c:v>3.6176754786678698E-277</c:v>
                </c:pt>
                <c:pt idx="2">
                  <c:v>4.4593567955053243E-258</c:v>
                </c:pt>
                <c:pt idx="3">
                  <c:v>1.768228497328642E-242</c:v>
                </c:pt>
                <c:pt idx="4">
                  <c:v>2.7265094309130386E-229</c:v>
                </c:pt>
                <c:pt idx="5">
                  <c:v>7.2370522456439869E-218</c:v>
                </c:pt>
                <c:pt idx="6">
                  <c:v>8.6325593453709081E-208</c:v>
                </c:pt>
                <c:pt idx="7">
                  <c:v>8.9101628628319286E-199</c:v>
                </c:pt>
                <c:pt idx="8">
                  <c:v>1.2698552349180753E-190</c:v>
                </c:pt>
                <c:pt idx="9">
                  <c:v>3.5285732318381149E-183</c:v>
                </c:pt>
                <c:pt idx="10">
                  <c:v>2.4843968829543019E-176</c:v>
                </c:pt>
                <c:pt idx="11">
                  <c:v>5.4334868775907038E-170</c:v>
                </c:pt>
                <c:pt idx="12">
                  <c:v>4.3380682780043318E-164</c:v>
                </c:pt>
                <c:pt idx="13">
                  <c:v>1.4401410180833433E-158</c:v>
                </c:pt>
                <c:pt idx="14">
                  <c:v>2.2112759857843241E-153</c:v>
                </c:pt>
                <c:pt idx="15">
                  <c:v>1.7151907240933084E-148</c:v>
                </c:pt>
                <c:pt idx="16">
                  <c:v>7.2359872501225439E-144</c:v>
                </c:pt>
                <c:pt idx="17">
                  <c:v>1.7674314400668869E-139</c:v>
                </c:pt>
                <c:pt idx="18">
                  <c:v>2.6364196940010997E-135</c:v>
                </c:pt>
                <c:pt idx="19">
                  <c:v>2.5144682730771752E-131</c:v>
                </c:pt>
                <c:pt idx="20">
                  <c:v>1.5955493117359799E-127</c:v>
                </c:pt>
                <c:pt idx="21">
                  <c:v>6.9738565526624488E-124</c:v>
                </c:pt>
                <c:pt idx="22">
                  <c:v>2.1644856223673336E-120</c:v>
                </c:pt>
                <c:pt idx="23">
                  <c:v>4.9002614660469266E-117</c:v>
                </c:pt>
                <c:pt idx="24">
                  <c:v>8.2872296343457879E-114</c:v>
                </c:pt>
                <c:pt idx="25">
                  <c:v>1.0693967232053748E-110</c:v>
                </c:pt>
                <c:pt idx="26">
                  <c:v>1.073126847885812E-107</c:v>
                </c:pt>
                <c:pt idx="27">
                  <c:v>8.5182546760908855E-105</c:v>
                </c:pt>
                <c:pt idx="28">
                  <c:v>5.4314204551565552E-102</c:v>
                </c:pt>
                <c:pt idx="29">
                  <c:v>2.8208449447052301E-99</c:v>
                </c:pt>
                <c:pt idx="30">
                  <c:v>1.2084533999406431E-96</c:v>
                </c:pt>
                <c:pt idx="31">
                  <c:v>4.3197261029007441E-94</c:v>
                </c:pt>
                <c:pt idx="32">
                  <c:v>1.3020107996951799E-91</c:v>
                </c:pt>
                <c:pt idx="33">
                  <c:v>3.3409978045509692E-89</c:v>
                </c:pt>
                <c:pt idx="34">
                  <c:v>7.3632423820003666E-87</c:v>
                </c:pt>
                <c:pt idx="35">
                  <c:v>1.4051247894190639E-84</c:v>
                </c:pt>
                <c:pt idx="36">
                  <c:v>2.3391632441334524E-82</c:v>
                </c:pt>
                <c:pt idx="37">
                  <c:v>3.4206300585494736E-80</c:v>
                </c:pt>
                <c:pt idx="38">
                  <c:v>4.4221071577533873E-78</c:v>
                </c:pt>
                <c:pt idx="39">
                  <c:v>5.0840123455265573E-76</c:v>
                </c:pt>
                <c:pt idx="40">
                  <c:v>5.2267603214043241E-74</c:v>
                </c:pt>
                <c:pt idx="41">
                  <c:v>4.8298796772230894E-72</c:v>
                </c:pt>
                <c:pt idx="42">
                  <c:v>4.0308470096408859E-70</c:v>
                </c:pt>
                <c:pt idx="43">
                  <c:v>3.0517841226873116E-68</c:v>
                </c:pt>
                <c:pt idx="44">
                  <c:v>2.1048661103293424E-66</c:v>
                </c:pt>
                <c:pt idx="45">
                  <c:v>1.327727685579786E-64</c:v>
                </c:pt>
                <c:pt idx="46">
                  <c:v>7.6878090229874462E-63</c:v>
                </c:pt>
                <c:pt idx="47">
                  <c:v>4.1001839895053889E-61</c:v>
                </c:pt>
                <c:pt idx="48">
                  <c:v>2.0207847786655204E-59</c:v>
                </c:pt>
                <c:pt idx="49">
                  <c:v>9.2316439324166164E-58</c:v>
                </c:pt>
                <c:pt idx="50">
                  <c:v>3.9204000586805462E-56</c:v>
                </c:pt>
                <c:pt idx="51">
                  <c:v>1.5518638565519531E-54</c:v>
                </c:pt>
                <c:pt idx="52">
                  <c:v>5.7406734449962479E-53</c:v>
                </c:pt>
                <c:pt idx="53">
                  <c:v>1.9893509323439332E-51</c:v>
                </c:pt>
                <c:pt idx="54">
                  <c:v>6.4728585792691432E-50</c:v>
                </c:pt>
                <c:pt idx="55">
                  <c:v>1.9818061341842543E-48</c:v>
                </c:pt>
                <c:pt idx="56">
                  <c:v>5.7213907208743782E-47</c:v>
                </c:pt>
                <c:pt idx="57">
                  <c:v>1.5605101431114124E-45</c:v>
                </c:pt>
                <c:pt idx="58">
                  <c:v>4.0286760307944772E-44</c:v>
                </c:pt>
                <c:pt idx="59">
                  <c:v>9.8617686022756446E-43</c:v>
                </c:pt>
                <c:pt idx="60">
                  <c:v>2.2928315405791819E-41</c:v>
                </c:pt>
                <c:pt idx="61">
                  <c:v>5.0711561534879434E-40</c:v>
                </c:pt>
                <c:pt idx="62">
                  <c:v>1.0686080855639681E-38</c:v>
                </c:pt>
                <c:pt idx="63">
                  <c:v>2.1484937653469341E-37</c:v>
                </c:pt>
                <c:pt idx="64">
                  <c:v>4.1271623002868317E-36</c:v>
                </c:pt>
                <c:pt idx="65">
                  <c:v>7.5847295522995625E-35</c:v>
                </c:pt>
                <c:pt idx="66">
                  <c:v>1.3351870208611598E-33</c:v>
                </c:pt>
                <c:pt idx="67">
                  <c:v>2.2541053513023411E-32</c:v>
                </c:pt>
                <c:pt idx="68">
                  <c:v>3.6536630811886052E-31</c:v>
                </c:pt>
                <c:pt idx="69">
                  <c:v>5.6921117600314399E-30</c:v>
                </c:pt>
                <c:pt idx="70">
                  <c:v>8.5320743976554551E-29</c:v>
                </c:pt>
                <c:pt idx="71">
                  <c:v>1.2316737035666419E-27</c:v>
                </c:pt>
                <c:pt idx="72">
                  <c:v>1.7139510717853461E-26</c:v>
                </c:pt>
                <c:pt idx="73">
                  <c:v>2.3011422450066993E-25</c:v>
                </c:pt>
                <c:pt idx="74">
                  <c:v>2.9832536302666768E-24</c:v>
                </c:pt>
                <c:pt idx="75">
                  <c:v>3.7374602702197136E-23</c:v>
                </c:pt>
                <c:pt idx="76">
                  <c:v>4.5281305257251407E-22</c:v>
                </c:pt>
                <c:pt idx="77">
                  <c:v>5.308977831426869E-21</c:v>
                </c:pt>
                <c:pt idx="78">
                  <c:v>6.0272936719394857E-20</c:v>
                </c:pt>
                <c:pt idx="79">
                  <c:v>6.6297539315604284E-19</c:v>
                </c:pt>
                <c:pt idx="80">
                  <c:v>7.0689008066358205E-18</c:v>
                </c:pt>
                <c:pt idx="81">
                  <c:v>7.3091944212362041E-17</c:v>
                </c:pt>
                <c:pt idx="82">
                  <c:v>7.3315655270086903E-16</c:v>
                </c:pt>
                <c:pt idx="83">
                  <c:v>7.1356791469162041E-15</c:v>
                </c:pt>
                <c:pt idx="84">
                  <c:v>6.7395685302720976E-14</c:v>
                </c:pt>
                <c:pt idx="85">
                  <c:v>6.1768054542411063E-13</c:v>
                </c:pt>
                <c:pt idx="86">
                  <c:v>5.4918142607027193E-12</c:v>
                </c:pt>
                <c:pt idx="87">
                  <c:v>4.7342170222255767E-11</c:v>
                </c:pt>
                <c:pt idx="88">
                  <c:v>3.9531699607542521E-10</c:v>
                </c:pt>
                <c:pt idx="89">
                  <c:v>3.1925270425252227E-9</c:v>
                </c:pt>
                <c:pt idx="90">
                  <c:v>2.4874014602065642E-8</c:v>
                </c:pt>
                <c:pt idx="91">
                  <c:v>1.8623698871984434E-7</c:v>
                </c:pt>
                <c:pt idx="92">
                  <c:v>1.3312619628211334E-6</c:v>
                </c:pt>
                <c:pt idx="93">
                  <c:v>8.9828136114124306E-6</c:v>
                </c:pt>
                <c:pt idx="94">
                  <c:v>5.6022940708877718E-5</c:v>
                </c:pt>
                <c:pt idx="95">
                  <c:v>3.0997239634787866E-4</c:v>
                </c:pt>
                <c:pt idx="96">
                  <c:v>1.4105535981849176E-3</c:v>
                </c:pt>
                <c:pt idx="97">
                  <c:v>4.7597211186592592E-3</c:v>
                </c:pt>
                <c:pt idx="98">
                  <c:v>1.1272271502787836E-2</c:v>
                </c:pt>
                <c:pt idx="99">
                  <c:v>1.9896900068763729E-2</c:v>
                </c:pt>
                <c:pt idx="100">
                  <c:v>2.9175499167850751E-2</c:v>
                </c:pt>
                <c:pt idx="101">
                  <c:v>3.8468852190120931E-2</c:v>
                </c:pt>
                <c:pt idx="102">
                  <c:v>4.7620027836225716E-2</c:v>
                </c:pt>
                <c:pt idx="103">
                  <c:v>5.6603893955777723E-2</c:v>
                </c:pt>
                <c:pt idx="104">
                  <c:v>6.5420574289091676E-2</c:v>
                </c:pt>
                <c:pt idx="105">
                  <c:v>7.4074075448690171E-2</c:v>
                </c:pt>
                <c:pt idx="106">
                  <c:v>8.2568807459960425E-2</c:v>
                </c:pt>
                <c:pt idx="107">
                  <c:v>9.0909090917004595E-2</c:v>
                </c:pt>
                <c:pt idx="108">
                  <c:v>9.9099099099194704E-2</c:v>
                </c:pt>
                <c:pt idx="109">
                  <c:v>0.1071428571427679</c:v>
                </c:pt>
                <c:pt idx="110">
                  <c:v>0.11504424778758901</c:v>
                </c:pt>
                <c:pt idx="111">
                  <c:v>0.12280701754385595</c:v>
                </c:pt>
                <c:pt idx="112">
                  <c:v>0.13043478260869507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0.49494949494949497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0.64788732394366222</c:v>
                </c:pt>
                <c:pt idx="282">
                  <c:v>0.64912280701754488</c:v>
                </c:pt>
                <c:pt idx="283">
                  <c:v>0.6503496503496613</c:v>
                </c:pt>
                <c:pt idx="284">
                  <c:v>0.65156794425097375</c:v>
                </c:pt>
                <c:pt idx="285">
                  <c:v>0.65277777777871582</c:v>
                </c:pt>
                <c:pt idx="286">
                  <c:v>0.65397923876265651</c:v>
                </c:pt>
                <c:pt idx="287">
                  <c:v>0.65517241386512193</c:v>
                </c:pt>
                <c:pt idx="288">
                  <c:v>0.656357388922025</c:v>
                </c:pt>
                <c:pt idx="289">
                  <c:v>0.65753425153496792</c:v>
                </c:pt>
                <c:pt idx="290">
                  <c:v>0.65870311115531155</c:v>
                </c:pt>
                <c:pt idx="291">
                  <c:v>0.65986425090890843</c:v>
                </c:pt>
                <c:pt idx="292">
                  <c:v>0.66101923775651106</c:v>
                </c:pt>
                <c:pt idx="293">
                  <c:v>0.66217871685703666</c:v>
                </c:pt>
                <c:pt idx="294">
                  <c:v>0.66341416192499358</c:v>
                </c:pt>
                <c:pt idx="295">
                  <c:v>0.66516938674560167</c:v>
                </c:pt>
                <c:pt idx="296">
                  <c:v>0.66969980797074502</c:v>
                </c:pt>
                <c:pt idx="297">
                  <c:v>0.68249485952140088</c:v>
                </c:pt>
                <c:pt idx="298">
                  <c:v>0.69957782518992362</c:v>
                </c:pt>
                <c:pt idx="299">
                  <c:v>0.71251068323563449</c:v>
                </c:pt>
                <c:pt idx="300">
                  <c:v>0.72239387071380234</c:v>
                </c:pt>
                <c:pt idx="301">
                  <c:v>0.73059128683015129</c:v>
                </c:pt>
                <c:pt idx="302">
                  <c:v>0.73770491802852534</c:v>
                </c:pt>
                <c:pt idx="303">
                  <c:v>0.74404550770748734</c:v>
                </c:pt>
                <c:pt idx="304">
                  <c:v>0.74979808563571648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0.78046411662849868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0.80489676360802365</c:v>
                </c:pt>
                <c:pt idx="320">
                  <c:v>0.80748559340037396</c:v>
                </c:pt>
                <c:pt idx="321">
                  <c:v>0.80999407670269752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0.81931624613907317</c:v>
                </c:pt>
                <c:pt idx="326">
                  <c:v>0.82148819265437434</c:v>
                </c:pt>
                <c:pt idx="327">
                  <c:v>0.8236032832060689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0.82963454245073964</c:v>
                </c:pt>
                <c:pt idx="331">
                  <c:v>0.46785287857412933</c:v>
                </c:pt>
                <c:pt idx="332">
                  <c:v>0.46509010926487909</c:v>
                </c:pt>
                <c:pt idx="333">
                  <c:v>0.46237547900755038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0.4545025970854405</c:v>
                </c:pt>
                <c:pt idx="337">
                  <c:v>0.45196324762624462</c:v>
                </c:pt>
                <c:pt idx="338">
                  <c:v>0.44946391649297568</c:v>
                </c:pt>
                <c:pt idx="339">
                  <c:v>0.44700326831330606</c:v>
                </c:pt>
                <c:pt idx="340">
                  <c:v>0.44458022119067064</c:v>
                </c:pt>
                <c:pt idx="341">
                  <c:v>0.44203449347476703</c:v>
                </c:pt>
                <c:pt idx="342">
                  <c:v>0.43080749749773017</c:v>
                </c:pt>
                <c:pt idx="343">
                  <c:v>0.41323382553039489</c:v>
                </c:pt>
                <c:pt idx="344">
                  <c:v>0.40291365318318917</c:v>
                </c:pt>
                <c:pt idx="345">
                  <c:v>0.39506449532346716</c:v>
                </c:pt>
                <c:pt idx="346">
                  <c:v>0.38852053453687874</c:v>
                </c:pt>
                <c:pt idx="347">
                  <c:v>0.50088421030721786</c:v>
                </c:pt>
                <c:pt idx="348">
                  <c:v>0.50671305521526588</c:v>
                </c:pt>
                <c:pt idx="349">
                  <c:v>0.51207636184448801</c:v>
                </c:pt>
                <c:pt idx="350">
                  <c:v>0.51706826457221244</c:v>
                </c:pt>
                <c:pt idx="351">
                  <c:v>0.52168155424123819</c:v>
                </c:pt>
                <c:pt idx="352">
                  <c:v>0.5060305096278036</c:v>
                </c:pt>
                <c:pt idx="353">
                  <c:v>0.49448995963646858</c:v>
                </c:pt>
                <c:pt idx="354">
                  <c:v>0.48016182652049644</c:v>
                </c:pt>
                <c:pt idx="355">
                  <c:v>0.52067775245496017</c:v>
                </c:pt>
                <c:pt idx="356">
                  <c:v>0.55262269906247141</c:v>
                </c:pt>
                <c:pt idx="357">
                  <c:v>0.32605175415055682</c:v>
                </c:pt>
                <c:pt idx="358">
                  <c:v>0.37888617207028247</c:v>
                </c:pt>
                <c:pt idx="359">
                  <c:v>0.45966763545678546</c:v>
                </c:pt>
                <c:pt idx="360">
                  <c:v>0.6436782771080084</c:v>
                </c:pt>
                <c:pt idx="361">
                  <c:v>0.29813015741339571</c:v>
                </c:pt>
                <c:pt idx="362">
                  <c:v>0.42674056880247724</c:v>
                </c:pt>
                <c:pt idx="363">
                  <c:v>0.63019750938901831</c:v>
                </c:pt>
                <c:pt idx="364">
                  <c:v>0.67736058051979198</c:v>
                </c:pt>
                <c:pt idx="365">
                  <c:v>0.79992460428406964</c:v>
                </c:pt>
                <c:pt idx="366">
                  <c:v>0.68576910251399759</c:v>
                </c:pt>
                <c:pt idx="367">
                  <c:v>0.91201350496609324</c:v>
                </c:pt>
                <c:pt idx="368">
                  <c:v>0.92747963655344723</c:v>
                </c:pt>
                <c:pt idx="369">
                  <c:v>0.58387880018781668</c:v>
                </c:pt>
                <c:pt idx="370">
                  <c:v>0.43405524776444165</c:v>
                </c:pt>
                <c:pt idx="371">
                  <c:v>0.84253831184717565</c:v>
                </c:pt>
                <c:pt idx="372">
                  <c:v>0.91551955381665351</c:v>
                </c:pt>
                <c:pt idx="373">
                  <c:v>0.68203282930940445</c:v>
                </c:pt>
                <c:pt idx="374">
                  <c:v>0.9242894190230857</c:v>
                </c:pt>
                <c:pt idx="375">
                  <c:v>0.70150836641724901</c:v>
                </c:pt>
                <c:pt idx="376">
                  <c:v>0.73260656137239044</c:v>
                </c:pt>
                <c:pt idx="377">
                  <c:v>0.78979921300863187</c:v>
                </c:pt>
                <c:pt idx="378">
                  <c:v>0.9437002406881676</c:v>
                </c:pt>
                <c:pt idx="379">
                  <c:v>0.8841108314449978</c:v>
                </c:pt>
                <c:pt idx="380">
                  <c:v>0.15614931568360532</c:v>
                </c:pt>
                <c:pt idx="381">
                  <c:v>0.4880065174271937</c:v>
                </c:pt>
                <c:pt idx="382">
                  <c:v>0.95678581022473141</c:v>
                </c:pt>
                <c:pt idx="383">
                  <c:v>0.95204526453956806</c:v>
                </c:pt>
                <c:pt idx="384">
                  <c:v>0.26323333471464572</c:v>
                </c:pt>
                <c:pt idx="385">
                  <c:v>0.51541603807614467</c:v>
                </c:pt>
                <c:pt idx="386">
                  <c:v>0.92633511385622369</c:v>
                </c:pt>
                <c:pt idx="387">
                  <c:v>0.66536810186559758</c:v>
                </c:pt>
                <c:pt idx="388">
                  <c:v>8.6180801378193256E-2</c:v>
                </c:pt>
                <c:pt idx="389">
                  <c:v>0.84574253938925481</c:v>
                </c:pt>
                <c:pt idx="390">
                  <c:v>0.8960177665256045</c:v>
                </c:pt>
                <c:pt idx="391">
                  <c:v>0.52408966555586423</c:v>
                </c:pt>
                <c:pt idx="392">
                  <c:v>0.40943298679949136</c:v>
                </c:pt>
                <c:pt idx="393">
                  <c:v>0.19509620501462061</c:v>
                </c:pt>
                <c:pt idx="394">
                  <c:v>0.93937350316720869</c:v>
                </c:pt>
                <c:pt idx="395">
                  <c:v>0.73465838018474872</c:v>
                </c:pt>
                <c:pt idx="396">
                  <c:v>0.85631308789776839</c:v>
                </c:pt>
                <c:pt idx="397">
                  <c:v>0.87905655421670503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38-434E-A1FD-14931CF86187}"/>
            </c:ext>
          </c:extLst>
        </c:ser>
        <c:ser>
          <c:idx val="18"/>
          <c:order val="18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ex7자동화!$AE$10:$AE$407</c:f>
              <c:numCache>
                <c:formatCode>General</c:formatCode>
                <c:ptCount val="398"/>
                <c:pt idx="0">
                  <c:v>2.6487477068675732E-303</c:v>
                </c:pt>
                <c:pt idx="1">
                  <c:v>1.4470701914671479E-278</c:v>
                </c:pt>
                <c:pt idx="2">
                  <c:v>2.2296783977526622E-259</c:v>
                </c:pt>
                <c:pt idx="3">
                  <c:v>1.0609370983971852E-243</c:v>
                </c:pt>
                <c:pt idx="4">
                  <c:v>1.9085566016391273E-230</c:v>
                </c:pt>
                <c:pt idx="5">
                  <c:v>5.7896417965151893E-219</c:v>
                </c:pt>
                <c:pt idx="6">
                  <c:v>7.7693034108338168E-209</c:v>
                </c:pt>
                <c:pt idx="7">
                  <c:v>8.9101628628319296E-200</c:v>
                </c:pt>
                <c:pt idx="8">
                  <c:v>1.3968407584098829E-191</c:v>
                </c:pt>
                <c:pt idx="9">
                  <c:v>4.234287878205738E-184</c:v>
                </c:pt>
                <c:pt idx="10">
                  <c:v>3.2297159478405924E-177</c:v>
                </c:pt>
                <c:pt idx="11">
                  <c:v>7.6068816286269861E-171</c:v>
                </c:pt>
                <c:pt idx="12">
                  <c:v>6.5071024170064973E-165</c:v>
                </c:pt>
                <c:pt idx="13">
                  <c:v>2.3042256289333495E-159</c:v>
                </c:pt>
                <c:pt idx="14">
                  <c:v>3.7591691758333514E-154</c:v>
                </c:pt>
                <c:pt idx="15">
                  <c:v>3.0873433033679548E-149</c:v>
                </c:pt>
                <c:pt idx="16">
                  <c:v>1.3748375775232833E-144</c:v>
                </c:pt>
                <c:pt idx="17">
                  <c:v>3.534862880133774E-140</c:v>
                </c:pt>
                <c:pt idx="18">
                  <c:v>5.5364813574023095E-136</c:v>
                </c:pt>
                <c:pt idx="19">
                  <c:v>5.5318302007697857E-132</c:v>
                </c:pt>
                <c:pt idx="20">
                  <c:v>3.669763416992754E-128</c:v>
                </c:pt>
                <c:pt idx="21">
                  <c:v>1.6737255726389878E-124</c:v>
                </c:pt>
                <c:pt idx="22">
                  <c:v>5.4112140559183341E-121</c:v>
                </c:pt>
                <c:pt idx="23">
                  <c:v>1.274067981172201E-117</c:v>
                </c:pt>
                <c:pt idx="24">
                  <c:v>2.2375520012733628E-114</c:v>
                </c:pt>
                <c:pt idx="25">
                  <c:v>2.9943108249750497E-111</c:v>
                </c:pt>
                <c:pt idx="26">
                  <c:v>3.1120678588688545E-108</c:v>
                </c:pt>
                <c:pt idx="27">
                  <c:v>2.5554764028272655E-105</c:v>
                </c:pt>
                <c:pt idx="28">
                  <c:v>1.6837403410985322E-102</c:v>
                </c:pt>
                <c:pt idx="29">
                  <c:v>9.0267038230567368E-100</c:v>
                </c:pt>
                <c:pt idx="30">
                  <c:v>3.9878962198041223E-97</c:v>
                </c:pt>
                <c:pt idx="31">
                  <c:v>1.468706874986253E-94</c:v>
                </c:pt>
                <c:pt idx="32">
                  <c:v>4.5570377989331291E-92</c:v>
                </c:pt>
                <c:pt idx="33">
                  <c:v>1.2027592096383488E-89</c:v>
                </c:pt>
                <c:pt idx="34">
                  <c:v>2.7243996813401356E-87</c:v>
                </c:pt>
                <c:pt idx="35">
                  <c:v>5.3394741997924425E-85</c:v>
                </c:pt>
                <c:pt idx="36">
                  <c:v>9.1227366521204645E-83</c:v>
                </c:pt>
                <c:pt idx="37">
                  <c:v>1.3682520234197896E-80</c:v>
                </c:pt>
                <c:pt idx="38">
                  <c:v>1.8130639346788888E-78</c:v>
                </c:pt>
                <c:pt idx="39">
                  <c:v>2.135285185121154E-76</c:v>
                </c:pt>
                <c:pt idx="40">
                  <c:v>2.2475069382038595E-74</c:v>
                </c:pt>
                <c:pt idx="41">
                  <c:v>2.1251470579781594E-72</c:v>
                </c:pt>
                <c:pt idx="42">
                  <c:v>1.8138811543383987E-70</c:v>
                </c:pt>
                <c:pt idx="43">
                  <c:v>1.4038206964361633E-68</c:v>
                </c:pt>
                <c:pt idx="44">
                  <c:v>9.8928707185479091E-67</c:v>
                </c:pt>
                <c:pt idx="45">
                  <c:v>6.3730928907829723E-65</c:v>
                </c:pt>
                <c:pt idx="46">
                  <c:v>3.7670264212638487E-63</c:v>
                </c:pt>
                <c:pt idx="47">
                  <c:v>2.0500919947526944E-61</c:v>
                </c:pt>
                <c:pt idx="48">
                  <c:v>1.0306002371194155E-59</c:v>
                </c:pt>
                <c:pt idx="49">
                  <c:v>4.8004548448566407E-58</c:v>
                </c:pt>
                <c:pt idx="50">
                  <c:v>2.0778120311006896E-56</c:v>
                </c:pt>
                <c:pt idx="51">
                  <c:v>8.3800648253805479E-55</c:v>
                </c:pt>
                <c:pt idx="52">
                  <c:v>3.1573703947479368E-53</c:v>
                </c:pt>
                <c:pt idx="53">
                  <c:v>1.1140365221126027E-51</c:v>
                </c:pt>
                <c:pt idx="54">
                  <c:v>3.6895293901834114E-50</c:v>
                </c:pt>
                <c:pt idx="55">
                  <c:v>1.1494475578268674E-48</c:v>
                </c:pt>
                <c:pt idx="56">
                  <c:v>3.3756205253158828E-47</c:v>
                </c:pt>
                <c:pt idx="57">
                  <c:v>9.3630608586684741E-46</c:v>
                </c:pt>
                <c:pt idx="58">
                  <c:v>2.4574923787846311E-44</c:v>
                </c:pt>
                <c:pt idx="59">
                  <c:v>6.1142965334108997E-43</c:v>
                </c:pt>
                <c:pt idx="60">
                  <c:v>1.4444838705648847E-41</c:v>
                </c:pt>
                <c:pt idx="61">
                  <c:v>3.2455399382322839E-40</c:v>
                </c:pt>
                <c:pt idx="62">
                  <c:v>6.9459525561657929E-39</c:v>
                </c:pt>
                <c:pt idx="63">
                  <c:v>1.4180058851289765E-37</c:v>
                </c:pt>
                <c:pt idx="64">
                  <c:v>2.7651987411921773E-36</c:v>
                </c:pt>
                <c:pt idx="65">
                  <c:v>5.1576160955637028E-35</c:v>
                </c:pt>
                <c:pt idx="66">
                  <c:v>9.2127904439420024E-34</c:v>
                </c:pt>
                <c:pt idx="67">
                  <c:v>1.5778737459116385E-32</c:v>
                </c:pt>
                <c:pt idx="68">
                  <c:v>2.5941007876439096E-31</c:v>
                </c:pt>
                <c:pt idx="69">
                  <c:v>4.0983204672226369E-30</c:v>
                </c:pt>
                <c:pt idx="70">
                  <c:v>6.2284143102884826E-29</c:v>
                </c:pt>
                <c:pt idx="71">
                  <c:v>9.1143854063931508E-28</c:v>
                </c:pt>
                <c:pt idx="72">
                  <c:v>1.2854633038390096E-26</c:v>
                </c:pt>
                <c:pt idx="73">
                  <c:v>1.7488681062050915E-25</c:v>
                </c:pt>
                <c:pt idx="74">
                  <c:v>2.297105295305341E-24</c:v>
                </c:pt>
                <c:pt idx="75">
                  <c:v>2.9152190107713765E-23</c:v>
                </c:pt>
                <c:pt idx="76">
                  <c:v>3.5772231153228614E-22</c:v>
                </c:pt>
                <c:pt idx="77">
                  <c:v>4.2471822651414953E-21</c:v>
                </c:pt>
                <c:pt idx="78">
                  <c:v>4.8821078742709839E-20</c:v>
                </c:pt>
                <c:pt idx="79">
                  <c:v>5.4363982238795512E-19</c:v>
                </c:pt>
                <c:pt idx="80">
                  <c:v>5.867187669507731E-18</c:v>
                </c:pt>
                <c:pt idx="81">
                  <c:v>6.13972331383841E-17</c:v>
                </c:pt>
                <c:pt idx="82">
                  <c:v>6.2318306979573812E-16</c:v>
                </c:pt>
                <c:pt idx="83">
                  <c:v>6.1366840663478921E-15</c:v>
                </c:pt>
                <c:pt idx="84">
                  <c:v>5.8634246213363301E-14</c:v>
                </c:pt>
                <c:pt idx="85">
                  <c:v>5.4355887997288162E-13</c:v>
                </c:pt>
                <c:pt idx="86">
                  <c:v>4.887714691998578E-12</c:v>
                </c:pt>
                <c:pt idx="87">
                  <c:v>4.2607953198013038E-11</c:v>
                </c:pt>
                <c:pt idx="88">
                  <c:v>3.597384662864262E-10</c:v>
                </c:pt>
                <c:pt idx="89">
                  <c:v>2.9371248697463549E-9</c:v>
                </c:pt>
                <c:pt idx="90">
                  <c:v>2.3132833004514605E-8</c:v>
                </c:pt>
                <c:pt idx="91">
                  <c:v>1.7506273679349065E-7</c:v>
                </c:pt>
                <c:pt idx="92">
                  <c:v>1.2646971810345837E-6</c:v>
                </c:pt>
                <c:pt idx="93">
                  <c:v>8.6234236036531705E-6</c:v>
                </c:pt>
                <c:pt idx="94">
                  <c:v>5.4339208074822288E-5</c:v>
                </c:pt>
                <c:pt idx="95">
                  <c:v>3.0367878719215336E-4</c:v>
                </c:pt>
                <c:pt idx="96">
                  <c:v>1.3944782973642495E-3</c:v>
                </c:pt>
                <c:pt idx="97">
                  <c:v>4.7370661735318485E-3</c:v>
                </c:pt>
                <c:pt idx="98">
                  <c:v>1.1256659471934825E-2</c:v>
                </c:pt>
                <c:pt idx="99">
                  <c:v>1.9891033705145708E-2</c:v>
                </c:pt>
                <c:pt idx="100">
                  <c:v>2.9174018098642215E-2</c:v>
                </c:pt>
                <c:pt idx="101">
                  <c:v>3.8468559585347381E-2</c:v>
                </c:pt>
                <c:pt idx="102">
                  <c:v>4.7619978824357943E-2</c:v>
                </c:pt>
                <c:pt idx="103">
                  <c:v>5.6603886733510043E-2</c:v>
                </c:pt>
                <c:pt idx="104">
                  <c:v>6.5420573341191515E-2</c:v>
                </c:pt>
                <c:pt idx="105">
                  <c:v>7.4074075338720888E-2</c:v>
                </c:pt>
                <c:pt idx="106">
                  <c:v>8.2568807449114448E-2</c:v>
                </c:pt>
                <c:pt idx="107">
                  <c:v>9.0909090916213228E-2</c:v>
                </c:pt>
                <c:pt idx="108">
                  <c:v>9.9099099099184199E-2</c:v>
                </c:pt>
                <c:pt idx="109">
                  <c:v>0.10714285714277862</c:v>
                </c:pt>
                <c:pt idx="110">
                  <c:v>0.11504424778759181</c:v>
                </c:pt>
                <c:pt idx="111">
                  <c:v>0.12280701754385646</c:v>
                </c:pt>
                <c:pt idx="112">
                  <c:v>0.13043478260869512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0.49494949494949486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0.64912280701754299</c:v>
                </c:pt>
                <c:pt idx="283">
                  <c:v>0.65034965034964087</c:v>
                </c:pt>
                <c:pt idx="284">
                  <c:v>0.65156794425078179</c:v>
                </c:pt>
                <c:pt idx="285">
                  <c:v>0.65277777777695234</c:v>
                </c:pt>
                <c:pt idx="286">
                  <c:v>0.65397923874691044</c:v>
                </c:pt>
                <c:pt idx="287">
                  <c:v>0.65517241372828683</c:v>
                </c:pt>
                <c:pt idx="288">
                  <c:v>0.65635738776480612</c:v>
                </c:pt>
                <c:pt idx="289">
                  <c:v>0.657534242012487</c:v>
                </c:pt>
                <c:pt idx="290">
                  <c:v>0.65870303495320082</c:v>
                </c:pt>
                <c:pt idx="291">
                  <c:v>0.6598636585671207</c:v>
                </c:pt>
                <c:pt idx="292">
                  <c:v>0.66101477496332084</c:v>
                </c:pt>
                <c:pt idx="293">
                  <c:v>0.66214626884387118</c:v>
                </c:pt>
                <c:pt idx="294">
                  <c:v>0.66318856069658538</c:v>
                </c:pt>
                <c:pt idx="295">
                  <c:v>0.66370283957260401</c:v>
                </c:pt>
                <c:pt idx="296">
                  <c:v>0.66139390577232993</c:v>
                </c:pt>
                <c:pt idx="297">
                  <c:v>0.65008687874479243</c:v>
                </c:pt>
                <c:pt idx="298">
                  <c:v>0.63260776199430546</c:v>
                </c:pt>
                <c:pt idx="299">
                  <c:v>0.61861441272238604</c:v>
                </c:pt>
                <c:pt idx="300">
                  <c:v>0.60763912779486573</c:v>
                </c:pt>
                <c:pt idx="301">
                  <c:v>0.59835608165156529</c:v>
                </c:pt>
                <c:pt idx="302">
                  <c:v>0.59016393443240867</c:v>
                </c:pt>
                <c:pt idx="303">
                  <c:v>0.58275187791345184</c:v>
                </c:pt>
                <c:pt idx="304">
                  <c:v>0.57593481338708497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0.53800722095111919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0.50566224260315651</c:v>
                </c:pt>
                <c:pt idx="320">
                  <c:v>0.50211192981944031</c:v>
                </c:pt>
                <c:pt idx="321">
                  <c:v>0.49864789860594438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0.48556180264141469</c:v>
                </c:pt>
                <c:pt idx="326">
                  <c:v>0.48246317512678061</c:v>
                </c:pt>
                <c:pt idx="327">
                  <c:v>0.47942701982423414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0.47066575784956083</c:v>
                </c:pt>
                <c:pt idx="331">
                  <c:v>0.83154831903066118</c:v>
                </c:pt>
                <c:pt idx="332">
                  <c:v>0.83341735342168732</c:v>
                </c:pt>
                <c:pt idx="333">
                  <c:v>0.83524356861149807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0.84048265365202257</c:v>
                </c:pt>
                <c:pt idx="337">
                  <c:v>0.84215439943270054</c:v>
                </c:pt>
                <c:pt idx="338">
                  <c:v>0.84379121553945935</c:v>
                </c:pt>
                <c:pt idx="339">
                  <c:v>0.84539440479240768</c:v>
                </c:pt>
                <c:pt idx="340">
                  <c:v>0.84696526304036679</c:v>
                </c:pt>
                <c:pt idx="341">
                  <c:v>0.84844160018325965</c:v>
                </c:pt>
                <c:pt idx="342">
                  <c:v>0.84598277171128322</c:v>
                </c:pt>
                <c:pt idx="343">
                  <c:v>0.83895184314896876</c:v>
                </c:pt>
                <c:pt idx="344">
                  <c:v>0.83479261717832776</c:v>
                </c:pt>
                <c:pt idx="345">
                  <c:v>0.83168011870681902</c:v>
                </c:pt>
                <c:pt idx="346">
                  <c:v>0.82912742744239809</c:v>
                </c:pt>
                <c:pt idx="347">
                  <c:v>0.8749972636024641</c:v>
                </c:pt>
                <c:pt idx="348">
                  <c:v>0.8773418214627654</c:v>
                </c:pt>
                <c:pt idx="349">
                  <c:v>0.87948664842579549</c:v>
                </c:pt>
                <c:pt idx="350">
                  <c:v>0.88147162043606009</c:v>
                </c:pt>
                <c:pt idx="351">
                  <c:v>0.8833358821281222</c:v>
                </c:pt>
                <c:pt idx="352">
                  <c:v>0.88737089698538274</c:v>
                </c:pt>
                <c:pt idx="353">
                  <c:v>0.88989191646048438</c:v>
                </c:pt>
                <c:pt idx="354">
                  <c:v>0.89109501533659974</c:v>
                </c:pt>
                <c:pt idx="355">
                  <c:v>0.89346930138121272</c:v>
                </c:pt>
                <c:pt idx="356">
                  <c:v>0.88755875704073628</c:v>
                </c:pt>
                <c:pt idx="357">
                  <c:v>0.79107122795724605</c:v>
                </c:pt>
                <c:pt idx="358">
                  <c:v>0.84954650087000072</c:v>
                </c:pt>
                <c:pt idx="359">
                  <c:v>0.89911134734067877</c:v>
                </c:pt>
                <c:pt idx="360">
                  <c:v>0.83256428625480594</c:v>
                </c:pt>
                <c:pt idx="361">
                  <c:v>0.76166478262077708</c:v>
                </c:pt>
                <c:pt idx="362">
                  <c:v>0.89291065345324627</c:v>
                </c:pt>
                <c:pt idx="363">
                  <c:v>0.85295790728896126</c:v>
                </c:pt>
                <c:pt idx="364">
                  <c:v>0.80205363383309436</c:v>
                </c:pt>
                <c:pt idx="365">
                  <c:v>0.58896645282176285</c:v>
                </c:pt>
                <c:pt idx="366">
                  <c:v>0.79515751163372084</c:v>
                </c:pt>
                <c:pt idx="367">
                  <c:v>0.29690602538455374</c:v>
                </c:pt>
                <c:pt idx="368">
                  <c:v>0.24953890483221219</c:v>
                </c:pt>
                <c:pt idx="369">
                  <c:v>0.90382737039007477</c:v>
                </c:pt>
                <c:pt idx="370">
                  <c:v>0.91627931040416366</c:v>
                </c:pt>
                <c:pt idx="371">
                  <c:v>0.49617646838915758</c:v>
                </c:pt>
                <c:pt idx="372">
                  <c:v>0.29003812648503446</c:v>
                </c:pt>
                <c:pt idx="373">
                  <c:v>0.81540882444158569</c:v>
                </c:pt>
                <c:pt idx="374">
                  <c:v>0.26381890317204754</c:v>
                </c:pt>
                <c:pt idx="375">
                  <c:v>0.79151074983735947</c:v>
                </c:pt>
                <c:pt idx="376">
                  <c:v>0.74243897102868184</c:v>
                </c:pt>
                <c:pt idx="377">
                  <c:v>0.63086238133039485</c:v>
                </c:pt>
                <c:pt idx="378">
                  <c:v>0.20242566733452877</c:v>
                </c:pt>
                <c:pt idx="379">
                  <c:v>0.39139288021653612</c:v>
                </c:pt>
                <c:pt idx="380">
                  <c:v>0.50466648740841336</c:v>
                </c:pt>
                <c:pt idx="381">
                  <c:v>0.95944764048297893</c:v>
                </c:pt>
                <c:pt idx="382">
                  <c:v>0.15918488577274229</c:v>
                </c:pt>
                <c:pt idx="383">
                  <c:v>0.17622860419637845</c:v>
                </c:pt>
                <c:pt idx="384">
                  <c:v>0.75055378383135718</c:v>
                </c:pt>
                <c:pt idx="385">
                  <c:v>0.96907790158773521</c:v>
                </c:pt>
                <c:pt idx="386">
                  <c:v>0.26544726199655105</c:v>
                </c:pt>
                <c:pt idx="387">
                  <c:v>0.86834822445294046</c:v>
                </c:pt>
                <c:pt idx="388">
                  <c:v>0.3079268530313421</c:v>
                </c:pt>
                <c:pt idx="389">
                  <c:v>0.51141141811014479</c:v>
                </c:pt>
                <c:pt idx="390">
                  <c:v>0.3661578193825622</c:v>
                </c:pt>
                <c:pt idx="391">
                  <c:v>0.98271357077282195</c:v>
                </c:pt>
                <c:pt idx="392">
                  <c:v>0.95510058367375861</c:v>
                </c:pt>
                <c:pt idx="393">
                  <c:v>0.6218533561819144</c:v>
                </c:pt>
                <c:pt idx="394">
                  <c:v>0.2260951711168622</c:v>
                </c:pt>
                <c:pt idx="395">
                  <c:v>0.77584306954409843</c:v>
                </c:pt>
                <c:pt idx="396">
                  <c:v>0.49093352373710114</c:v>
                </c:pt>
                <c:pt idx="397">
                  <c:v>0.42526451482143263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38-434E-A1FD-14931CF86187}"/>
            </c:ext>
          </c:extLst>
        </c:ser>
        <c:ser>
          <c:idx val="19"/>
          <c:order val="19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ex7자동화!$AF$10:$AF$407</c:f>
              <c:numCache>
                <c:formatCode>General</c:formatCode>
                <c:ptCount val="398"/>
                <c:pt idx="0">
                  <c:v>7.9462431206027188E-305</c:v>
                </c:pt>
                <c:pt idx="1">
                  <c:v>5.7882807658685917E-280</c:v>
                </c:pt>
                <c:pt idx="2">
                  <c:v>1.1148391988763312E-260</c:v>
                </c:pt>
                <c:pt idx="3">
                  <c:v>6.365622590383111E-245</c:v>
                </c:pt>
                <c:pt idx="4">
                  <c:v>1.3359896211473892E-231</c:v>
                </c:pt>
                <c:pt idx="5">
                  <c:v>4.6317134372121514E-220</c:v>
                </c:pt>
                <c:pt idx="6">
                  <c:v>6.9923730697504351E-210</c:v>
                </c:pt>
                <c:pt idx="7">
                  <c:v>8.9101628628319299E-201</c:v>
                </c:pt>
                <c:pt idx="8">
                  <c:v>1.5365248342508712E-192</c:v>
                </c:pt>
                <c:pt idx="9">
                  <c:v>5.0811454538468853E-185</c:v>
                </c:pt>
                <c:pt idx="10">
                  <c:v>4.1986307321927703E-178</c:v>
                </c:pt>
                <c:pt idx="11">
                  <c:v>1.0649634280077782E-171</c:v>
                </c:pt>
                <c:pt idx="12">
                  <c:v>9.760653625509746E-166</c:v>
                </c:pt>
                <c:pt idx="13">
                  <c:v>3.6867610062933593E-160</c:v>
                </c:pt>
                <c:pt idx="14">
                  <c:v>6.3905875989166974E-155</c:v>
                </c:pt>
                <c:pt idx="15">
                  <c:v>5.5572179460623185E-150</c:v>
                </c:pt>
                <c:pt idx="16">
                  <c:v>2.6121913972942381E-145</c:v>
                </c:pt>
                <c:pt idx="17">
                  <c:v>7.0697257602675481E-141</c:v>
                </c:pt>
                <c:pt idx="18">
                  <c:v>1.1626610850544849E-136</c:v>
                </c:pt>
                <c:pt idx="19">
                  <c:v>1.2170026441693529E-132</c:v>
                </c:pt>
                <c:pt idx="20">
                  <c:v>8.440455859083335E-129</c:v>
                </c:pt>
                <c:pt idx="21">
                  <c:v>4.0169413743335705E-125</c:v>
                </c:pt>
                <c:pt idx="22">
                  <c:v>1.3528035139795835E-121</c:v>
                </c:pt>
                <c:pt idx="23">
                  <c:v>3.3125767510477225E-118</c:v>
                </c:pt>
                <c:pt idx="24">
                  <c:v>6.04139040343808E-115</c:v>
                </c:pt>
                <c:pt idx="25">
                  <c:v>8.3840703099301395E-112</c:v>
                </c:pt>
                <c:pt idx="26">
                  <c:v>9.024996790719678E-109</c:v>
                </c:pt>
                <c:pt idx="27">
                  <c:v>7.6664292084817959E-106</c:v>
                </c:pt>
                <c:pt idx="28">
                  <c:v>5.2195950574054498E-103</c:v>
                </c:pt>
                <c:pt idx="29">
                  <c:v>2.8885452233781561E-100</c:v>
                </c:pt>
                <c:pt idx="30">
                  <c:v>1.3160057525353604E-97</c:v>
                </c:pt>
                <c:pt idx="31">
                  <c:v>4.9936033749532606E-95</c:v>
                </c:pt>
                <c:pt idx="32">
                  <c:v>1.5949632296265952E-92</c:v>
                </c:pt>
                <c:pt idx="33">
                  <c:v>4.3299331546980553E-90</c:v>
                </c:pt>
                <c:pt idx="34">
                  <c:v>1.0080278820958502E-87</c:v>
                </c:pt>
                <c:pt idx="35">
                  <c:v>2.0290001959211281E-85</c:v>
                </c:pt>
                <c:pt idx="36">
                  <c:v>3.5578672943269815E-83</c:v>
                </c:pt>
                <c:pt idx="37">
                  <c:v>5.4730080936791583E-81</c:v>
                </c:pt>
                <c:pt idx="38">
                  <c:v>7.4335621321834429E-79</c:v>
                </c:pt>
                <c:pt idx="39">
                  <c:v>8.9681977775088458E-77</c:v>
                </c:pt>
                <c:pt idx="40">
                  <c:v>9.6642798342765964E-75</c:v>
                </c:pt>
                <c:pt idx="41">
                  <c:v>9.350647055103902E-73</c:v>
                </c:pt>
                <c:pt idx="42">
                  <c:v>8.1624651945227952E-71</c:v>
                </c:pt>
                <c:pt idx="43">
                  <c:v>6.4575752036063516E-69</c:v>
                </c:pt>
                <c:pt idx="44">
                  <c:v>4.6496492377175169E-67</c:v>
                </c:pt>
                <c:pt idx="45">
                  <c:v>3.0590845875758265E-65</c:v>
                </c:pt>
                <c:pt idx="46">
                  <c:v>1.8458429464192858E-63</c:v>
                </c:pt>
                <c:pt idx="47">
                  <c:v>1.0250459973763472E-61</c:v>
                </c:pt>
                <c:pt idx="48">
                  <c:v>5.2560612093090194E-60</c:v>
                </c:pt>
                <c:pt idx="49">
                  <c:v>2.4962365193254531E-58</c:v>
                </c:pt>
                <c:pt idx="50">
                  <c:v>1.1012403764833655E-56</c:v>
                </c:pt>
                <c:pt idx="51">
                  <c:v>4.5252350057054963E-55</c:v>
                </c:pt>
                <c:pt idx="52">
                  <c:v>1.7365537171113655E-53</c:v>
                </c:pt>
                <c:pt idx="53">
                  <c:v>6.2386045238305752E-52</c:v>
                </c:pt>
                <c:pt idx="54">
                  <c:v>2.1030317524045442E-50</c:v>
                </c:pt>
                <c:pt idx="55">
                  <c:v>6.6667958353958298E-49</c:v>
                </c:pt>
                <c:pt idx="56">
                  <c:v>1.9916161099363709E-47</c:v>
                </c:pt>
                <c:pt idx="57">
                  <c:v>5.617836515201084E-46</c:v>
                </c:pt>
                <c:pt idx="58">
                  <c:v>1.499070351058625E-44</c:v>
                </c:pt>
                <c:pt idx="59">
                  <c:v>3.7908638507147576E-43</c:v>
                </c:pt>
                <c:pt idx="60">
                  <c:v>9.100248384558773E-42</c:v>
                </c:pt>
                <c:pt idx="61">
                  <c:v>2.0771455604686619E-40</c:v>
                </c:pt>
                <c:pt idx="62">
                  <c:v>4.5148691615077654E-39</c:v>
                </c:pt>
                <c:pt idx="63">
                  <c:v>9.3588388418512457E-38</c:v>
                </c:pt>
                <c:pt idx="64">
                  <c:v>1.8526831565987589E-36</c:v>
                </c:pt>
                <c:pt idx="65">
                  <c:v>3.5071789449833182E-35</c:v>
                </c:pt>
                <c:pt idx="66">
                  <c:v>6.3568254063199814E-34</c:v>
                </c:pt>
                <c:pt idx="67">
                  <c:v>1.1045116221381469E-32</c:v>
                </c:pt>
                <c:pt idx="68">
                  <c:v>1.8418115592271756E-31</c:v>
                </c:pt>
                <c:pt idx="69">
                  <c:v>2.9507907364002983E-30</c:v>
                </c:pt>
                <c:pt idx="70">
                  <c:v>4.546742446510592E-29</c:v>
                </c:pt>
                <c:pt idx="71">
                  <c:v>6.7446452007309319E-28</c:v>
                </c:pt>
                <c:pt idx="72">
                  <c:v>9.6409747787925717E-27</c:v>
                </c:pt>
                <c:pt idx="73">
                  <c:v>1.3291397607158695E-25</c:v>
                </c:pt>
                <c:pt idx="74">
                  <c:v>1.7687710773851125E-24</c:v>
                </c:pt>
                <c:pt idx="75">
                  <c:v>2.2738708284016739E-23</c:v>
                </c:pt>
                <c:pt idx="76">
                  <c:v>2.8260062611050604E-22</c:v>
                </c:pt>
                <c:pt idx="77">
                  <c:v>3.3977458121131961E-21</c:v>
                </c:pt>
                <c:pt idx="78">
                  <c:v>3.9545073781594975E-20</c:v>
                </c:pt>
                <c:pt idx="79">
                  <c:v>4.4578465435812319E-19</c:v>
                </c:pt>
                <c:pt idx="80">
                  <c:v>4.8697657656914166E-18</c:v>
                </c:pt>
                <c:pt idx="81">
                  <c:v>5.1573675836242637E-17</c:v>
                </c:pt>
                <c:pt idx="82">
                  <c:v>5.2970560932637697E-16</c:v>
                </c:pt>
                <c:pt idx="83">
                  <c:v>5.2775482970591552E-15</c:v>
                </c:pt>
                <c:pt idx="84">
                  <c:v>5.1011794205623083E-14</c:v>
                </c:pt>
                <c:pt idx="85">
                  <c:v>4.7833181437587587E-13</c:v>
                </c:pt>
                <c:pt idx="86">
                  <c:v>4.3500660758574729E-12</c:v>
                </c:pt>
                <c:pt idx="87">
                  <c:v>3.8347157876577838E-11</c:v>
                </c:pt>
                <c:pt idx="88">
                  <c:v>3.2736200420288315E-10</c:v>
                </c:pt>
                <c:pt idx="89">
                  <c:v>2.7021548722300804E-9</c:v>
                </c:pt>
                <c:pt idx="90">
                  <c:v>2.1513534196529581E-8</c:v>
                </c:pt>
                <c:pt idx="91">
                  <c:v>1.6455894377773709E-7</c:v>
                </c:pt>
                <c:pt idx="92">
                  <c:v>1.2014608024968428E-6</c:v>
                </c:pt>
                <c:pt idx="93">
                  <c:v>8.2784152706097806E-6</c:v>
                </c:pt>
                <c:pt idx="94">
                  <c:v>5.2706167665529443E-5</c:v>
                </c:pt>
                <c:pt idx="95">
                  <c:v>2.975148350586356E-4</c:v>
                </c:pt>
                <c:pt idx="96">
                  <c:v>1.3786083903660055E-3</c:v>
                </c:pt>
                <c:pt idx="97">
                  <c:v>4.7146263775994287E-3</c:v>
                </c:pt>
                <c:pt idx="98">
                  <c:v>1.1241246560362402E-2</c:v>
                </c:pt>
                <c:pt idx="99">
                  <c:v>1.9885288092952199E-2</c:v>
                </c:pt>
                <c:pt idx="100">
                  <c:v>2.9172581609620982E-2</c:v>
                </c:pt>
                <c:pt idx="101">
                  <c:v>3.8468278689127E-2</c:v>
                </c:pt>
                <c:pt idx="102">
                  <c:v>4.7619932263181924E-2</c:v>
                </c:pt>
                <c:pt idx="103">
                  <c:v>5.6603879944580215E-2</c:v>
                </c:pt>
                <c:pt idx="104">
                  <c:v>6.5420572459644388E-2</c:v>
                </c:pt>
                <c:pt idx="105">
                  <c:v>7.4074075237549136E-2</c:v>
                </c:pt>
                <c:pt idx="106">
                  <c:v>8.2568807439244607E-2</c:v>
                </c:pt>
                <c:pt idx="107">
                  <c:v>9.0909090915501006E-2</c:v>
                </c:pt>
                <c:pt idx="108">
                  <c:v>9.9099099099174845E-2</c:v>
                </c:pt>
                <c:pt idx="109">
                  <c:v>0.10714285714278805</c:v>
                </c:pt>
                <c:pt idx="110">
                  <c:v>0.11504424778759426</c:v>
                </c:pt>
                <c:pt idx="111">
                  <c:v>0.12280701754385689</c:v>
                </c:pt>
                <c:pt idx="112">
                  <c:v>0.1304347826086952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0.33333333333333331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0.34640522875816998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0.39759036144578314</c:v>
                </c:pt>
                <c:pt idx="164">
                  <c:v>0.40119760479041916</c:v>
                </c:pt>
                <c:pt idx="165">
                  <c:v>0.40476190476190482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0.41860465116279072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0.43181818181818182</c:v>
                </c:pt>
                <c:pt idx="174">
                  <c:v>0.43502824858757067</c:v>
                </c:pt>
                <c:pt idx="175">
                  <c:v>0.4382022471910112</c:v>
                </c:pt>
                <c:pt idx="176">
                  <c:v>0.44134078212290506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0.45945945945945948</c:v>
                </c:pt>
                <c:pt idx="183">
                  <c:v>0.46236559139784944</c:v>
                </c:pt>
                <c:pt idx="184">
                  <c:v>0.46524064171122997</c:v>
                </c:pt>
                <c:pt idx="185">
                  <c:v>0.46808510638297868</c:v>
                </c:pt>
                <c:pt idx="186">
                  <c:v>0.47089947089947082</c:v>
                </c:pt>
                <c:pt idx="187">
                  <c:v>0.47368421052631582</c:v>
                </c:pt>
                <c:pt idx="188">
                  <c:v>0.47643979057591618</c:v>
                </c:pt>
                <c:pt idx="189">
                  <c:v>0.47916666666666663</c:v>
                </c:pt>
                <c:pt idx="190">
                  <c:v>0.48186528497409326</c:v>
                </c:pt>
                <c:pt idx="191">
                  <c:v>0.48453608247422675</c:v>
                </c:pt>
                <c:pt idx="192">
                  <c:v>0.48717948717948717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0.49494949494949503</c:v>
                </c:pt>
                <c:pt idx="196">
                  <c:v>0.49748743718592958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0.52830188679245293</c:v>
                </c:pt>
                <c:pt idx="210">
                  <c:v>0.53051643192488263</c:v>
                </c:pt>
                <c:pt idx="211">
                  <c:v>0.53271028037383172</c:v>
                </c:pt>
                <c:pt idx="212">
                  <c:v>0.53488372093023251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0.54337899543378987</c:v>
                </c:pt>
                <c:pt idx="217">
                  <c:v>0.54545454545454541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0.55156950672645733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0.56331877729257651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0.57081545064377681</c:v>
                </c:pt>
                <c:pt idx="231">
                  <c:v>0.57264957264957261</c:v>
                </c:pt>
                <c:pt idx="232">
                  <c:v>0.57446808510638303</c:v>
                </c:pt>
                <c:pt idx="233">
                  <c:v>0.57627118644067787</c:v>
                </c:pt>
                <c:pt idx="234">
                  <c:v>0.57805907172995774</c:v>
                </c:pt>
                <c:pt idx="235">
                  <c:v>0.57983193277310918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0.58847736625514413</c:v>
                </c:pt>
                <c:pt idx="241">
                  <c:v>0.59016393442622961</c:v>
                </c:pt>
                <c:pt idx="242">
                  <c:v>0.59183673469387765</c:v>
                </c:pt>
                <c:pt idx="243">
                  <c:v>0.5934959349593496</c:v>
                </c:pt>
                <c:pt idx="244">
                  <c:v>0.59514170040485836</c:v>
                </c:pt>
                <c:pt idx="245">
                  <c:v>0.59677419354838701</c:v>
                </c:pt>
                <c:pt idx="246">
                  <c:v>0.59839357429718887</c:v>
                </c:pt>
                <c:pt idx="247">
                  <c:v>0.6</c:v>
                </c:pt>
                <c:pt idx="248">
                  <c:v>0.60159362549800788</c:v>
                </c:pt>
                <c:pt idx="249">
                  <c:v>0.60317460317460325</c:v>
                </c:pt>
                <c:pt idx="250">
                  <c:v>0.60474308300395252</c:v>
                </c:pt>
                <c:pt idx="251">
                  <c:v>0.60629921259842523</c:v>
                </c:pt>
                <c:pt idx="252">
                  <c:v>0.60784313725490202</c:v>
                </c:pt>
                <c:pt idx="253">
                  <c:v>0.60937500000000011</c:v>
                </c:pt>
                <c:pt idx="254">
                  <c:v>0.6108949416342413</c:v>
                </c:pt>
                <c:pt idx="255">
                  <c:v>0.61240310077519389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0.61685823754789282</c:v>
                </c:pt>
                <c:pt idx="259">
                  <c:v>0.61832061068702304</c:v>
                </c:pt>
                <c:pt idx="260">
                  <c:v>0.6197718631178708</c:v>
                </c:pt>
                <c:pt idx="261">
                  <c:v>0.62121212121212133</c:v>
                </c:pt>
                <c:pt idx="262">
                  <c:v>0.62264150943396235</c:v>
                </c:pt>
                <c:pt idx="263">
                  <c:v>0.62406015037593998</c:v>
                </c:pt>
                <c:pt idx="264">
                  <c:v>0.62546816479400758</c:v>
                </c:pt>
                <c:pt idx="265">
                  <c:v>0.62686567164179119</c:v>
                </c:pt>
                <c:pt idx="266">
                  <c:v>0.62825278810408924</c:v>
                </c:pt>
                <c:pt idx="267">
                  <c:v>0.62962962962962976</c:v>
                </c:pt>
                <c:pt idx="268">
                  <c:v>0.63099630996309974</c:v>
                </c:pt>
                <c:pt idx="269">
                  <c:v>0.6323529411764709</c:v>
                </c:pt>
                <c:pt idx="270">
                  <c:v>0.63369963369963378</c:v>
                </c:pt>
                <c:pt idx="271">
                  <c:v>0.63503649635036508</c:v>
                </c:pt>
                <c:pt idx="272">
                  <c:v>0.63636363636363646</c:v>
                </c:pt>
                <c:pt idx="273">
                  <c:v>0.63768115942028991</c:v>
                </c:pt>
                <c:pt idx="274">
                  <c:v>0.63898916967509034</c:v>
                </c:pt>
                <c:pt idx="275">
                  <c:v>0.64028776978417268</c:v>
                </c:pt>
                <c:pt idx="276">
                  <c:v>0.64157706093189992</c:v>
                </c:pt>
                <c:pt idx="277">
                  <c:v>0.64285714285714279</c:v>
                </c:pt>
                <c:pt idx="278">
                  <c:v>0.64412811387900359</c:v>
                </c:pt>
                <c:pt idx="279">
                  <c:v>0.64539007092198597</c:v>
                </c:pt>
                <c:pt idx="280">
                  <c:v>0.64664310954063609</c:v>
                </c:pt>
                <c:pt idx="281">
                  <c:v>0.64788732394366222</c:v>
                </c:pt>
                <c:pt idx="282">
                  <c:v>0.64912280701754466</c:v>
                </c:pt>
                <c:pt idx="283">
                  <c:v>0.65034965034965841</c:v>
                </c:pt>
                <c:pt idx="284">
                  <c:v>0.65156794425094877</c:v>
                </c:pt>
                <c:pt idx="285">
                  <c:v>0.6527777777785041</c:v>
                </c:pt>
                <c:pt idx="286">
                  <c:v>0.65397923876092445</c:v>
                </c:pt>
                <c:pt idx="287">
                  <c:v>0.65517241385143843</c:v>
                </c:pt>
                <c:pt idx="288">
                  <c:v>0.65635738881787531</c:v>
                </c:pt>
                <c:pt idx="289">
                  <c:v>0.6575342507731694</c:v>
                </c:pt>
                <c:pt idx="290">
                  <c:v>0.65870310582116443</c:v>
                </c:pt>
                <c:pt idx="291">
                  <c:v>0.65986421536843309</c:v>
                </c:pt>
                <c:pt idx="292">
                  <c:v>0.66101901461835788</c:v>
                </c:pt>
                <c:pt idx="293">
                  <c:v>0.66217741900003269</c:v>
                </c:pt>
                <c:pt idx="294">
                  <c:v>0.66340739616359734</c:v>
                </c:pt>
                <c:pt idx="295">
                  <c:v>0.66514011334128154</c:v>
                </c:pt>
                <c:pt idx="296">
                  <c:v>0.66961650146686136</c:v>
                </c:pt>
                <c:pt idx="297">
                  <c:v>0.68242178648593788</c:v>
                </c:pt>
                <c:pt idx="298">
                  <c:v>0.69956969619117348</c:v>
                </c:pt>
                <c:pt idx="299">
                  <c:v>0.71251047570546089</c:v>
                </c:pt>
                <c:pt idx="300">
                  <c:v>0.72239386904770853</c:v>
                </c:pt>
                <c:pt idx="301">
                  <c:v>0.73059128685453789</c:v>
                </c:pt>
                <c:pt idx="302">
                  <c:v>0.73770491802938831</c:v>
                </c:pt>
                <c:pt idx="303">
                  <c:v>0.74404550770749933</c:v>
                </c:pt>
                <c:pt idx="304">
                  <c:v>0.74979808563571659</c:v>
                </c:pt>
                <c:pt idx="305">
                  <c:v>0.75508348608497189</c:v>
                </c:pt>
                <c:pt idx="306">
                  <c:v>0.75998583373538831</c:v>
                </c:pt>
                <c:pt idx="307">
                  <c:v>0.76456651995859426</c:v>
                </c:pt>
                <c:pt idx="308">
                  <c:v>0.76887199661745476</c:v>
                </c:pt>
                <c:pt idx="309">
                  <c:v>0.77293843481568558</c:v>
                </c:pt>
                <c:pt idx="310">
                  <c:v>0.77679466518672435</c:v>
                </c:pt>
                <c:pt idx="311">
                  <c:v>0.78046411662849857</c:v>
                </c:pt>
                <c:pt idx="312">
                  <c:v>0.78396614157190081</c:v>
                </c:pt>
                <c:pt idx="313">
                  <c:v>0.78731694971120969</c:v>
                </c:pt>
                <c:pt idx="314">
                  <c:v>0.7905302830270774</c:v>
                </c:pt>
                <c:pt idx="315">
                  <c:v>0.79361791473082666</c:v>
                </c:pt>
                <c:pt idx="316">
                  <c:v>0.79659002525827183</c:v>
                </c:pt>
                <c:pt idx="317">
                  <c:v>0.79945549046737008</c:v>
                </c:pt>
                <c:pt idx="318">
                  <c:v>0.80222210589304055</c:v>
                </c:pt>
                <c:pt idx="319">
                  <c:v>0.80489676360802376</c:v>
                </c:pt>
                <c:pt idx="320">
                  <c:v>0.80748559340037396</c:v>
                </c:pt>
                <c:pt idx="321">
                  <c:v>0.80999407670269741</c:v>
                </c:pt>
                <c:pt idx="322">
                  <c:v>0.81242713944683309</c:v>
                </c:pt>
                <c:pt idx="323">
                  <c:v>0.81478922842850132</c:v>
                </c:pt>
                <c:pt idx="324">
                  <c:v>0.81708437463155914</c:v>
                </c:pt>
                <c:pt idx="325">
                  <c:v>0.81931624613907328</c:v>
                </c:pt>
                <c:pt idx="326">
                  <c:v>0.82148819265437434</c:v>
                </c:pt>
                <c:pt idx="327">
                  <c:v>0.82360328320606901</c:v>
                </c:pt>
                <c:pt idx="328">
                  <c:v>0.82566433827315944</c:v>
                </c:pt>
                <c:pt idx="329">
                  <c:v>0.82767395730962734</c:v>
                </c:pt>
                <c:pt idx="330">
                  <c:v>0.82963454245073986</c:v>
                </c:pt>
                <c:pt idx="331">
                  <c:v>0.46785287857412933</c:v>
                </c:pt>
                <c:pt idx="332">
                  <c:v>0.46509010926488015</c:v>
                </c:pt>
                <c:pt idx="333">
                  <c:v>0.46237547900754933</c:v>
                </c:pt>
                <c:pt idx="334">
                  <c:v>0.45970714718419287</c:v>
                </c:pt>
                <c:pt idx="335">
                  <c:v>0.45708339144532401</c:v>
                </c:pt>
                <c:pt idx="336">
                  <c:v>0.4545025970854405</c:v>
                </c:pt>
                <c:pt idx="337">
                  <c:v>0.45196324762608325</c:v>
                </c:pt>
                <c:pt idx="338">
                  <c:v>0.44946391640204242</c:v>
                </c:pt>
                <c:pt idx="339">
                  <c:v>0.44700325157229659</c:v>
                </c:pt>
                <c:pt idx="340">
                  <c:v>0.4445798144146188</c:v>
                </c:pt>
                <c:pt idx="341">
                  <c:v>0.44234427234034923</c:v>
                </c:pt>
                <c:pt idx="342">
                  <c:v>0.44952092979247438</c:v>
                </c:pt>
                <c:pt idx="343">
                  <c:v>0.46748630216967246</c:v>
                </c:pt>
                <c:pt idx="344">
                  <c:v>0.47856124508561332</c:v>
                </c:pt>
                <c:pt idx="345">
                  <c:v>0.48715928001411396</c:v>
                </c:pt>
                <c:pt idx="346">
                  <c:v>0.49444622640296998</c:v>
                </c:pt>
                <c:pt idx="347">
                  <c:v>0.38281968301732416</c:v>
                </c:pt>
                <c:pt idx="348">
                  <c:v>0.37772215571082024</c:v>
                </c:pt>
                <c:pt idx="349">
                  <c:v>0.37308439050627956</c:v>
                </c:pt>
                <c:pt idx="350">
                  <c:v>0.36881229189065934</c:v>
                </c:pt>
                <c:pt idx="351">
                  <c:v>0.36480974921461257</c:v>
                </c:pt>
                <c:pt idx="352">
                  <c:v>0.35480044799902694</c:v>
                </c:pt>
                <c:pt idx="353">
                  <c:v>0.34882408478442356</c:v>
                </c:pt>
                <c:pt idx="354">
                  <c:v>0.34644953965454739</c:v>
                </c:pt>
                <c:pt idx="355">
                  <c:v>0.34075123375667782</c:v>
                </c:pt>
                <c:pt idx="356">
                  <c:v>0.35827557332933196</c:v>
                </c:pt>
                <c:pt idx="357">
                  <c:v>0.59499914491965922</c:v>
                </c:pt>
                <c:pt idx="358">
                  <c:v>0.46142024986363428</c:v>
                </c:pt>
                <c:pt idx="359">
                  <c:v>0.32837067937454723</c:v>
                </c:pt>
                <c:pt idx="360">
                  <c:v>0.50602561369342824</c:v>
                </c:pt>
                <c:pt idx="361">
                  <c:v>0.66077481119111814</c:v>
                </c:pt>
                <c:pt idx="362">
                  <c:v>0.34901744717074196</c:v>
                </c:pt>
                <c:pt idx="363">
                  <c:v>0.45903981939684113</c:v>
                </c:pt>
                <c:pt idx="364">
                  <c:v>0.58266242039777816</c:v>
                </c:pt>
                <c:pt idx="365">
                  <c:v>0.89087269060211205</c:v>
                </c:pt>
                <c:pt idx="366">
                  <c:v>0.60103473987364087</c:v>
                </c:pt>
                <c:pt idx="367">
                  <c:v>0.77238549865713191</c:v>
                </c:pt>
                <c:pt idx="368">
                  <c:v>0.69476887968527712</c:v>
                </c:pt>
                <c:pt idx="369">
                  <c:v>0.323355252316675</c:v>
                </c:pt>
                <c:pt idx="370">
                  <c:v>0.28613402827078865</c:v>
                </c:pt>
                <c:pt idx="371">
                  <c:v>0.93494532346651815</c:v>
                </c:pt>
                <c:pt idx="372">
                  <c:v>0.77218504376282093</c:v>
                </c:pt>
                <c:pt idx="373">
                  <c:v>0.56594494822605745</c:v>
                </c:pt>
                <c:pt idx="374">
                  <c:v>0.73220370541931801</c:v>
                </c:pt>
                <c:pt idx="375">
                  <c:v>0.62378120471660436</c:v>
                </c:pt>
                <c:pt idx="376">
                  <c:v>0.72473647878763958</c:v>
                </c:pt>
                <c:pt idx="377">
                  <c:v>0.8849251411796456</c:v>
                </c:pt>
                <c:pt idx="378">
                  <c:v>0.61512265801244492</c:v>
                </c:pt>
                <c:pt idx="379">
                  <c:v>0.90994116529354008</c:v>
                </c:pt>
                <c:pt idx="380">
                  <c:v>0.95741659751887309</c:v>
                </c:pt>
                <c:pt idx="381">
                  <c:v>0.14940620411375363</c:v>
                </c:pt>
                <c:pt idx="382">
                  <c:v>0.51530347296990597</c:v>
                </c:pt>
                <c:pt idx="383">
                  <c:v>0.56036424138118612</c:v>
                </c:pt>
                <c:pt idx="384">
                  <c:v>0.72455224144814556</c:v>
                </c:pt>
                <c:pt idx="385">
                  <c:v>0.11626777829914235</c:v>
                </c:pt>
                <c:pt idx="386">
                  <c:v>0.75849170093988239</c:v>
                </c:pt>
                <c:pt idx="387">
                  <c:v>0.44584638361522816</c:v>
                </c:pt>
                <c:pt idx="388">
                  <c:v>0.83325191329500525</c:v>
                </c:pt>
                <c:pt idx="389">
                  <c:v>0.9794895357839245</c:v>
                </c:pt>
                <c:pt idx="390">
                  <c:v>0.91209904380214679</c:v>
                </c:pt>
                <c:pt idx="391">
                  <c:v>6.6931177851502141E-2</c:v>
                </c:pt>
                <c:pt idx="392">
                  <c:v>0.16938966202222674</c:v>
                </c:pt>
                <c:pt idx="393">
                  <c:v>0.93120096796532592</c:v>
                </c:pt>
                <c:pt idx="394">
                  <c:v>0.69465529451656105</c:v>
                </c:pt>
                <c:pt idx="395">
                  <c:v>0.69216419191826895</c:v>
                </c:pt>
                <c:pt idx="396">
                  <c:v>0.99717201804261568</c:v>
                </c:pt>
                <c:pt idx="397">
                  <c:v>0.97765842902049649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38-434E-A1FD-14931CF86187}"/>
            </c:ext>
          </c:extLst>
        </c:ser>
        <c:ser>
          <c:idx val="20"/>
          <c:order val="2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ex7자동화!$L$10:$L$407</c:f>
              <c:numCache>
                <c:formatCode>General</c:formatCode>
                <c:ptCount val="39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0.06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0.09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0.13</c:v>
                </c:pt>
                <c:pt idx="11">
                  <c:v>0.14000000000000001</c:v>
                </c:pt>
                <c:pt idx="12">
                  <c:v>0.15</c:v>
                </c:pt>
                <c:pt idx="13">
                  <c:v>0.16</c:v>
                </c:pt>
                <c:pt idx="14">
                  <c:v>0.17</c:v>
                </c:pt>
                <c:pt idx="15">
                  <c:v>0.18</c:v>
                </c:pt>
                <c:pt idx="16">
                  <c:v>0.19</c:v>
                </c:pt>
                <c:pt idx="17">
                  <c:v>0.2</c:v>
                </c:pt>
                <c:pt idx="18">
                  <c:v>0.21</c:v>
                </c:pt>
                <c:pt idx="19">
                  <c:v>0.22</c:v>
                </c:pt>
                <c:pt idx="20">
                  <c:v>0.23</c:v>
                </c:pt>
                <c:pt idx="21">
                  <c:v>0.24</c:v>
                </c:pt>
                <c:pt idx="22">
                  <c:v>0.25</c:v>
                </c:pt>
                <c:pt idx="23">
                  <c:v>0.26</c:v>
                </c:pt>
                <c:pt idx="24">
                  <c:v>0.27</c:v>
                </c:pt>
                <c:pt idx="25">
                  <c:v>0.28000000000000003</c:v>
                </c:pt>
                <c:pt idx="26">
                  <c:v>0.28999999999999998</c:v>
                </c:pt>
                <c:pt idx="27">
                  <c:v>0.3</c:v>
                </c:pt>
                <c:pt idx="28">
                  <c:v>0.31</c:v>
                </c:pt>
                <c:pt idx="29">
                  <c:v>0.32</c:v>
                </c:pt>
                <c:pt idx="30">
                  <c:v>0.33</c:v>
                </c:pt>
                <c:pt idx="31">
                  <c:v>0.34</c:v>
                </c:pt>
                <c:pt idx="32">
                  <c:v>0.35</c:v>
                </c:pt>
                <c:pt idx="33">
                  <c:v>0.36</c:v>
                </c:pt>
                <c:pt idx="34">
                  <c:v>0.37</c:v>
                </c:pt>
                <c:pt idx="35">
                  <c:v>0.38</c:v>
                </c:pt>
                <c:pt idx="36">
                  <c:v>0.39</c:v>
                </c:pt>
                <c:pt idx="37">
                  <c:v>0.4</c:v>
                </c:pt>
                <c:pt idx="38">
                  <c:v>0.41</c:v>
                </c:pt>
                <c:pt idx="39">
                  <c:v>0.42</c:v>
                </c:pt>
                <c:pt idx="40">
                  <c:v>0.43</c:v>
                </c:pt>
                <c:pt idx="41">
                  <c:v>0.44</c:v>
                </c:pt>
                <c:pt idx="42">
                  <c:v>0.45</c:v>
                </c:pt>
                <c:pt idx="43">
                  <c:v>0.46</c:v>
                </c:pt>
                <c:pt idx="44">
                  <c:v>0.47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0.55000000000000004</c:v>
                </c:pt>
                <c:pt idx="53">
                  <c:v>0.56000000000000005</c:v>
                </c:pt>
                <c:pt idx="54">
                  <c:v>0.56999999999999995</c:v>
                </c:pt>
                <c:pt idx="55">
                  <c:v>0.57999999999999996</c:v>
                </c:pt>
                <c:pt idx="56">
                  <c:v>0.59</c:v>
                </c:pt>
                <c:pt idx="57">
                  <c:v>0.6</c:v>
                </c:pt>
                <c:pt idx="58">
                  <c:v>0.61</c:v>
                </c:pt>
                <c:pt idx="59">
                  <c:v>0.62</c:v>
                </c:pt>
                <c:pt idx="60">
                  <c:v>0.63</c:v>
                </c:pt>
                <c:pt idx="61">
                  <c:v>0.64</c:v>
                </c:pt>
                <c:pt idx="62">
                  <c:v>0.65</c:v>
                </c:pt>
                <c:pt idx="63">
                  <c:v>0.66</c:v>
                </c:pt>
                <c:pt idx="64">
                  <c:v>0.67</c:v>
                </c:pt>
                <c:pt idx="65">
                  <c:v>0.68</c:v>
                </c:pt>
                <c:pt idx="66">
                  <c:v>0.69</c:v>
                </c:pt>
                <c:pt idx="67">
                  <c:v>0.7</c:v>
                </c:pt>
                <c:pt idx="68">
                  <c:v>0.71</c:v>
                </c:pt>
                <c:pt idx="69">
                  <c:v>0.72</c:v>
                </c:pt>
                <c:pt idx="70">
                  <c:v>0.73</c:v>
                </c:pt>
                <c:pt idx="71">
                  <c:v>0.74</c:v>
                </c:pt>
                <c:pt idx="72">
                  <c:v>0.75</c:v>
                </c:pt>
                <c:pt idx="73">
                  <c:v>0.76</c:v>
                </c:pt>
                <c:pt idx="74">
                  <c:v>0.77</c:v>
                </c:pt>
                <c:pt idx="75">
                  <c:v>0.78</c:v>
                </c:pt>
                <c:pt idx="76">
                  <c:v>0.79</c:v>
                </c:pt>
                <c:pt idx="77">
                  <c:v>0.8</c:v>
                </c:pt>
                <c:pt idx="78">
                  <c:v>0.81</c:v>
                </c:pt>
                <c:pt idx="79">
                  <c:v>0.82</c:v>
                </c:pt>
                <c:pt idx="80">
                  <c:v>0.83</c:v>
                </c:pt>
                <c:pt idx="81">
                  <c:v>0.84</c:v>
                </c:pt>
                <c:pt idx="82">
                  <c:v>0.85</c:v>
                </c:pt>
                <c:pt idx="83">
                  <c:v>0.86</c:v>
                </c:pt>
                <c:pt idx="84">
                  <c:v>0.87</c:v>
                </c:pt>
                <c:pt idx="85">
                  <c:v>0.88</c:v>
                </c:pt>
                <c:pt idx="86">
                  <c:v>0.89</c:v>
                </c:pt>
                <c:pt idx="87">
                  <c:v>0.9</c:v>
                </c:pt>
                <c:pt idx="88">
                  <c:v>0.91</c:v>
                </c:pt>
                <c:pt idx="89">
                  <c:v>0.92</c:v>
                </c:pt>
                <c:pt idx="90">
                  <c:v>0.93</c:v>
                </c:pt>
                <c:pt idx="91">
                  <c:v>0.94</c:v>
                </c:pt>
                <c:pt idx="92">
                  <c:v>0.95</c:v>
                </c:pt>
                <c:pt idx="93">
                  <c:v>0.96</c:v>
                </c:pt>
                <c:pt idx="94">
                  <c:v>0.97</c:v>
                </c:pt>
                <c:pt idx="95">
                  <c:v>0.98</c:v>
                </c:pt>
                <c:pt idx="96">
                  <c:v>0.99</c:v>
                </c:pt>
                <c:pt idx="97">
                  <c:v>1</c:v>
                </c:pt>
                <c:pt idx="98">
                  <c:v>1.01</c:v>
                </c:pt>
                <c:pt idx="99">
                  <c:v>1.02</c:v>
                </c:pt>
                <c:pt idx="100">
                  <c:v>1.03</c:v>
                </c:pt>
                <c:pt idx="101">
                  <c:v>1.04</c:v>
                </c:pt>
                <c:pt idx="102">
                  <c:v>1.05</c:v>
                </c:pt>
                <c:pt idx="103">
                  <c:v>1.06</c:v>
                </c:pt>
                <c:pt idx="104">
                  <c:v>1.07</c:v>
                </c:pt>
                <c:pt idx="105">
                  <c:v>1.08</c:v>
                </c:pt>
                <c:pt idx="106">
                  <c:v>1.0900000000000001</c:v>
                </c:pt>
                <c:pt idx="107">
                  <c:v>1.1000000000000001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1.1299999999999999</c:v>
                </c:pt>
                <c:pt idx="111">
                  <c:v>1.1399999999999999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1.17</c:v>
                </c:pt>
                <c:pt idx="115">
                  <c:v>1.18</c:v>
                </c:pt>
                <c:pt idx="116">
                  <c:v>1.19</c:v>
                </c:pt>
                <c:pt idx="117">
                  <c:v>1.2</c:v>
                </c:pt>
                <c:pt idx="118">
                  <c:v>1.21</c:v>
                </c:pt>
                <c:pt idx="119">
                  <c:v>1.22</c:v>
                </c:pt>
                <c:pt idx="120">
                  <c:v>1.23</c:v>
                </c:pt>
                <c:pt idx="121">
                  <c:v>1.24</c:v>
                </c:pt>
                <c:pt idx="122">
                  <c:v>1.25</c:v>
                </c:pt>
                <c:pt idx="123">
                  <c:v>1.26</c:v>
                </c:pt>
                <c:pt idx="124">
                  <c:v>1.27</c:v>
                </c:pt>
                <c:pt idx="125">
                  <c:v>1.28</c:v>
                </c:pt>
                <c:pt idx="126">
                  <c:v>1.29</c:v>
                </c:pt>
                <c:pt idx="127">
                  <c:v>1.3</c:v>
                </c:pt>
                <c:pt idx="128">
                  <c:v>1.31</c:v>
                </c:pt>
                <c:pt idx="129">
                  <c:v>1.32</c:v>
                </c:pt>
                <c:pt idx="130">
                  <c:v>1.33</c:v>
                </c:pt>
                <c:pt idx="131">
                  <c:v>1.34</c:v>
                </c:pt>
                <c:pt idx="132">
                  <c:v>1.35</c:v>
                </c:pt>
                <c:pt idx="133">
                  <c:v>1.36</c:v>
                </c:pt>
                <c:pt idx="134">
                  <c:v>1.37</c:v>
                </c:pt>
                <c:pt idx="135">
                  <c:v>1.38</c:v>
                </c:pt>
                <c:pt idx="136">
                  <c:v>1.39</c:v>
                </c:pt>
                <c:pt idx="137">
                  <c:v>1.4</c:v>
                </c:pt>
                <c:pt idx="138">
                  <c:v>1.41</c:v>
                </c:pt>
                <c:pt idx="139">
                  <c:v>1.42</c:v>
                </c:pt>
                <c:pt idx="140">
                  <c:v>1.43</c:v>
                </c:pt>
                <c:pt idx="141">
                  <c:v>1.44</c:v>
                </c:pt>
                <c:pt idx="142">
                  <c:v>1.45</c:v>
                </c:pt>
                <c:pt idx="143">
                  <c:v>1.46</c:v>
                </c:pt>
                <c:pt idx="144">
                  <c:v>1.47</c:v>
                </c:pt>
                <c:pt idx="145">
                  <c:v>1.48</c:v>
                </c:pt>
                <c:pt idx="146">
                  <c:v>1.49</c:v>
                </c:pt>
                <c:pt idx="147">
                  <c:v>1.5</c:v>
                </c:pt>
                <c:pt idx="148">
                  <c:v>1.51</c:v>
                </c:pt>
                <c:pt idx="149">
                  <c:v>1.52</c:v>
                </c:pt>
                <c:pt idx="150">
                  <c:v>1.53</c:v>
                </c:pt>
                <c:pt idx="151">
                  <c:v>1.54</c:v>
                </c:pt>
                <c:pt idx="152">
                  <c:v>1.55</c:v>
                </c:pt>
                <c:pt idx="153">
                  <c:v>1.56</c:v>
                </c:pt>
                <c:pt idx="154">
                  <c:v>1.57</c:v>
                </c:pt>
                <c:pt idx="155">
                  <c:v>1.58</c:v>
                </c:pt>
                <c:pt idx="156">
                  <c:v>1.59</c:v>
                </c:pt>
                <c:pt idx="157">
                  <c:v>1.6</c:v>
                </c:pt>
                <c:pt idx="158">
                  <c:v>1.61</c:v>
                </c:pt>
                <c:pt idx="159">
                  <c:v>1.62</c:v>
                </c:pt>
                <c:pt idx="160">
                  <c:v>1.63</c:v>
                </c:pt>
                <c:pt idx="161">
                  <c:v>1.64</c:v>
                </c:pt>
                <c:pt idx="162">
                  <c:v>1.65</c:v>
                </c:pt>
                <c:pt idx="163">
                  <c:v>1.66</c:v>
                </c:pt>
                <c:pt idx="164">
                  <c:v>1.67</c:v>
                </c:pt>
                <c:pt idx="165">
                  <c:v>1.68</c:v>
                </c:pt>
                <c:pt idx="166">
                  <c:v>1.69</c:v>
                </c:pt>
                <c:pt idx="167">
                  <c:v>1.7</c:v>
                </c:pt>
                <c:pt idx="168">
                  <c:v>1.71</c:v>
                </c:pt>
                <c:pt idx="169">
                  <c:v>1.72</c:v>
                </c:pt>
                <c:pt idx="170">
                  <c:v>1.73</c:v>
                </c:pt>
                <c:pt idx="171">
                  <c:v>1.74</c:v>
                </c:pt>
                <c:pt idx="172">
                  <c:v>1.75</c:v>
                </c:pt>
                <c:pt idx="173">
                  <c:v>1.76</c:v>
                </c:pt>
                <c:pt idx="174">
                  <c:v>1.77</c:v>
                </c:pt>
                <c:pt idx="175">
                  <c:v>1.78</c:v>
                </c:pt>
                <c:pt idx="176">
                  <c:v>1.79</c:v>
                </c:pt>
                <c:pt idx="177">
                  <c:v>1.8</c:v>
                </c:pt>
                <c:pt idx="178">
                  <c:v>1.81</c:v>
                </c:pt>
                <c:pt idx="179">
                  <c:v>1.82</c:v>
                </c:pt>
                <c:pt idx="180">
                  <c:v>1.83</c:v>
                </c:pt>
                <c:pt idx="181">
                  <c:v>1.84</c:v>
                </c:pt>
                <c:pt idx="182">
                  <c:v>1.85</c:v>
                </c:pt>
                <c:pt idx="183">
                  <c:v>1.86</c:v>
                </c:pt>
                <c:pt idx="184">
                  <c:v>1.87</c:v>
                </c:pt>
                <c:pt idx="185">
                  <c:v>1.88</c:v>
                </c:pt>
                <c:pt idx="186">
                  <c:v>1.89</c:v>
                </c:pt>
                <c:pt idx="187">
                  <c:v>1.9</c:v>
                </c:pt>
                <c:pt idx="188">
                  <c:v>1.91</c:v>
                </c:pt>
                <c:pt idx="189">
                  <c:v>1.92</c:v>
                </c:pt>
                <c:pt idx="190">
                  <c:v>1.93</c:v>
                </c:pt>
                <c:pt idx="191">
                  <c:v>1.94</c:v>
                </c:pt>
                <c:pt idx="192">
                  <c:v>1.95</c:v>
                </c:pt>
                <c:pt idx="193">
                  <c:v>1.96</c:v>
                </c:pt>
                <c:pt idx="194">
                  <c:v>1.97</c:v>
                </c:pt>
                <c:pt idx="195">
                  <c:v>1.98</c:v>
                </c:pt>
                <c:pt idx="196">
                  <c:v>1.99</c:v>
                </c:pt>
                <c:pt idx="197">
                  <c:v>2</c:v>
                </c:pt>
                <c:pt idx="198">
                  <c:v>2.0099999999999998</c:v>
                </c:pt>
                <c:pt idx="199">
                  <c:v>2.02</c:v>
                </c:pt>
                <c:pt idx="200">
                  <c:v>2.0299999999999998</c:v>
                </c:pt>
                <c:pt idx="201">
                  <c:v>2.04</c:v>
                </c:pt>
                <c:pt idx="202">
                  <c:v>2.0499999999999998</c:v>
                </c:pt>
                <c:pt idx="203">
                  <c:v>2.06</c:v>
                </c:pt>
                <c:pt idx="204">
                  <c:v>2.0699999999999998</c:v>
                </c:pt>
                <c:pt idx="205">
                  <c:v>2.08</c:v>
                </c:pt>
                <c:pt idx="206">
                  <c:v>2.09</c:v>
                </c:pt>
                <c:pt idx="207">
                  <c:v>2.1</c:v>
                </c:pt>
                <c:pt idx="208">
                  <c:v>2.11</c:v>
                </c:pt>
                <c:pt idx="209">
                  <c:v>2.12</c:v>
                </c:pt>
                <c:pt idx="210">
                  <c:v>2.13</c:v>
                </c:pt>
                <c:pt idx="211">
                  <c:v>2.14</c:v>
                </c:pt>
                <c:pt idx="212">
                  <c:v>2.15</c:v>
                </c:pt>
                <c:pt idx="213">
                  <c:v>2.16</c:v>
                </c:pt>
                <c:pt idx="214">
                  <c:v>2.17</c:v>
                </c:pt>
                <c:pt idx="215">
                  <c:v>2.1800000000000002</c:v>
                </c:pt>
                <c:pt idx="216">
                  <c:v>2.19</c:v>
                </c:pt>
                <c:pt idx="217">
                  <c:v>2.2000000000000002</c:v>
                </c:pt>
                <c:pt idx="218">
                  <c:v>2.21</c:v>
                </c:pt>
                <c:pt idx="219">
                  <c:v>2.2200000000000002</c:v>
                </c:pt>
                <c:pt idx="220">
                  <c:v>2.23</c:v>
                </c:pt>
                <c:pt idx="221">
                  <c:v>2.2400000000000002</c:v>
                </c:pt>
                <c:pt idx="222">
                  <c:v>2.25</c:v>
                </c:pt>
                <c:pt idx="223">
                  <c:v>2.2599999999999998</c:v>
                </c:pt>
                <c:pt idx="224">
                  <c:v>2.27</c:v>
                </c:pt>
                <c:pt idx="225">
                  <c:v>2.2799999999999998</c:v>
                </c:pt>
                <c:pt idx="226">
                  <c:v>2.29</c:v>
                </c:pt>
                <c:pt idx="227">
                  <c:v>2.2999999999999998</c:v>
                </c:pt>
                <c:pt idx="228">
                  <c:v>2.31</c:v>
                </c:pt>
                <c:pt idx="229">
                  <c:v>2.3199999999999998</c:v>
                </c:pt>
                <c:pt idx="230">
                  <c:v>2.33</c:v>
                </c:pt>
                <c:pt idx="231">
                  <c:v>2.34</c:v>
                </c:pt>
                <c:pt idx="232">
                  <c:v>2.35</c:v>
                </c:pt>
                <c:pt idx="233">
                  <c:v>2.36</c:v>
                </c:pt>
                <c:pt idx="234">
                  <c:v>2.37</c:v>
                </c:pt>
                <c:pt idx="235">
                  <c:v>2.38</c:v>
                </c:pt>
                <c:pt idx="236">
                  <c:v>2.39</c:v>
                </c:pt>
                <c:pt idx="237">
                  <c:v>2.4</c:v>
                </c:pt>
                <c:pt idx="238">
                  <c:v>2.41</c:v>
                </c:pt>
                <c:pt idx="239">
                  <c:v>2.42</c:v>
                </c:pt>
                <c:pt idx="240">
                  <c:v>2.4300000000000002</c:v>
                </c:pt>
                <c:pt idx="241">
                  <c:v>2.44</c:v>
                </c:pt>
                <c:pt idx="242">
                  <c:v>2.4500000000000002</c:v>
                </c:pt>
                <c:pt idx="243">
                  <c:v>2.46</c:v>
                </c:pt>
                <c:pt idx="244">
                  <c:v>2.4700000000000002</c:v>
                </c:pt>
                <c:pt idx="245">
                  <c:v>2.48</c:v>
                </c:pt>
                <c:pt idx="246">
                  <c:v>2.4900000000000002</c:v>
                </c:pt>
                <c:pt idx="247">
                  <c:v>2.5</c:v>
                </c:pt>
                <c:pt idx="248">
                  <c:v>2.5099999999999998</c:v>
                </c:pt>
                <c:pt idx="249">
                  <c:v>2.52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2.5499999999999998</c:v>
                </c:pt>
                <c:pt idx="253">
                  <c:v>2.56</c:v>
                </c:pt>
                <c:pt idx="254">
                  <c:v>2.57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2.61</c:v>
                </c:pt>
                <c:pt idx="259">
                  <c:v>2.62</c:v>
                </c:pt>
                <c:pt idx="260">
                  <c:v>2.63</c:v>
                </c:pt>
                <c:pt idx="261">
                  <c:v>2.64</c:v>
                </c:pt>
                <c:pt idx="262">
                  <c:v>2.65</c:v>
                </c:pt>
                <c:pt idx="263">
                  <c:v>2.66</c:v>
                </c:pt>
                <c:pt idx="264">
                  <c:v>2.67</c:v>
                </c:pt>
                <c:pt idx="265">
                  <c:v>2.68</c:v>
                </c:pt>
                <c:pt idx="266">
                  <c:v>2.69</c:v>
                </c:pt>
                <c:pt idx="267">
                  <c:v>2.7</c:v>
                </c:pt>
                <c:pt idx="268">
                  <c:v>2.71</c:v>
                </c:pt>
                <c:pt idx="269">
                  <c:v>2.72</c:v>
                </c:pt>
                <c:pt idx="270">
                  <c:v>2.73</c:v>
                </c:pt>
                <c:pt idx="271">
                  <c:v>2.74</c:v>
                </c:pt>
                <c:pt idx="272">
                  <c:v>2.75</c:v>
                </c:pt>
                <c:pt idx="273">
                  <c:v>2.76</c:v>
                </c:pt>
                <c:pt idx="274">
                  <c:v>2.77</c:v>
                </c:pt>
                <c:pt idx="275">
                  <c:v>2.78</c:v>
                </c:pt>
                <c:pt idx="276">
                  <c:v>2.79</c:v>
                </c:pt>
                <c:pt idx="277">
                  <c:v>2.8</c:v>
                </c:pt>
                <c:pt idx="278">
                  <c:v>2.81</c:v>
                </c:pt>
                <c:pt idx="279">
                  <c:v>2.82</c:v>
                </c:pt>
                <c:pt idx="280">
                  <c:v>2.83</c:v>
                </c:pt>
                <c:pt idx="281">
                  <c:v>2.84</c:v>
                </c:pt>
                <c:pt idx="282">
                  <c:v>2.85</c:v>
                </c:pt>
                <c:pt idx="283">
                  <c:v>2.86</c:v>
                </c:pt>
                <c:pt idx="284">
                  <c:v>2.87</c:v>
                </c:pt>
                <c:pt idx="285">
                  <c:v>2.88</c:v>
                </c:pt>
                <c:pt idx="286">
                  <c:v>2.89</c:v>
                </c:pt>
                <c:pt idx="287">
                  <c:v>2.9</c:v>
                </c:pt>
                <c:pt idx="288">
                  <c:v>2.91</c:v>
                </c:pt>
                <c:pt idx="289">
                  <c:v>2.92</c:v>
                </c:pt>
                <c:pt idx="290">
                  <c:v>2.93</c:v>
                </c:pt>
                <c:pt idx="291">
                  <c:v>2.94</c:v>
                </c:pt>
                <c:pt idx="292">
                  <c:v>2.95</c:v>
                </c:pt>
                <c:pt idx="293">
                  <c:v>2.96</c:v>
                </c:pt>
                <c:pt idx="294">
                  <c:v>2.97</c:v>
                </c:pt>
                <c:pt idx="295">
                  <c:v>2.98</c:v>
                </c:pt>
                <c:pt idx="296">
                  <c:v>2.99</c:v>
                </c:pt>
                <c:pt idx="297">
                  <c:v>3</c:v>
                </c:pt>
                <c:pt idx="298">
                  <c:v>3.01</c:v>
                </c:pt>
                <c:pt idx="299">
                  <c:v>3.02</c:v>
                </c:pt>
                <c:pt idx="300">
                  <c:v>3.03</c:v>
                </c:pt>
                <c:pt idx="301">
                  <c:v>3.04</c:v>
                </c:pt>
                <c:pt idx="302">
                  <c:v>3.05</c:v>
                </c:pt>
                <c:pt idx="303">
                  <c:v>3.06</c:v>
                </c:pt>
                <c:pt idx="304">
                  <c:v>3.07</c:v>
                </c:pt>
                <c:pt idx="305">
                  <c:v>3.08</c:v>
                </c:pt>
                <c:pt idx="306">
                  <c:v>3.09</c:v>
                </c:pt>
                <c:pt idx="307">
                  <c:v>3.1</c:v>
                </c:pt>
                <c:pt idx="308">
                  <c:v>3.11</c:v>
                </c:pt>
                <c:pt idx="309">
                  <c:v>3.12</c:v>
                </c:pt>
                <c:pt idx="310">
                  <c:v>3.13</c:v>
                </c:pt>
                <c:pt idx="311">
                  <c:v>3.14</c:v>
                </c:pt>
                <c:pt idx="312">
                  <c:v>3.15</c:v>
                </c:pt>
                <c:pt idx="313">
                  <c:v>3.16</c:v>
                </c:pt>
                <c:pt idx="314">
                  <c:v>3.17</c:v>
                </c:pt>
                <c:pt idx="315">
                  <c:v>3.18</c:v>
                </c:pt>
                <c:pt idx="316">
                  <c:v>3.19</c:v>
                </c:pt>
                <c:pt idx="317">
                  <c:v>3.2</c:v>
                </c:pt>
                <c:pt idx="318">
                  <c:v>3.21</c:v>
                </c:pt>
                <c:pt idx="319">
                  <c:v>3.22</c:v>
                </c:pt>
                <c:pt idx="320">
                  <c:v>3.23</c:v>
                </c:pt>
                <c:pt idx="321">
                  <c:v>3.24</c:v>
                </c:pt>
                <c:pt idx="322">
                  <c:v>3.25</c:v>
                </c:pt>
                <c:pt idx="323">
                  <c:v>3.26</c:v>
                </c:pt>
                <c:pt idx="324">
                  <c:v>3.27</c:v>
                </c:pt>
                <c:pt idx="325">
                  <c:v>3.28</c:v>
                </c:pt>
                <c:pt idx="326">
                  <c:v>3.29</c:v>
                </c:pt>
                <c:pt idx="327">
                  <c:v>3.3</c:v>
                </c:pt>
                <c:pt idx="328">
                  <c:v>3.31</c:v>
                </c:pt>
                <c:pt idx="329">
                  <c:v>3.32</c:v>
                </c:pt>
                <c:pt idx="330">
                  <c:v>3.33</c:v>
                </c:pt>
                <c:pt idx="331">
                  <c:v>3.34</c:v>
                </c:pt>
                <c:pt idx="332">
                  <c:v>3.35</c:v>
                </c:pt>
                <c:pt idx="333">
                  <c:v>3.36</c:v>
                </c:pt>
                <c:pt idx="334">
                  <c:v>3.37</c:v>
                </c:pt>
                <c:pt idx="335">
                  <c:v>3.38</c:v>
                </c:pt>
                <c:pt idx="336">
                  <c:v>3.39</c:v>
                </c:pt>
                <c:pt idx="337">
                  <c:v>3.4</c:v>
                </c:pt>
                <c:pt idx="338">
                  <c:v>3.41</c:v>
                </c:pt>
                <c:pt idx="339">
                  <c:v>3.42</c:v>
                </c:pt>
                <c:pt idx="340">
                  <c:v>3.43</c:v>
                </c:pt>
                <c:pt idx="341">
                  <c:v>3.44</c:v>
                </c:pt>
                <c:pt idx="342">
                  <c:v>3.45</c:v>
                </c:pt>
                <c:pt idx="343">
                  <c:v>3.46</c:v>
                </c:pt>
                <c:pt idx="344">
                  <c:v>3.47</c:v>
                </c:pt>
                <c:pt idx="345">
                  <c:v>3.48</c:v>
                </c:pt>
                <c:pt idx="346">
                  <c:v>3.49</c:v>
                </c:pt>
                <c:pt idx="347">
                  <c:v>3.5</c:v>
                </c:pt>
                <c:pt idx="348">
                  <c:v>3.51</c:v>
                </c:pt>
                <c:pt idx="349">
                  <c:v>3.52</c:v>
                </c:pt>
                <c:pt idx="350">
                  <c:v>3.53</c:v>
                </c:pt>
                <c:pt idx="351">
                  <c:v>3.54</c:v>
                </c:pt>
                <c:pt idx="352">
                  <c:v>3.55</c:v>
                </c:pt>
                <c:pt idx="353">
                  <c:v>3.56</c:v>
                </c:pt>
                <c:pt idx="354">
                  <c:v>3.57</c:v>
                </c:pt>
                <c:pt idx="355">
                  <c:v>3.58</c:v>
                </c:pt>
                <c:pt idx="356">
                  <c:v>3.59</c:v>
                </c:pt>
                <c:pt idx="357">
                  <c:v>3.6</c:v>
                </c:pt>
                <c:pt idx="358">
                  <c:v>3.61</c:v>
                </c:pt>
                <c:pt idx="359">
                  <c:v>3.62</c:v>
                </c:pt>
                <c:pt idx="360">
                  <c:v>3.63</c:v>
                </c:pt>
                <c:pt idx="361">
                  <c:v>3.64</c:v>
                </c:pt>
                <c:pt idx="362">
                  <c:v>3.65</c:v>
                </c:pt>
                <c:pt idx="363">
                  <c:v>3.66</c:v>
                </c:pt>
                <c:pt idx="364">
                  <c:v>3.67</c:v>
                </c:pt>
                <c:pt idx="365">
                  <c:v>3.68</c:v>
                </c:pt>
                <c:pt idx="366">
                  <c:v>3.69</c:v>
                </c:pt>
                <c:pt idx="367">
                  <c:v>3.7</c:v>
                </c:pt>
                <c:pt idx="368">
                  <c:v>3.71</c:v>
                </c:pt>
                <c:pt idx="369">
                  <c:v>3.72</c:v>
                </c:pt>
                <c:pt idx="370">
                  <c:v>3.73</c:v>
                </c:pt>
                <c:pt idx="371">
                  <c:v>3.74</c:v>
                </c:pt>
                <c:pt idx="372">
                  <c:v>3.75</c:v>
                </c:pt>
                <c:pt idx="373">
                  <c:v>3.76</c:v>
                </c:pt>
                <c:pt idx="374">
                  <c:v>3.77</c:v>
                </c:pt>
                <c:pt idx="375">
                  <c:v>3.78</c:v>
                </c:pt>
                <c:pt idx="376">
                  <c:v>3.79</c:v>
                </c:pt>
                <c:pt idx="377">
                  <c:v>3.8</c:v>
                </c:pt>
                <c:pt idx="378">
                  <c:v>3.81</c:v>
                </c:pt>
                <c:pt idx="379">
                  <c:v>3.82</c:v>
                </c:pt>
                <c:pt idx="380">
                  <c:v>3.83</c:v>
                </c:pt>
                <c:pt idx="381">
                  <c:v>3.84</c:v>
                </c:pt>
                <c:pt idx="382">
                  <c:v>3.85</c:v>
                </c:pt>
                <c:pt idx="383">
                  <c:v>3.86</c:v>
                </c:pt>
                <c:pt idx="384">
                  <c:v>3.87</c:v>
                </c:pt>
                <c:pt idx="385">
                  <c:v>3.88</c:v>
                </c:pt>
                <c:pt idx="386">
                  <c:v>3.89</c:v>
                </c:pt>
                <c:pt idx="387">
                  <c:v>3.9</c:v>
                </c:pt>
                <c:pt idx="388">
                  <c:v>3.91</c:v>
                </c:pt>
                <c:pt idx="389">
                  <c:v>3.92</c:v>
                </c:pt>
                <c:pt idx="390">
                  <c:v>3.93</c:v>
                </c:pt>
                <c:pt idx="391">
                  <c:v>3.94</c:v>
                </c:pt>
                <c:pt idx="392">
                  <c:v>3.95</c:v>
                </c:pt>
                <c:pt idx="393">
                  <c:v>3.96</c:v>
                </c:pt>
                <c:pt idx="394">
                  <c:v>3.97</c:v>
                </c:pt>
                <c:pt idx="395">
                  <c:v>3.98</c:v>
                </c:pt>
                <c:pt idx="396">
                  <c:v>3.99</c:v>
                </c:pt>
                <c:pt idx="397">
                  <c:v>4</c:v>
                </c:pt>
              </c:numCache>
            </c:numRef>
          </c:xVal>
          <c:yVal>
            <c:numRef>
              <c:f>ex7자동화!$AG$10:$AG$407</c:f>
              <c:numCache>
                <c:formatCode>General</c:formatCode>
                <c:ptCount val="398"/>
                <c:pt idx="0">
                  <c:v>2.3838729361808155E-306</c:v>
                </c:pt>
                <c:pt idx="1">
                  <c:v>2.3153123063474367E-281</c:v>
                </c:pt>
                <c:pt idx="2">
                  <c:v>5.574195994381656E-262</c:v>
                </c:pt>
                <c:pt idx="3">
                  <c:v>3.8193735542298666E-246</c:v>
                </c:pt>
                <c:pt idx="4">
                  <c:v>9.3519273480317247E-233</c:v>
                </c:pt>
                <c:pt idx="5">
                  <c:v>3.705370749769721E-221</c:v>
                </c:pt>
                <c:pt idx="6">
                  <c:v>6.2931357627753914E-211</c:v>
                </c:pt>
                <c:pt idx="7">
                  <c:v>8.9101628628319306E-202</c:v>
                </c:pt>
                <c:pt idx="8">
                  <c:v>1.6901773176759584E-193</c:v>
                </c:pt>
                <c:pt idx="9">
                  <c:v>6.0973745446162621E-186</c:v>
                </c:pt>
                <c:pt idx="10">
                  <c:v>5.4582199518506015E-179</c:v>
                </c:pt>
                <c:pt idx="11">
                  <c:v>1.4909487992108895E-172</c:v>
                </c:pt>
                <c:pt idx="12">
                  <c:v>1.4640980438264619E-166</c:v>
                </c:pt>
                <c:pt idx="13">
                  <c:v>5.8988176100693751E-161</c:v>
                </c:pt>
                <c:pt idx="14">
                  <c:v>1.0863998918158386E-155</c:v>
                </c:pt>
                <c:pt idx="15">
                  <c:v>1.0002992302912172E-150</c:v>
                </c:pt>
                <c:pt idx="16">
                  <c:v>4.9631636548590527E-146</c:v>
                </c:pt>
                <c:pt idx="17">
                  <c:v>1.4139451520535096E-141</c:v>
                </c:pt>
                <c:pt idx="18">
                  <c:v>2.4415882786144183E-137</c:v>
                </c:pt>
                <c:pt idx="19">
                  <c:v>2.6774058171725764E-133</c:v>
                </c:pt>
                <c:pt idx="20">
                  <c:v>1.9413048475891672E-129</c:v>
                </c:pt>
                <c:pt idx="21">
                  <c:v>9.6406592984005693E-126</c:v>
                </c:pt>
                <c:pt idx="22">
                  <c:v>3.3820087849489588E-122</c:v>
                </c:pt>
                <c:pt idx="23">
                  <c:v>8.6126995527240789E-119</c:v>
                </c:pt>
                <c:pt idx="24">
                  <c:v>1.6311754089282816E-115</c:v>
                </c:pt>
                <c:pt idx="25">
                  <c:v>2.3475396867804393E-112</c:v>
                </c:pt>
                <c:pt idx="26">
                  <c:v>2.6172490693087064E-109</c:v>
                </c:pt>
                <c:pt idx="27">
                  <c:v>2.2999287625445389E-106</c:v>
                </c:pt>
                <c:pt idx="28">
                  <c:v>1.6180744677956895E-103</c:v>
                </c:pt>
                <c:pt idx="29">
                  <c:v>9.2433447148100995E-101</c:v>
                </c:pt>
                <c:pt idx="30">
                  <c:v>4.3428189833666894E-98</c:v>
                </c:pt>
                <c:pt idx="31">
                  <c:v>1.6978251474841087E-95</c:v>
                </c:pt>
                <c:pt idx="32">
                  <c:v>5.5823713036930831E-93</c:v>
                </c:pt>
                <c:pt idx="33">
                  <c:v>1.5587759356912999E-90</c:v>
                </c:pt>
                <c:pt idx="34">
                  <c:v>3.7297031637546459E-88</c:v>
                </c:pt>
                <c:pt idx="35">
                  <c:v>7.7102007445002875E-86</c:v>
                </c:pt>
                <c:pt idx="36">
                  <c:v>1.3875682447875229E-83</c:v>
                </c:pt>
                <c:pt idx="37">
                  <c:v>2.1892032374716636E-81</c:v>
                </c:pt>
                <c:pt idx="38">
                  <c:v>3.0477604741952113E-79</c:v>
                </c:pt>
                <c:pt idx="39">
                  <c:v>3.7666430665537154E-77</c:v>
                </c:pt>
                <c:pt idx="40">
                  <c:v>4.1556403287389364E-75</c:v>
                </c:pt>
                <c:pt idx="41">
                  <c:v>4.1142847042457171E-73</c:v>
                </c:pt>
                <c:pt idx="42">
                  <c:v>3.6731093375352582E-71</c:v>
                </c:pt>
                <c:pt idx="43">
                  <c:v>2.970484593658922E-69</c:v>
                </c:pt>
                <c:pt idx="44">
                  <c:v>2.1853351417272328E-67</c:v>
                </c:pt>
                <c:pt idx="45">
                  <c:v>1.4683606020363966E-65</c:v>
                </c:pt>
                <c:pt idx="46">
                  <c:v>9.0446304374544998E-64</c:v>
                </c:pt>
                <c:pt idx="47">
                  <c:v>5.1252299868817361E-62</c:v>
                </c:pt>
                <c:pt idx="48">
                  <c:v>2.6805912167476E-60</c:v>
                </c:pt>
                <c:pt idx="49">
                  <c:v>1.2980429900492357E-58</c:v>
                </c:pt>
                <c:pt idx="50">
                  <c:v>5.8365739953618375E-57</c:v>
                </c:pt>
                <c:pt idx="51">
                  <c:v>2.443626903080968E-55</c:v>
                </c:pt>
                <c:pt idx="52">
                  <c:v>9.5510454441125103E-54</c:v>
                </c:pt>
                <c:pt idx="53">
                  <c:v>3.4936185333451224E-52</c:v>
                </c:pt>
                <c:pt idx="54">
                  <c:v>1.1987280988705902E-50</c:v>
                </c:pt>
                <c:pt idx="55">
                  <c:v>3.8667415845295813E-49</c:v>
                </c:pt>
                <c:pt idx="56">
                  <c:v>1.1750535048624589E-47</c:v>
                </c:pt>
                <c:pt idx="57">
                  <c:v>3.3707019091206503E-46</c:v>
                </c:pt>
                <c:pt idx="58">
                  <c:v>9.1443291414576116E-45</c:v>
                </c:pt>
                <c:pt idx="59">
                  <c:v>2.3503355874431495E-43</c:v>
                </c:pt>
                <c:pt idx="60">
                  <c:v>5.7331564822720272E-42</c:v>
                </c:pt>
                <c:pt idx="61">
                  <c:v>1.3293731586999437E-40</c:v>
                </c:pt>
                <c:pt idx="62">
                  <c:v>2.9346649549800476E-39</c:v>
                </c:pt>
                <c:pt idx="63">
                  <c:v>6.1768336356218228E-38</c:v>
                </c:pt>
                <c:pt idx="64">
                  <c:v>1.2412977149211686E-36</c:v>
                </c:pt>
                <c:pt idx="65">
                  <c:v>2.3848816825886566E-35</c:v>
                </c:pt>
                <c:pt idx="66">
                  <c:v>4.3862095303607872E-34</c:v>
                </c:pt>
                <c:pt idx="67">
                  <c:v>7.7315813549670278E-33</c:v>
                </c:pt>
                <c:pt idx="68">
                  <c:v>1.3076862070512947E-31</c:v>
                </c:pt>
                <c:pt idx="69">
                  <c:v>2.1245693302082147E-30</c:v>
                </c:pt>
                <c:pt idx="70">
                  <c:v>3.3191219859527319E-29</c:v>
                </c:pt>
                <c:pt idx="71">
                  <c:v>4.9910374485408898E-28</c:v>
                </c:pt>
                <c:pt idx="72">
                  <c:v>7.2307310840944288E-27</c:v>
                </c:pt>
                <c:pt idx="73">
                  <c:v>1.0101462181440609E-25</c:v>
                </c:pt>
                <c:pt idx="74">
                  <c:v>1.3619537295865367E-24</c:v>
                </c:pt>
                <c:pt idx="75">
                  <c:v>1.7736192461533056E-23</c:v>
                </c:pt>
                <c:pt idx="76">
                  <c:v>2.2325449462729977E-22</c:v>
                </c:pt>
                <c:pt idx="77">
                  <c:v>2.7181966496905569E-21</c:v>
                </c:pt>
                <c:pt idx="78">
                  <c:v>3.2031509763091933E-20</c:v>
                </c:pt>
                <c:pt idx="79">
                  <c:v>3.6554341657366098E-19</c:v>
                </c:pt>
                <c:pt idx="80">
                  <c:v>4.0419055855238755E-18</c:v>
                </c:pt>
                <c:pt idx="81">
                  <c:v>4.3321887702443815E-17</c:v>
                </c:pt>
                <c:pt idx="82">
                  <c:v>4.5024976792742013E-16</c:v>
                </c:pt>
                <c:pt idx="83">
                  <c:v>4.5386915354708491E-15</c:v>
                </c:pt>
                <c:pt idx="84">
                  <c:v>4.438026095888982E-14</c:v>
                </c:pt>
                <c:pt idx="85">
                  <c:v>4.2093199665056945E-13</c:v>
                </c:pt>
                <c:pt idx="86">
                  <c:v>3.8715588074963092E-12</c:v>
                </c:pt>
                <c:pt idx="87">
                  <c:v>3.4512442087596604E-11</c:v>
                </c:pt>
                <c:pt idx="88">
                  <c:v>2.9789942372710268E-10</c:v>
                </c:pt>
                <c:pt idx="89">
                  <c:v>2.4859824757341643E-9</c:v>
                </c:pt>
                <c:pt idx="90">
                  <c:v>2.0007586372338607E-8</c:v>
                </c:pt>
                <c:pt idx="91">
                  <c:v>1.5468538169620565E-7</c:v>
                </c:pt>
                <c:pt idx="92">
                  <c:v>1.1413863910393437E-6</c:v>
                </c:pt>
                <c:pt idx="93">
                  <c:v>7.9472128689123709E-6</c:v>
                </c:pt>
                <c:pt idx="94">
                  <c:v>5.1122288033656872E-5</c:v>
                </c:pt>
                <c:pt idx="95">
                  <c:v>2.9147779358192451E-4</c:v>
                </c:pt>
                <c:pt idx="96">
                  <c:v>1.3629407509792978E-3</c:v>
                </c:pt>
                <c:pt idx="97">
                  <c:v>4.6923986757190722E-3</c:v>
                </c:pt>
                <c:pt idx="98">
                  <c:v>1.1226029745492859E-2</c:v>
                </c:pt>
                <c:pt idx="99">
                  <c:v>1.987966067862074E-2</c:v>
                </c:pt>
                <c:pt idx="100">
                  <c:v>2.9171188354606515E-2</c:v>
                </c:pt>
                <c:pt idx="101">
                  <c:v>3.8468009032775564E-2</c:v>
                </c:pt>
                <c:pt idx="102">
                  <c:v>4.7619888030153483E-2</c:v>
                </c:pt>
                <c:pt idx="103">
                  <c:v>5.6603873562987753E-2</c:v>
                </c:pt>
                <c:pt idx="104">
                  <c:v>6.5420571639805594E-2</c:v>
                </c:pt>
                <c:pt idx="105">
                  <c:v>7.4074075144471133E-2</c:v>
                </c:pt>
                <c:pt idx="106">
                  <c:v>8.2568807430263055E-2</c:v>
                </c:pt>
                <c:pt idx="107">
                  <c:v>9.0909090914860005E-2</c:v>
                </c:pt>
                <c:pt idx="108">
                  <c:v>9.9099099099166518E-2</c:v>
                </c:pt>
                <c:pt idx="109">
                  <c:v>0.10714285714279635</c:v>
                </c:pt>
                <c:pt idx="110">
                  <c:v>0.11504424778759637</c:v>
                </c:pt>
                <c:pt idx="111">
                  <c:v>0.12280701754385727</c:v>
                </c:pt>
                <c:pt idx="112">
                  <c:v>0.13043478260869526</c:v>
                </c:pt>
                <c:pt idx="113">
                  <c:v>0.13793103448275842</c:v>
                </c:pt>
                <c:pt idx="114">
                  <c:v>0.14529914529914512</c:v>
                </c:pt>
                <c:pt idx="115">
                  <c:v>0.15254237288135586</c:v>
                </c:pt>
                <c:pt idx="116">
                  <c:v>0.15966386554621834</c:v>
                </c:pt>
                <c:pt idx="117">
                  <c:v>0.1666666666666666</c:v>
                </c:pt>
                <c:pt idx="118">
                  <c:v>0.17355371900826436</c:v>
                </c:pt>
                <c:pt idx="119">
                  <c:v>0.18032786885245894</c:v>
                </c:pt>
                <c:pt idx="120">
                  <c:v>0.18699186991869909</c:v>
                </c:pt>
                <c:pt idx="121">
                  <c:v>0.1935483870967741</c:v>
                </c:pt>
                <c:pt idx="122">
                  <c:v>0.19999999999999996</c:v>
                </c:pt>
                <c:pt idx="123">
                  <c:v>0.20634920634920628</c:v>
                </c:pt>
                <c:pt idx="124">
                  <c:v>0.21259842519685032</c:v>
                </c:pt>
                <c:pt idx="125">
                  <c:v>0.21874999999999997</c:v>
                </c:pt>
                <c:pt idx="126">
                  <c:v>0.2248062015503875</c:v>
                </c:pt>
                <c:pt idx="127">
                  <c:v>0.23076923076923073</c:v>
                </c:pt>
                <c:pt idx="128">
                  <c:v>0.23664122137404572</c:v>
                </c:pt>
                <c:pt idx="129">
                  <c:v>0.24242424242424238</c:v>
                </c:pt>
                <c:pt idx="130">
                  <c:v>0.24812030075187969</c:v>
                </c:pt>
                <c:pt idx="131">
                  <c:v>0.2537313432835821</c:v>
                </c:pt>
                <c:pt idx="132">
                  <c:v>0.25925925925925924</c:v>
                </c:pt>
                <c:pt idx="133">
                  <c:v>0.26470588235294112</c:v>
                </c:pt>
                <c:pt idx="134">
                  <c:v>0.27007299270072987</c:v>
                </c:pt>
                <c:pt idx="135">
                  <c:v>0.27536231884057955</c:v>
                </c:pt>
                <c:pt idx="136">
                  <c:v>0.28057553956834524</c:v>
                </c:pt>
                <c:pt idx="137">
                  <c:v>0.28571428571428564</c:v>
                </c:pt>
                <c:pt idx="138">
                  <c:v>0.29078014184397161</c:v>
                </c:pt>
                <c:pt idx="139">
                  <c:v>0.29577464788732388</c:v>
                </c:pt>
                <c:pt idx="140">
                  <c:v>0.30069930069930056</c:v>
                </c:pt>
                <c:pt idx="141">
                  <c:v>0.30555555555555547</c:v>
                </c:pt>
                <c:pt idx="142">
                  <c:v>0.3103448275862068</c:v>
                </c:pt>
                <c:pt idx="143">
                  <c:v>0.3150684931506848</c:v>
                </c:pt>
                <c:pt idx="144">
                  <c:v>0.31972789115646255</c:v>
                </c:pt>
                <c:pt idx="145">
                  <c:v>0.32432432432432429</c:v>
                </c:pt>
                <c:pt idx="146">
                  <c:v>0.32885906040268453</c:v>
                </c:pt>
                <c:pt idx="147">
                  <c:v>0.33333333333333337</c:v>
                </c:pt>
                <c:pt idx="148">
                  <c:v>0.33774834437086088</c:v>
                </c:pt>
                <c:pt idx="149">
                  <c:v>0.34210526315789469</c:v>
                </c:pt>
                <c:pt idx="150">
                  <c:v>0.34640522875816993</c:v>
                </c:pt>
                <c:pt idx="151">
                  <c:v>0.35064935064935066</c:v>
                </c:pt>
                <c:pt idx="152">
                  <c:v>0.35483870967741937</c:v>
                </c:pt>
                <c:pt idx="153">
                  <c:v>0.35897435897435898</c:v>
                </c:pt>
                <c:pt idx="154">
                  <c:v>0.36305732484076436</c:v>
                </c:pt>
                <c:pt idx="155">
                  <c:v>0.36708860759493678</c:v>
                </c:pt>
                <c:pt idx="156">
                  <c:v>0.37106918238993714</c:v>
                </c:pt>
                <c:pt idx="157">
                  <c:v>0.37500000000000006</c:v>
                </c:pt>
                <c:pt idx="158">
                  <c:v>0.3788819875776398</c:v>
                </c:pt>
                <c:pt idx="159">
                  <c:v>0.38271604938271608</c:v>
                </c:pt>
                <c:pt idx="160">
                  <c:v>0.38650306748466251</c:v>
                </c:pt>
                <c:pt idx="161">
                  <c:v>0.39024390243902424</c:v>
                </c:pt>
                <c:pt idx="162">
                  <c:v>0.39393939393939392</c:v>
                </c:pt>
                <c:pt idx="163">
                  <c:v>0.39759036144578302</c:v>
                </c:pt>
                <c:pt idx="164">
                  <c:v>0.40119760479041916</c:v>
                </c:pt>
                <c:pt idx="165">
                  <c:v>0.40476190476190471</c:v>
                </c:pt>
                <c:pt idx="166">
                  <c:v>0.40828402366863903</c:v>
                </c:pt>
                <c:pt idx="167">
                  <c:v>0.41176470588235292</c:v>
                </c:pt>
                <c:pt idx="168">
                  <c:v>0.41520467836257308</c:v>
                </c:pt>
                <c:pt idx="169">
                  <c:v>0.41860465116279061</c:v>
                </c:pt>
                <c:pt idx="170">
                  <c:v>0.4219653179190751</c:v>
                </c:pt>
                <c:pt idx="171">
                  <c:v>0.42528735632183906</c:v>
                </c:pt>
                <c:pt idx="172">
                  <c:v>0.42857142857142855</c:v>
                </c:pt>
                <c:pt idx="173">
                  <c:v>0.43181818181818177</c:v>
                </c:pt>
                <c:pt idx="174">
                  <c:v>0.43502824858757061</c:v>
                </c:pt>
                <c:pt idx="175">
                  <c:v>0.4382022471910112</c:v>
                </c:pt>
                <c:pt idx="176">
                  <c:v>0.44134078212290501</c:v>
                </c:pt>
                <c:pt idx="177">
                  <c:v>0.44444444444444448</c:v>
                </c:pt>
                <c:pt idx="178">
                  <c:v>0.4475138121546961</c:v>
                </c:pt>
                <c:pt idx="179">
                  <c:v>0.45054945054945061</c:v>
                </c:pt>
                <c:pt idx="180">
                  <c:v>0.45355191256830601</c:v>
                </c:pt>
                <c:pt idx="181">
                  <c:v>0.45652173913043476</c:v>
                </c:pt>
                <c:pt idx="182">
                  <c:v>0.45945945945945954</c:v>
                </c:pt>
                <c:pt idx="183">
                  <c:v>0.46236559139784944</c:v>
                </c:pt>
                <c:pt idx="184">
                  <c:v>0.46524064171122992</c:v>
                </c:pt>
                <c:pt idx="185">
                  <c:v>0.46808510638297868</c:v>
                </c:pt>
                <c:pt idx="186">
                  <c:v>0.47089947089947087</c:v>
                </c:pt>
                <c:pt idx="187">
                  <c:v>0.47368421052631576</c:v>
                </c:pt>
                <c:pt idx="188">
                  <c:v>0.47643979057591623</c:v>
                </c:pt>
                <c:pt idx="189">
                  <c:v>0.47916666666666669</c:v>
                </c:pt>
                <c:pt idx="190">
                  <c:v>0.48186528497409331</c:v>
                </c:pt>
                <c:pt idx="191">
                  <c:v>0.48453608247422675</c:v>
                </c:pt>
                <c:pt idx="192">
                  <c:v>0.48717948717948711</c:v>
                </c:pt>
                <c:pt idx="193">
                  <c:v>0.48979591836734693</c:v>
                </c:pt>
                <c:pt idx="194">
                  <c:v>0.49238578680203049</c:v>
                </c:pt>
                <c:pt idx="195">
                  <c:v>0.49494949494949492</c:v>
                </c:pt>
                <c:pt idx="196">
                  <c:v>0.49748743718592964</c:v>
                </c:pt>
                <c:pt idx="197">
                  <c:v>0.5</c:v>
                </c:pt>
                <c:pt idx="198">
                  <c:v>0.50248756218905466</c:v>
                </c:pt>
                <c:pt idx="199">
                  <c:v>0.50495049504950495</c:v>
                </c:pt>
                <c:pt idx="200">
                  <c:v>0.50738916256157629</c:v>
                </c:pt>
                <c:pt idx="201">
                  <c:v>0.50980392156862753</c:v>
                </c:pt>
                <c:pt idx="202">
                  <c:v>0.51219512195121941</c:v>
                </c:pt>
                <c:pt idx="203">
                  <c:v>0.5145631067961165</c:v>
                </c:pt>
                <c:pt idx="204">
                  <c:v>0.51690821256038644</c:v>
                </c:pt>
                <c:pt idx="205">
                  <c:v>0.51923076923076927</c:v>
                </c:pt>
                <c:pt idx="206">
                  <c:v>0.52153110047846885</c:v>
                </c:pt>
                <c:pt idx="207">
                  <c:v>0.52380952380952384</c:v>
                </c:pt>
                <c:pt idx="208">
                  <c:v>0.52606635071090047</c:v>
                </c:pt>
                <c:pt idx="209">
                  <c:v>0.52830188679245282</c:v>
                </c:pt>
                <c:pt idx="210">
                  <c:v>0.53051643192488263</c:v>
                </c:pt>
                <c:pt idx="211">
                  <c:v>0.53271028037383183</c:v>
                </c:pt>
                <c:pt idx="212">
                  <c:v>0.53488372093023262</c:v>
                </c:pt>
                <c:pt idx="213">
                  <c:v>0.53703703703703709</c:v>
                </c:pt>
                <c:pt idx="214">
                  <c:v>0.53917050691244239</c:v>
                </c:pt>
                <c:pt idx="215">
                  <c:v>0.54128440366972486</c:v>
                </c:pt>
                <c:pt idx="216">
                  <c:v>0.54337899543378998</c:v>
                </c:pt>
                <c:pt idx="217">
                  <c:v>0.54545454545454553</c:v>
                </c:pt>
                <c:pt idx="218">
                  <c:v>0.54751131221719451</c:v>
                </c:pt>
                <c:pt idx="219">
                  <c:v>0.5495495495495496</c:v>
                </c:pt>
                <c:pt idx="220">
                  <c:v>0.55156950672645744</c:v>
                </c:pt>
                <c:pt idx="221">
                  <c:v>0.5535714285714286</c:v>
                </c:pt>
                <c:pt idx="222">
                  <c:v>0.55555555555555558</c:v>
                </c:pt>
                <c:pt idx="223">
                  <c:v>0.55752212389380529</c:v>
                </c:pt>
                <c:pt idx="224">
                  <c:v>0.55947136563876654</c:v>
                </c:pt>
                <c:pt idx="225">
                  <c:v>0.56140350877192979</c:v>
                </c:pt>
                <c:pt idx="226">
                  <c:v>0.5633187772925764</c:v>
                </c:pt>
                <c:pt idx="227">
                  <c:v>0.56521739130434778</c:v>
                </c:pt>
                <c:pt idx="228">
                  <c:v>0.5670995670995671</c:v>
                </c:pt>
                <c:pt idx="229">
                  <c:v>0.56896551724137934</c:v>
                </c:pt>
                <c:pt idx="230">
                  <c:v>0.57081545064377692</c:v>
                </c:pt>
                <c:pt idx="231">
                  <c:v>0.57264957264957261</c:v>
                </c:pt>
                <c:pt idx="232">
                  <c:v>0.57446808510638292</c:v>
                </c:pt>
                <c:pt idx="233">
                  <c:v>0.57627118644067798</c:v>
                </c:pt>
                <c:pt idx="234">
                  <c:v>0.57805907172995785</c:v>
                </c:pt>
                <c:pt idx="235">
                  <c:v>0.57983193277310929</c:v>
                </c:pt>
                <c:pt idx="236">
                  <c:v>0.58158995815899583</c:v>
                </c:pt>
                <c:pt idx="237">
                  <c:v>0.58333333333333326</c:v>
                </c:pt>
                <c:pt idx="238">
                  <c:v>0.58506224066390045</c:v>
                </c:pt>
                <c:pt idx="239">
                  <c:v>0.58677685950413216</c:v>
                </c:pt>
                <c:pt idx="240">
                  <c:v>0.58847736625514402</c:v>
                </c:pt>
                <c:pt idx="241">
                  <c:v>0.59016393442622939</c:v>
                </c:pt>
                <c:pt idx="242">
                  <c:v>0.59183673469387754</c:v>
                </c:pt>
                <c:pt idx="243">
                  <c:v>0.5934959349593496</c:v>
                </c:pt>
                <c:pt idx="244">
                  <c:v>0.59514170040485825</c:v>
                </c:pt>
                <c:pt idx="245">
                  <c:v>0.59677419354838712</c:v>
                </c:pt>
                <c:pt idx="246">
                  <c:v>0.59839357429718876</c:v>
                </c:pt>
                <c:pt idx="247">
                  <c:v>0.60000000000000009</c:v>
                </c:pt>
                <c:pt idx="248">
                  <c:v>0.60159362549800788</c:v>
                </c:pt>
                <c:pt idx="249">
                  <c:v>0.60317460317460314</c:v>
                </c:pt>
                <c:pt idx="250">
                  <c:v>0.60474308300395252</c:v>
                </c:pt>
                <c:pt idx="251">
                  <c:v>0.60629921259842512</c:v>
                </c:pt>
                <c:pt idx="252">
                  <c:v>0.60784313725490191</c:v>
                </c:pt>
                <c:pt idx="253">
                  <c:v>0.60937499999999989</c:v>
                </c:pt>
                <c:pt idx="254">
                  <c:v>0.61089494163424118</c:v>
                </c:pt>
                <c:pt idx="255">
                  <c:v>0.61240310077519378</c:v>
                </c:pt>
                <c:pt idx="256">
                  <c:v>0.61389961389961389</c:v>
                </c:pt>
                <c:pt idx="257">
                  <c:v>0.61538461538461542</c:v>
                </c:pt>
                <c:pt idx="258">
                  <c:v>0.6168582375478926</c:v>
                </c:pt>
                <c:pt idx="259">
                  <c:v>0.61832061068702282</c:v>
                </c:pt>
                <c:pt idx="260">
                  <c:v>0.61977186311787058</c:v>
                </c:pt>
                <c:pt idx="261">
                  <c:v>0.6212121212121211</c:v>
                </c:pt>
                <c:pt idx="262">
                  <c:v>0.62264150943396213</c:v>
                </c:pt>
                <c:pt idx="263">
                  <c:v>0.62406015037593976</c:v>
                </c:pt>
                <c:pt idx="264">
                  <c:v>0.62546816479400735</c:v>
                </c:pt>
                <c:pt idx="265">
                  <c:v>0.62686567164179097</c:v>
                </c:pt>
                <c:pt idx="266">
                  <c:v>0.62825278810408913</c:v>
                </c:pt>
                <c:pt idx="267">
                  <c:v>0.62962962962962954</c:v>
                </c:pt>
                <c:pt idx="268">
                  <c:v>0.63099630996309952</c:v>
                </c:pt>
                <c:pt idx="269">
                  <c:v>0.63235294117647034</c:v>
                </c:pt>
                <c:pt idx="270">
                  <c:v>0.63369963369963367</c:v>
                </c:pt>
                <c:pt idx="271">
                  <c:v>0.63503649635036497</c:v>
                </c:pt>
                <c:pt idx="272">
                  <c:v>0.63636363636363624</c:v>
                </c:pt>
                <c:pt idx="273">
                  <c:v>0.6376811594202898</c:v>
                </c:pt>
                <c:pt idx="274">
                  <c:v>0.63898916967509023</c:v>
                </c:pt>
                <c:pt idx="275">
                  <c:v>0.64028776978417268</c:v>
                </c:pt>
                <c:pt idx="276">
                  <c:v>0.64157706093189937</c:v>
                </c:pt>
                <c:pt idx="277">
                  <c:v>0.64285714285714279</c:v>
                </c:pt>
                <c:pt idx="278">
                  <c:v>0.64412811387900348</c:v>
                </c:pt>
                <c:pt idx="279">
                  <c:v>0.64539007092198564</c:v>
                </c:pt>
                <c:pt idx="280">
                  <c:v>0.64664310954063597</c:v>
                </c:pt>
                <c:pt idx="281">
                  <c:v>0.64788732394366166</c:v>
                </c:pt>
                <c:pt idx="282">
                  <c:v>0.64912280701754321</c:v>
                </c:pt>
                <c:pt idx="283">
                  <c:v>0.65034965034964343</c:v>
                </c:pt>
                <c:pt idx="284">
                  <c:v>0.65156794425080355</c:v>
                </c:pt>
                <c:pt idx="285">
                  <c:v>0.65277777777713863</c:v>
                </c:pt>
                <c:pt idx="286">
                  <c:v>0.65397923874845199</c:v>
                </c:pt>
                <c:pt idx="287">
                  <c:v>0.65517241374060198</c:v>
                </c:pt>
                <c:pt idx="288">
                  <c:v>0.65635738785958231</c:v>
                </c:pt>
                <c:pt idx="289">
                  <c:v>0.6575342427133416</c:v>
                </c:pt>
                <c:pt idx="290">
                  <c:v>0.65870303991395873</c:v>
                </c:pt>
                <c:pt idx="291">
                  <c:v>0.65986369197522765</c:v>
                </c:pt>
                <c:pt idx="292">
                  <c:v>0.66101498694743255</c:v>
                </c:pt>
                <c:pt idx="293">
                  <c:v>0.66214751490880397</c:v>
                </c:pt>
                <c:pt idx="294">
                  <c:v>0.66319512795072844</c:v>
                </c:pt>
                <c:pt idx="295">
                  <c:v>0.6637316540375735</c:v>
                </c:pt>
                <c:pt idx="296">
                  <c:v>0.66147842486612529</c:v>
                </c:pt>
                <c:pt idx="297">
                  <c:v>0.65016687544583673</c:v>
                </c:pt>
                <c:pt idx="298">
                  <c:v>0.63261752845010977</c:v>
                </c:pt>
                <c:pt idx="299">
                  <c:v>0.61861467910062495</c:v>
                </c:pt>
                <c:pt idx="300">
                  <c:v>0.6076391300402717</c:v>
                </c:pt>
                <c:pt idx="301">
                  <c:v>0.59835608161737541</c:v>
                </c:pt>
                <c:pt idx="302">
                  <c:v>0.59016393443115733</c:v>
                </c:pt>
                <c:pt idx="303">
                  <c:v>0.58275187791343397</c:v>
                </c:pt>
                <c:pt idx="304">
                  <c:v>0.57593481338708474</c:v>
                </c:pt>
                <c:pt idx="305">
                  <c:v>0.56959183859035289</c:v>
                </c:pt>
                <c:pt idx="306">
                  <c:v>0.5636387617338674</c:v>
                </c:pt>
                <c:pt idx="307">
                  <c:v>0.55801412520269611</c:v>
                </c:pt>
                <c:pt idx="308">
                  <c:v>0.55267141174267387</c:v>
                </c:pt>
                <c:pt idx="309">
                  <c:v>0.54757438569713501</c:v>
                </c:pt>
                <c:pt idx="310">
                  <c:v>0.54269415270464949</c:v>
                </c:pt>
                <c:pt idx="311">
                  <c:v>0.5380072209511193</c:v>
                </c:pt>
                <c:pt idx="312">
                  <c:v>0.53349417588841663</c:v>
                </c:pt>
                <c:pt idx="313">
                  <c:v>0.52913874649132209</c:v>
                </c:pt>
                <c:pt idx="314">
                  <c:v>0.524927130222134</c:v>
                </c:pt>
                <c:pt idx="315">
                  <c:v>0.52084749407420483</c:v>
                </c:pt>
                <c:pt idx="316">
                  <c:v>0.51688959856617955</c:v>
                </c:pt>
                <c:pt idx="317">
                  <c:v>0.51304450953262981</c:v>
                </c:pt>
                <c:pt idx="318">
                  <c:v>0.50930437385773819</c:v>
                </c:pt>
                <c:pt idx="319">
                  <c:v>0.50566224260315629</c:v>
                </c:pt>
                <c:pt idx="320">
                  <c:v>0.50211192981944031</c:v>
                </c:pt>
                <c:pt idx="321">
                  <c:v>0.49864789860594461</c:v>
                </c:pt>
                <c:pt idx="322">
                  <c:v>0.49526516824547462</c:v>
                </c:pt>
                <c:pt idx="323">
                  <c:v>0.49195923782916745</c:v>
                </c:pt>
                <c:pt idx="324">
                  <c:v>0.48872602292195766</c:v>
                </c:pt>
                <c:pt idx="325">
                  <c:v>0.48556180264141452</c:v>
                </c:pt>
                <c:pt idx="326">
                  <c:v>0.48246317512678061</c:v>
                </c:pt>
                <c:pt idx="327">
                  <c:v>0.4794270198242338</c:v>
                </c:pt>
                <c:pt idx="328">
                  <c:v>0.47645046535221819</c:v>
                </c:pt>
                <c:pt idx="329">
                  <c:v>0.47353086196748106</c:v>
                </c:pt>
                <c:pt idx="330">
                  <c:v>0.47066575784956027</c:v>
                </c:pt>
                <c:pt idx="331">
                  <c:v>0.83154831903066118</c:v>
                </c:pt>
                <c:pt idx="332">
                  <c:v>0.83341735342168777</c:v>
                </c:pt>
                <c:pt idx="333">
                  <c:v>0.83524356861149762</c:v>
                </c:pt>
                <c:pt idx="334">
                  <c:v>0.83702875786031761</c:v>
                </c:pt>
                <c:pt idx="335">
                  <c:v>0.83877459672035659</c:v>
                </c:pt>
                <c:pt idx="336">
                  <c:v>0.84048265365202257</c:v>
                </c:pt>
                <c:pt idx="337">
                  <c:v>0.84215439943264769</c:v>
                </c:pt>
                <c:pt idx="338">
                  <c:v>0.84379121550811864</c:v>
                </c:pt>
                <c:pt idx="339">
                  <c:v>0.84539439872383026</c:v>
                </c:pt>
                <c:pt idx="340">
                  <c:v>0.84696510839180894</c:v>
                </c:pt>
                <c:pt idx="341">
                  <c:v>0.84856481071404444</c:v>
                </c:pt>
                <c:pt idx="342">
                  <c:v>0.85370892897489381</c:v>
                </c:pt>
                <c:pt idx="343">
                  <c:v>0.86134229370875759</c:v>
                </c:pt>
                <c:pt idx="344">
                  <c:v>0.8659051178633913</c:v>
                </c:pt>
                <c:pt idx="345">
                  <c:v>0.86942620336764931</c:v>
                </c:pt>
                <c:pt idx="346">
                  <c:v>0.87239235303992702</c:v>
                </c:pt>
                <c:pt idx="347">
                  <c:v>0.8269407065914387</c:v>
                </c:pt>
                <c:pt idx="348">
                  <c:v>0.82501893207392873</c:v>
                </c:pt>
                <c:pt idx="349">
                  <c:v>0.8233013467952679</c:v>
                </c:pt>
                <c:pt idx="350">
                  <c:v>0.82174794190079503</c:v>
                </c:pt>
                <c:pt idx="351">
                  <c:v>0.82030153016774765</c:v>
                </c:pt>
                <c:pt idx="352">
                  <c:v>0.81265566985044413</c:v>
                </c:pt>
                <c:pt idx="353">
                  <c:v>0.80863919986508903</c:v>
                </c:pt>
                <c:pt idx="354">
                  <c:v>0.80832745437588749</c:v>
                </c:pt>
                <c:pt idx="355">
                  <c:v>0.80421059301092734</c:v>
                </c:pt>
                <c:pt idx="356">
                  <c:v>0.82539193091668484</c:v>
                </c:pt>
                <c:pt idx="357">
                  <c:v>0.86751058487232091</c:v>
                </c:pt>
                <c:pt idx="358">
                  <c:v>0.89712688639469029</c:v>
                </c:pt>
                <c:pt idx="359">
                  <c:v>0.79836702221195677</c:v>
                </c:pt>
                <c:pt idx="360">
                  <c:v>0.90736820188601175</c:v>
                </c:pt>
                <c:pt idx="361">
                  <c:v>0.81591131471471556</c:v>
                </c:pt>
                <c:pt idx="362">
                  <c:v>0.82929558090523525</c:v>
                </c:pt>
                <c:pt idx="363">
                  <c:v>0.90885948479414125</c:v>
                </c:pt>
                <c:pt idx="364">
                  <c:v>0.89242261201211026</c:v>
                </c:pt>
                <c:pt idx="365">
                  <c:v>0.35776422624859339</c:v>
                </c:pt>
                <c:pt idx="366">
                  <c:v>0.88483241113967659</c:v>
                </c:pt>
                <c:pt idx="367">
                  <c:v>0.65048271844883065</c:v>
                </c:pt>
                <c:pt idx="368">
                  <c:v>0.78676145980778689</c:v>
                </c:pt>
                <c:pt idx="369">
                  <c:v>0.81392347519112751</c:v>
                </c:pt>
                <c:pt idx="370">
                  <c:v>0.76189482108847406</c:v>
                </c:pt>
                <c:pt idx="371">
                  <c:v>0.22747639532382607</c:v>
                </c:pt>
                <c:pt idx="372">
                  <c:v>0.65968238231936716</c:v>
                </c:pt>
                <c:pt idx="373">
                  <c:v>0.92364875190101925</c:v>
                </c:pt>
                <c:pt idx="374">
                  <c:v>0.73922702574456045</c:v>
                </c:pt>
                <c:pt idx="375">
                  <c:v>0.88708364649666505</c:v>
                </c:pt>
                <c:pt idx="376">
                  <c:v>0.75608042223708338</c:v>
                </c:pt>
                <c:pt idx="377">
                  <c:v>0.3869640156137536</c:v>
                </c:pt>
                <c:pt idx="378">
                  <c:v>0.90200520746229007</c:v>
                </c:pt>
                <c:pt idx="379">
                  <c:v>0.31304228061149841</c:v>
                </c:pt>
                <c:pt idx="380">
                  <c:v>0.15614931568360532</c:v>
                </c:pt>
                <c:pt idx="381">
                  <c:v>0.4880025226985204</c:v>
                </c:pt>
                <c:pt idx="382">
                  <c:v>0.96159834430297864</c:v>
                </c:pt>
                <c:pt idx="383">
                  <c:v>0.95093477127914927</c:v>
                </c:pt>
                <c:pt idx="384">
                  <c:v>0.77236024563057515</c:v>
                </c:pt>
                <c:pt idx="385">
                  <c:v>0.39866837827067247</c:v>
                </c:pt>
                <c:pt idx="386">
                  <c:v>0.71257813772085288</c:v>
                </c:pt>
                <c:pt idx="387">
                  <c:v>0.96356280474655864</c:v>
                </c:pt>
                <c:pt idx="388">
                  <c:v>0.54326776453520353</c:v>
                </c:pt>
                <c:pt idx="389">
                  <c:v>7.8751957488969015E-2</c:v>
                </c:pt>
                <c:pt idx="390">
                  <c:v>0.3150853059226103</c:v>
                </c:pt>
                <c:pt idx="391">
                  <c:v>0.24605849741467617</c:v>
                </c:pt>
                <c:pt idx="392">
                  <c:v>0.55575237746777906</c:v>
                </c:pt>
                <c:pt idx="393">
                  <c:v>0.25370027189403321</c:v>
                </c:pt>
                <c:pt idx="394">
                  <c:v>0.8420739857771834</c:v>
                </c:pt>
                <c:pt idx="395">
                  <c:v>0.84803023491070684</c:v>
                </c:pt>
                <c:pt idx="396">
                  <c:v>1.1251738056977776E-2</c:v>
                </c:pt>
                <c:pt idx="397">
                  <c:v>8.7369700742685269E-2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38-434E-A1FD-14931CF86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47480"/>
        <c:axId val="664347840"/>
      </c:scatterChart>
      <c:valAx>
        <c:axId val="66434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347840"/>
        <c:crosses val="autoZero"/>
        <c:crossBetween val="midCat"/>
      </c:valAx>
      <c:valAx>
        <c:axId val="664347840"/>
        <c:scaling>
          <c:orientation val="minMax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34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'ex8'!$A$6:$A$206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</c:numCache>
            </c:numRef>
          </c:xVal>
          <c:yVal>
            <c:numRef>
              <c:f>'ex8'!$B$6:$B$206</c:f>
              <c:numCache>
                <c:formatCode>General</c:formatCode>
                <c:ptCount val="201"/>
                <c:pt idx="0">
                  <c:v>-2202644.8406449198</c:v>
                </c:pt>
                <c:pt idx="1">
                  <c:v>-1973105.6231097174</c:v>
                </c:pt>
                <c:pt idx="2">
                  <c:v>-1767306.9504743193</c:v>
                </c:pt>
                <c:pt idx="3">
                  <c:v>-1582808.9928595528</c:v>
                </c:pt>
                <c:pt idx="4">
                  <c:v>-1417421.2468781495</c:v>
                </c:pt>
                <c:pt idx="5">
                  <c:v>-1269177.1999577635</c:v>
                </c:pt>
                <c:pt idx="6">
                  <c:v>-1136311.5596571241</c:v>
                </c:pt>
                <c:pt idx="7">
                  <c:v>-1017239.7858040923</c:v>
                </c:pt>
                <c:pt idx="8">
                  <c:v>-910539.69074037857</c:v>
                </c:pt>
                <c:pt idx="9">
                  <c:v>-814934.89783226722</c:v>
                </c:pt>
                <c:pt idx="10">
                  <c:v>-729279.97074774664</c:v>
                </c:pt>
                <c:pt idx="11">
                  <c:v>-652547.04589212185</c:v>
                </c:pt>
                <c:pt idx="12">
                  <c:v>-583813.81797112804</c:v>
                </c:pt>
                <c:pt idx="13">
                  <c:v>-522252.74409834074</c:v>
                </c:pt>
                <c:pt idx="14">
                  <c:v>-467121.34540838649</c:v>
                </c:pt>
                <c:pt idx="15">
                  <c:v>-417753.49702892848</c:v>
                </c:pt>
                <c:pt idx="16">
                  <c:v>-373551.60775680258</c:v>
                </c:pt>
                <c:pt idx="17">
                  <c:v>-333979.60011736181</c:v>
                </c:pt>
                <c:pt idx="18">
                  <c:v>-298556.60987319448</c:v>
                </c:pt>
                <c:pt idx="19">
                  <c:v>-266851.33166366036</c:v>
                </c:pt>
                <c:pt idx="20">
                  <c:v>-238476.94443386488</c:v>
                </c:pt>
                <c:pt idx="21">
                  <c:v>-213086.55674487201</c:v>
                </c:pt>
                <c:pt idx="22">
                  <c:v>-190369.11800590003</c:v>
                </c:pt>
                <c:pt idx="23">
                  <c:v>-170045.74716704365</c:v>
                </c:pt>
                <c:pt idx="24">
                  <c:v>-151866.43547283582</c:v>
                </c:pt>
                <c:pt idx="25">
                  <c:v>-135607.08450819863</c:v>
                </c:pt>
                <c:pt idx="26">
                  <c:v>-121066.84497207262</c:v>
                </c:pt>
                <c:pt idx="27">
                  <c:v>-108065.72539617767</c:v>
                </c:pt>
                <c:pt idx="28">
                  <c:v>-96442.443399075462</c:v>
                </c:pt>
                <c:pt idx="29">
                  <c:v>-86052.495048738885</c:v>
                </c:pt>
                <c:pt idx="30">
                  <c:v>-76766.420527380804</c:v>
                </c:pt>
                <c:pt idx="31">
                  <c:v>-68468.246583605025</c:v>
                </c:pt>
                <c:pt idx="32">
                  <c:v>-61054.088256229297</c:v>
                </c:pt>
                <c:pt idx="33">
                  <c:v>-54430.8941002098</c:v>
                </c:pt>
                <c:pt idx="34">
                  <c:v>-48515.320676112693</c:v>
                </c:pt>
                <c:pt idx="35">
                  <c:v>-43232.723416084809</c:v>
                </c:pt>
                <c:pt idx="36">
                  <c:v>-38516.252182823599</c:v>
                </c:pt>
                <c:pt idx="37">
                  <c:v>-34306.040920335421</c:v>
                </c:pt>
                <c:pt idx="38">
                  <c:v>-30548.481777849032</c:v>
                </c:pt>
                <c:pt idx="39">
                  <c:v>-27195.57498765946</c:v>
                </c:pt>
                <c:pt idx="40">
                  <c:v>-24204.346605972962</c:v>
                </c:pt>
                <c:pt idx="41">
                  <c:v>-21536.32699129478</c:v>
                </c:pt>
                <c:pt idx="42">
                  <c:v>-19157.083602921932</c:v>
                </c:pt>
                <c:pt idx="43">
                  <c:v>-17035.802355971042</c:v>
                </c:pt>
                <c:pt idx="44">
                  <c:v>-15144.912371086666</c:v>
                </c:pt>
                <c:pt idx="45">
                  <c:v>-13459.749507897275</c:v>
                </c:pt>
                <c:pt idx="46">
                  <c:v>-11958.254572630507</c:v>
                </c:pt>
                <c:pt idx="47">
                  <c:v>-10620.702543494557</c:v>
                </c:pt>
                <c:pt idx="48">
                  <c:v>-9429.4595643191842</c:v>
                </c:pt>
                <c:pt idx="49">
                  <c:v>-8368.7648198634433</c:v>
                </c:pt>
                <c:pt idx="50">
                  <c:v>-7424.5347279529778</c:v>
                </c:pt>
                <c:pt idx="51">
                  <c:v>-6584.1871674179529</c:v>
                </c:pt>
                <c:pt idx="52">
                  <c:v>-5836.4837101484127</c:v>
                </c:pt>
                <c:pt idx="53">
                  <c:v>-5171.3880440842804</c:v>
                </c:pt>
                <c:pt idx="54">
                  <c:v>-4579.9389652269792</c:v>
                </c:pt>
                <c:pt idx="55">
                  <c:v>-4054.1364842868575</c:v>
                </c:pt>
                <c:pt idx="56">
                  <c:v>-3586.8397406300419</c:v>
                </c:pt>
                <c:pt idx="57">
                  <c:v>-3171.6755457296103</c:v>
                </c:pt>
                <c:pt idx="58">
                  <c:v>-2802.9564929914577</c:v>
                </c:pt>
                <c:pt idx="59">
                  <c:v>-2475.6076728917665</c:v>
                </c:pt>
                <c:pt idx="60">
                  <c:v>-2185.1011237561111</c:v>
                </c:pt>
                <c:pt idx="61">
                  <c:v>-1927.3972308247271</c:v>
                </c:pt>
                <c:pt idx="62">
                  <c:v>-1698.8923607800259</c:v>
                </c:pt>
                <c:pt idx="63">
                  <c:v>-1496.3720866971223</c:v>
                </c:pt>
                <c:pt idx="64">
                  <c:v>-1316.9694202341282</c:v>
                </c:pt>
                <c:pt idx="65">
                  <c:v>-1158.1275244478586</c:v>
                </c:pt>
                <c:pt idx="66">
                  <c:v>-1017.5664324064965</c:v>
                </c:pt>
                <c:pt idx="67">
                  <c:v>-893.25334417435613</c:v>
                </c:pt>
                <c:pt idx="68">
                  <c:v>-783.37611809148871</c:v>
                </c:pt>
                <c:pt idx="69">
                  <c:v>-686.31961183806254</c:v>
                </c:pt>
                <c:pt idx="70">
                  <c:v>-600.6445648030118</c:v>
                </c:pt>
                <c:pt idx="71">
                  <c:v>-525.06874599160369</c:v>
                </c:pt>
                <c:pt idx="72">
                  <c:v>-458.45012131988773</c:v>
                </c:pt>
                <c:pt idx="73">
                  <c:v>-399.77182086278748</c:v>
                </c:pt>
                <c:pt idx="74">
                  <c:v>-348.12871065166536</c:v>
                </c:pt>
                <c:pt idx="75">
                  <c:v>-302.71539515952855</c:v>
                </c:pt>
                <c:pt idx="76">
                  <c:v>-262.81549586819483</c:v>
                </c:pt>
                <c:pt idx="77">
                  <c:v>-227.79206847837696</c:v>
                </c:pt>
                <c:pt idx="78">
                  <c:v>-197.07903659177938</c:v>
                </c:pt>
                <c:pt idx="79">
                  <c:v>-170.17353324734381</c:v>
                </c:pt>
                <c:pt idx="80">
                  <c:v>-146.62905370591872</c:v>
                </c:pt>
                <c:pt idx="81">
                  <c:v>-126.04933351233454</c:v>
                </c:pt>
                <c:pt idx="82">
                  <c:v>-108.08287527295234</c:v>
                </c:pt>
                <c:pt idx="83">
                  <c:v>-92.418055909685776</c:v>
                </c:pt>
                <c:pt idx="84">
                  <c:v>-78.778753515183169</c:v>
                </c:pt>
                <c:pt idx="85">
                  <c:v>-66.920439452739387</c:v>
                </c:pt>
                <c:pt idx="86">
                  <c:v>-56.626687120928011</c:v>
                </c:pt>
                <c:pt idx="87">
                  <c:v>-47.70605392777334</c:v>
                </c:pt>
                <c:pt idx="88">
                  <c:v>-39.989297572658295</c:v>
                </c:pt>
                <c:pt idx="89">
                  <c:v>-33.326891786382042</c:v>
                </c:pt>
                <c:pt idx="90">
                  <c:v>-27.586810292206259</c:v>
                </c:pt>
                <c:pt idx="91">
                  <c:v>-22.652550976728239</c:v>
                </c:pt>
                <c:pt idx="92">
                  <c:v>-18.421375145282028</c:v>
                </c:pt>
                <c:pt idx="93">
                  <c:v>-14.802739322365429</c:v>
                </c:pt>
                <c:pt idx="94">
                  <c:v>-11.716899377976617</c:v>
                </c:pt>
                <c:pt idx="95">
                  <c:v>-9.0936688456890575</c:v>
                </c:pt>
                <c:pt idx="96">
                  <c:v>-6.8713151737266243</c:v>
                </c:pt>
                <c:pt idx="97">
                  <c:v>-4.9955793386810941</c:v>
                </c:pt>
                <c:pt idx="98">
                  <c:v>-3.4188057723197915</c:v>
                </c:pt>
                <c:pt idx="99">
                  <c:v>-2.099170922075873</c:v>
                </c:pt>
                <c:pt idx="100">
                  <c:v>-1.0000000000001878</c:v>
                </c:pt>
                <c:pt idx="101">
                  <c:v>-8.9162585964194921E-2</c:v>
                </c:pt>
                <c:pt idx="102">
                  <c:v>0.66146125015665536</c:v>
                </c:pt>
                <c:pt idx="103">
                  <c:v>1.2764517460922882</c:v>
                </c:pt>
                <c:pt idx="104">
                  <c:v>1.7772638009813131</c:v>
                </c:pt>
                <c:pt idx="105">
                  <c:v>2.182590806375134</c:v>
                </c:pt>
                <c:pt idx="106">
                  <c:v>2.5086832409310742</c:v>
                </c:pt>
                <c:pt idx="107">
                  <c:v>2.7696267564683548</c:v>
                </c:pt>
                <c:pt idx="108">
                  <c:v>2.9775839955961843</c:v>
                </c:pt>
                <c:pt idx="109">
                  <c:v>3.1430039613505261</c:v>
                </c:pt>
                <c:pt idx="110">
                  <c:v>3.2748024040995851</c:v>
                </c:pt>
                <c:pt idx="111">
                  <c:v>3.3805163977087389</c:v>
                </c:pt>
                <c:pt idx="112">
                  <c:v>3.466436043128037</c:v>
                </c:pt>
                <c:pt idx="113">
                  <c:v>3.5377160607205571</c:v>
                </c:pt>
                <c:pt idx="114">
                  <c:v>3.598469910081743</c:v>
                </c:pt>
                <c:pt idx="115">
                  <c:v>3.6518490045601291</c:v>
                </c:pt>
                <c:pt idx="116">
                  <c:v>3.7001095630555927</c:v>
                </c:pt>
                <c:pt idx="117">
                  <c:v>3.7446696585759365</c:v>
                </c:pt>
                <c:pt idx="118">
                  <c:v>3.7861590744724847</c:v>
                </c:pt>
                <c:pt idx="119">
                  <c:v>3.8244646562053894</c:v>
                </c:pt>
                <c:pt idx="120">
                  <c:v>3.8587739374308163</c:v>
                </c:pt>
                <c:pt idx="121">
                  <c:v>3.8876199098943789</c:v>
                </c:pt>
                <c:pt idx="122">
                  <c:v>3.9089298797482979</c:v>
                </c:pt>
                <c:pt idx="123">
                  <c:v>3.9200813879926191</c:v>
                </c:pt>
                <c:pt idx="124">
                  <c:v>3.9179681461570048</c:v>
                </c:pt>
                <c:pt idx="125">
                  <c:v>3.899078823664234</c:v>
                </c:pt>
                <c:pt idx="126">
                  <c:v>3.8595912919610038</c:v>
                </c:pt>
                <c:pt idx="127">
                  <c:v>3.7954845527633578</c:v>
                </c:pt>
                <c:pt idx="128">
                  <c:v>3.7026700243484489</c:v>
                </c:pt>
                <c:pt idx="129">
                  <c:v>3.5771431038953452</c:v>
                </c:pt>
                <c:pt idx="130">
                  <c:v>3.4151549436705353</c:v>
                </c:pt>
                <c:pt idx="131">
                  <c:v>3.2134031608470357</c:v>
                </c:pt>
                <c:pt idx="132">
                  <c:v>2.9692387433394236</c:v>
                </c:pt>
                <c:pt idx="133">
                  <c:v>2.6808847316193072</c:v>
                </c:pt>
                <c:pt idx="134">
                  <c:v>2.3476603836805996</c:v>
                </c:pt>
                <c:pt idx="135">
                  <c:v>1.9702025261847256</c:v>
                </c:pt>
                <c:pt idx="136">
                  <c:v>1.5506737464172762</c:v>
                </c:pt>
                <c:pt idx="137">
                  <c:v>1.0929451048138719</c:v>
                </c:pt>
                <c:pt idx="138">
                  <c:v>0.60273929598491549</c:v>
                </c:pt>
                <c:pt idx="139">
                  <c:v>8.7718837387766979E-2</c:v>
                </c:pt>
                <c:pt idx="140">
                  <c:v>-0.44249687473328425</c:v>
                </c:pt>
                <c:pt idx="141">
                  <c:v>-0.97640170838885321</c:v>
                </c:pt>
                <c:pt idx="142">
                  <c:v>-1.5007750460703573</c:v>
                </c:pt>
                <c:pt idx="143">
                  <c:v>-2.0009686093871086</c:v>
                </c:pt>
                <c:pt idx="144">
                  <c:v>-2.461316415622528</c:v>
                </c:pt>
                <c:pt idx="145">
                  <c:v>-2.8656709190576155</c:v>
                </c:pt>
                <c:pt idx="146">
                  <c:v>-3.1980612536630804</c:v>
                </c:pt>
                <c:pt idx="147">
                  <c:v>-3.4434608105783893</c:v>
                </c:pt>
                <c:pt idx="148">
                  <c:v>-3.5886413906553205</c:v>
                </c:pt>
                <c:pt idx="149">
                  <c:v>-3.6230802854959321</c:v>
                </c:pt>
                <c:pt idx="150">
                  <c:v>-3.5398754740351697</c:v>
                </c:pt>
                <c:pt idx="151">
                  <c:v>-3.3366134934393115</c:v>
                </c:pt>
                <c:pt idx="152">
                  <c:v>-3.0161254612515607</c:v>
                </c:pt>
                <c:pt idx="153">
                  <c:v>-2.5870603533221166</c:v>
                </c:pt>
                <c:pt idx="154">
                  <c:v>-2.0642022332695742</c:v>
                </c:pt>
                <c:pt idx="155">
                  <c:v>-1.4684609357827865</c:v>
                </c:pt>
                <c:pt idx="156">
                  <c:v>-0.82647485371721041</c:v>
                </c:pt>
                <c:pt idx="157">
                  <c:v>-0.16978081722835181</c:v>
                </c:pt>
                <c:pt idx="158">
                  <c:v>0.46647001325516979</c:v>
                </c:pt>
                <c:pt idx="159">
                  <c:v>1.0452400042945889</c:v>
                </c:pt>
                <c:pt idx="160">
                  <c:v>1.5297287221473419</c:v>
                </c:pt>
                <c:pt idx="161">
                  <c:v>1.8858023054046438</c:v>
                </c:pt>
                <c:pt idx="162">
                  <c:v>2.0845946327848122</c:v>
                </c:pt>
                <c:pt idx="163">
                  <c:v>2.105104799579558</c:v>
                </c:pt>
                <c:pt idx="164">
                  <c:v>1.9365806557109719</c:v>
                </c:pt>
                <c:pt idx="165">
                  <c:v>1.5804553468696041</c:v>
                </c:pt>
                <c:pt idx="166">
                  <c:v>1.0515981486741093</c:v>
                </c:pt>
                <c:pt idx="167">
                  <c:v>0.37865711379601519</c:v>
                </c:pt>
                <c:pt idx="168">
                  <c:v>-0.39668729003986503</c:v>
                </c:pt>
                <c:pt idx="169">
                  <c:v>-1.221669662760823</c:v>
                </c:pt>
                <c:pt idx="170">
                  <c:v>-2.0356056501667594</c:v>
                </c:pt>
                <c:pt idx="171">
                  <c:v>-2.7741773153641178</c:v>
                </c:pt>
                <c:pt idx="172">
                  <c:v>-3.3746084980808333</c:v>
                </c:pt>
                <c:pt idx="173">
                  <c:v>-3.781368174112651</c:v>
                </c:pt>
                <c:pt idx="174">
                  <c:v>-3.9519196684842881</c:v>
                </c:pt>
                <c:pt idx="175">
                  <c:v>-3.8619426647727599</c:v>
                </c:pt>
                <c:pt idx="176">
                  <c:v>-3.5094106124512781</c:v>
                </c:pt>
                <c:pt idx="177">
                  <c:v>-2.9169240339416782</c:v>
                </c:pt>
                <c:pt idx="178">
                  <c:v>-2.131791859085733</c:v>
                </c:pt>
                <c:pt idx="179">
                  <c:v>-1.2235229183287668</c:v>
                </c:pt>
                <c:pt idx="180">
                  <c:v>-0.27863351446346662</c:v>
                </c:pt>
                <c:pt idx="181">
                  <c:v>0.60702100298368</c:v>
                </c:pt>
                <c:pt idx="182">
                  <c:v>1.3378496534840203</c:v>
                </c:pt>
                <c:pt idx="183">
                  <c:v>1.8291967888301497</c:v>
                </c:pt>
                <c:pt idx="184">
                  <c:v>2.017938842984853</c:v>
                </c:pt>
                <c:pt idx="185">
                  <c:v>1.8716913118320471</c:v>
                </c:pt>
                <c:pt idx="186">
                  <c:v>1.395281930647865</c:v>
                </c:pt>
                <c:pt idx="187">
                  <c:v>0.63329633641724281</c:v>
                </c:pt>
                <c:pt idx="188">
                  <c:v>-0.33215416073502613</c:v>
                </c:pt>
                <c:pt idx="189">
                  <c:v>-1.388768621202306</c:v>
                </c:pt>
                <c:pt idx="190">
                  <c:v>-2.4061590768272776</c:v>
                </c:pt>
                <c:pt idx="191">
                  <c:v>-3.2516537671177002</c:v>
                </c:pt>
                <c:pt idx="192">
                  <c:v>-3.8080403105267133</c:v>
                </c:pt>
                <c:pt idx="193">
                  <c:v>-3.9909422738110703</c:v>
                </c:pt>
                <c:pt idx="194">
                  <c:v>-3.7632406626428527</c:v>
                </c:pt>
                <c:pt idx="195">
                  <c:v>-3.1440289593597237</c:v>
                </c:pt>
                <c:pt idx="196">
                  <c:v>-2.21008077045903</c:v>
                </c:pt>
                <c:pt idx="197">
                  <c:v>-1.088707555061198</c:v>
                </c:pt>
                <c:pt idx="198">
                  <c:v>5.7887133027333615E-2</c:v>
                </c:pt>
                <c:pt idx="199">
                  <c:v>1.0552423755956197</c:v>
                </c:pt>
                <c:pt idx="200">
                  <c:v>1.7433757451589487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E-46CE-8090-2333EE97D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5856"/>
        <c:axId val="595627296"/>
      </c:scatterChart>
      <c:valAx>
        <c:axId val="59562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5627296"/>
        <c:crosses val="autoZero"/>
        <c:crossBetween val="midCat"/>
      </c:valAx>
      <c:valAx>
        <c:axId val="595627296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562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85858</xdr:colOff>
      <xdr:row>6</xdr:row>
      <xdr:rowOff>39709</xdr:rowOff>
    </xdr:from>
    <xdr:to>
      <xdr:col>13</xdr:col>
      <xdr:colOff>279041</xdr:colOff>
      <xdr:row>21</xdr:row>
      <xdr:rowOff>150253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AF199A9-295D-231E-FAD6-3FBE888D9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474000</xdr:colOff>
      <xdr:row>8</xdr:row>
      <xdr:rowOff>116400</xdr:rowOff>
    </xdr:from>
    <xdr:to>
      <xdr:col>9</xdr:col>
      <xdr:colOff>342000</xdr:colOff>
      <xdr:row>20</xdr:row>
      <xdr:rowOff>195600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2488B03-6F02-0CBF-F3ED-B47902F8F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1649605</xdr:colOff>
      <xdr:row>9</xdr:row>
      <xdr:rowOff>22608</xdr:rowOff>
    </xdr:from>
    <xdr:to>
      <xdr:col>9</xdr:col>
      <xdr:colOff>167474</xdr:colOff>
      <xdr:row>21</xdr:row>
      <xdr:rowOff>153237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F4B945D-0A3C-488C-862B-D6A3003B3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95249</xdr:colOff>
      <xdr:row>5</xdr:row>
      <xdr:rowOff>214104</xdr:rowOff>
    </xdr:from>
    <xdr:to>
      <xdr:col>16</xdr:col>
      <xdr:colOff>316650</xdr:colOff>
      <xdr:row>13</xdr:row>
      <xdr:rowOff>130967</xdr:rowOff>
    </xdr:to>
    <xdr:sp macro="[0]!Sheet3.anglechange" textlink="">
      <xdr:nvSpPr>
        <xdr:cNvPr id="3" name="타원 2">
          <a:extLst>
            <a:ext uri="{FF2B5EF4-FFF2-40B4-BE49-F238E27FC236}">
              <a16:creationId xmlns:a16="http://schemas.microsoft.com/office/drawing/2014/main" id="{1106124B-369A-4282-F2CB-6E283B2A4877}"/>
            </a:ext>
          </a:extLst>
        </xdr:cNvPr>
        <xdr:cNvSpPr/>
      </xdr:nvSpPr>
      <xdr:spPr>
        <a:xfrm>
          <a:off x="13644562" y="1285667"/>
          <a:ext cx="1602526" cy="163136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angle:</a:t>
          </a:r>
          <a:r>
            <a:rPr lang="en-US" altLang="ko-KR" sz="1100" baseline="0"/>
            <a:t>25~67</a:t>
          </a:r>
          <a:r>
            <a:rPr lang="ko-KR" altLang="en-US" sz="1100" baseline="0"/>
            <a:t>도일때 </a:t>
          </a:r>
          <a:r>
            <a:rPr lang="ko-KR" altLang="en-US" sz="1100"/>
            <a:t>비행거리 계산클릭</a:t>
          </a:r>
          <a:endParaRPr lang="en-US" altLang="ko-KR" sz="1100"/>
        </a:p>
      </xdr:txBody>
    </xdr:sp>
    <xdr:clientData/>
  </xdr:twoCellAnchor>
  <xdr:twoCellAnchor>
    <xdr:from>
      <xdr:col>19</xdr:col>
      <xdr:colOff>469323</xdr:colOff>
      <xdr:row>7</xdr:row>
      <xdr:rowOff>195616</xdr:rowOff>
    </xdr:from>
    <xdr:to>
      <xdr:col>26</xdr:col>
      <xdr:colOff>343779</xdr:colOff>
      <xdr:row>20</xdr:row>
      <xdr:rowOff>108529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378CBC00-B21F-46A9-CEB0-B3D2DC49A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474000</xdr:colOff>
      <xdr:row>8</xdr:row>
      <xdr:rowOff>116400</xdr:rowOff>
    </xdr:from>
    <xdr:to>
      <xdr:col>9</xdr:col>
      <xdr:colOff>342000</xdr:colOff>
      <xdr:row>20</xdr:row>
      <xdr:rowOff>195600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F056699-A2C7-4737-92F4-D73976D6C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164592</xdr:colOff>
      <xdr:row>1</xdr:row>
      <xdr:rowOff>195072</xdr:rowOff>
    </xdr:from>
    <xdr:to>
      <xdr:col>11</xdr:col>
      <xdr:colOff>201168</xdr:colOff>
      <xdr:row>5</xdr:row>
      <xdr:rowOff>36576</xdr:rowOff>
    </xdr:to>
    <xdr:sp macro="[0]!Sheet4.ascan" textlink="">
      <xdr:nvSpPr>
        <xdr:cNvPr id="3" name="직사각형 2">
          <a:extLst>
            <a:ext uri="{FF2B5EF4-FFF2-40B4-BE49-F238E27FC236}">
              <a16:creationId xmlns:a16="http://schemas.microsoft.com/office/drawing/2014/main" id="{B2A454B8-5499-A1E9-ECBF-AEDC712B62F7}"/>
            </a:ext>
          </a:extLst>
        </xdr:cNvPr>
        <xdr:cNvSpPr/>
      </xdr:nvSpPr>
      <xdr:spPr>
        <a:xfrm>
          <a:off x="6340803" y="422335"/>
          <a:ext cx="1400154" cy="7505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ko-KR" sz="1100"/>
        </a:p>
        <a:p>
          <a:pPr algn="ctr"/>
          <a:r>
            <a:rPr lang="en-US" altLang="ko-KR" sz="1100"/>
            <a:t>ASCAN()</a:t>
          </a:r>
        </a:p>
        <a:p>
          <a:pPr algn="ctr"/>
          <a:r>
            <a:rPr lang="en-US" altLang="ko-KR" sz="1100"/>
            <a:t>GO</a:t>
          </a:r>
        </a:p>
      </xdr:txBody>
    </xdr:sp>
    <xdr:clientData/>
  </xdr:twoCellAnchor>
  <xdr:twoCellAnchor>
    <xdr:from>
      <xdr:col>10</xdr:col>
      <xdr:colOff>52552</xdr:colOff>
      <xdr:row>10</xdr:row>
      <xdr:rowOff>65689</xdr:rowOff>
    </xdr:from>
    <xdr:to>
      <xdr:col>21</xdr:col>
      <xdr:colOff>380999</xdr:colOff>
      <xdr:row>42</xdr:row>
      <xdr:rowOff>183929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F0B3F46B-BFF8-B1BE-5422-0314CE38D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308610</xdr:colOff>
      <xdr:row>8</xdr:row>
      <xdr:rowOff>106680</xdr:rowOff>
    </xdr:from>
    <xdr:to>
      <xdr:col>14</xdr:col>
      <xdr:colOff>255270</xdr:colOff>
      <xdr:row>20</xdr:row>
      <xdr:rowOff>205740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B44870C-5524-CAFA-3258-CECEA7A68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88"/>
  <sheetViews>
    <sheetView zoomScale="110" zoomScaleNormal="110" workbookViewId="0">
      <selection activeCell="A3" sqref="A3"/>
    </sheetView>
  </sheetViews>
  <sheetFormatPr defaultRowHeight="16.5" x14ac:dyDescent="0.3"/>
  <cols>
    <col min="4" max="4" width="19.625" customWidth="1"/>
  </cols>
  <sheetData>
    <row r="1" spans="1:18" ht="17.25" thickBot="1" x14ac:dyDescent="0.35">
      <c r="A1" t="s">
        <v>0</v>
      </c>
    </row>
    <row r="2" spans="1:18" x14ac:dyDescent="0.3">
      <c r="C2" s="1" t="s">
        <v>1</v>
      </c>
      <c r="D2" s="1">
        <v>10</v>
      </c>
      <c r="E2" s="2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15</v>
      </c>
      <c r="L2" s="3" t="s">
        <v>14</v>
      </c>
      <c r="M2" s="3" t="s">
        <v>13</v>
      </c>
      <c r="N2" s="3" t="s">
        <v>12</v>
      </c>
      <c r="O2" s="3" t="s">
        <v>11</v>
      </c>
      <c r="P2" s="4" t="s">
        <v>10</v>
      </c>
    </row>
    <row r="3" spans="1:18" ht="17.25" thickBot="1" x14ac:dyDescent="0.35">
      <c r="A3" t="s">
        <v>120</v>
      </c>
      <c r="E3" s="5">
        <v>0.01</v>
      </c>
      <c r="F3" s="6">
        <v>0.01</v>
      </c>
      <c r="G3" s="6">
        <v>1</v>
      </c>
      <c r="H3" s="6">
        <v>-0.01</v>
      </c>
      <c r="I3" s="6">
        <v>0.01</v>
      </c>
      <c r="J3" s="6">
        <v>1</v>
      </c>
      <c r="K3" s="6">
        <v>0.01</v>
      </c>
      <c r="L3" s="6">
        <v>-0.01</v>
      </c>
      <c r="M3" s="6">
        <v>1</v>
      </c>
      <c r="N3" s="6">
        <v>-0.01</v>
      </c>
      <c r="O3" s="6">
        <v>-0.01</v>
      </c>
      <c r="P3" s="7">
        <v>1</v>
      </c>
    </row>
    <row r="4" spans="1:18" x14ac:dyDescent="0.3">
      <c r="E4" t="s">
        <v>26</v>
      </c>
    </row>
    <row r="5" spans="1:18" x14ac:dyDescent="0.3">
      <c r="A5" t="s">
        <v>8</v>
      </c>
      <c r="B5" t="s">
        <v>9</v>
      </c>
      <c r="E5" t="s">
        <v>16</v>
      </c>
      <c r="F5" t="s">
        <v>17</v>
      </c>
      <c r="H5" t="s">
        <v>18</v>
      </c>
      <c r="I5" t="s">
        <v>19</v>
      </c>
      <c r="K5" t="s">
        <v>20</v>
      </c>
      <c r="L5" t="s">
        <v>21</v>
      </c>
      <c r="N5" t="s">
        <v>22</v>
      </c>
      <c r="O5" t="s">
        <v>23</v>
      </c>
      <c r="Q5" t="s">
        <v>25</v>
      </c>
      <c r="R5" t="s">
        <v>24</v>
      </c>
    </row>
    <row r="6" spans="1:18" x14ac:dyDescent="0.3">
      <c r="A6">
        <v>-10</v>
      </c>
      <c r="B6">
        <v>-10</v>
      </c>
      <c r="E6">
        <f>$D$2*G$3/(($A6-E$3)^2+($B6-F$3)^2)^(3/2)*($A6-E$3)</f>
        <v>-3.5284734305981134E-2</v>
      </c>
      <c r="F6">
        <f>$D$2*G$3/(($A6-E$3)^2+($B6-F$3)^2)^(3/2)*($B6-F$3)</f>
        <v>-3.5284734305981134E-2</v>
      </c>
      <c r="H6">
        <f>$D$2*J$3/(($A6-H$3)^2+($B6-I$3)^2)^(3/2)*($A6-H$3)</f>
        <v>-3.5319930740358725E-2</v>
      </c>
      <c r="I6">
        <f>$D$2*J$3/(($A6-H$3)^2+($B6-I$3)^2)^(3/2)*($B6-I$3)</f>
        <v>-3.5390641312411493E-2</v>
      </c>
      <c r="K6">
        <f>$D$2*M$3/(($A6-K$3)^2+($B6-L$3)^2)^(3/2)*($A6-K$3)</f>
        <v>-3.5390641312411493E-2</v>
      </c>
      <c r="L6">
        <f>$D$2*M$3/(($A6-K$3)^2+($B6-L$3)^2)^(3/2)*($B6-L$3)</f>
        <v>-3.5319930740358725E-2</v>
      </c>
      <c r="N6">
        <f>$D$2*P$3/(($A6-N$3)^2+($B6-O$3)^2)^(3/2)*($A6-N$3)</f>
        <v>-3.5426155945061551E-2</v>
      </c>
      <c r="O6">
        <f>$D$2*P$3/(($A6-N$3)^2+($B6-O$3)^2)^(3/2)*($B6-O$3)</f>
        <v>-3.5426155945061551E-2</v>
      </c>
      <c r="Q6">
        <f>SUM(E6,H6,K6,N6)+A6</f>
        <v>-10.141421462303812</v>
      </c>
      <c r="R6">
        <f>SUM(F6,I6,L6,O6)+B6</f>
        <v>-10.141421462303812</v>
      </c>
    </row>
    <row r="7" spans="1:18" x14ac:dyDescent="0.3">
      <c r="A7">
        <v>-10</v>
      </c>
      <c r="B7">
        <v>-9</v>
      </c>
      <c r="E7">
        <f t="shared" ref="E7:E70" si="0">$D$2*G$3/(($A7-E$3)^2+($B7-F$3)^2)^(3/2)*($A7-E$3)</f>
        <v>-4.0977858911512753E-2</v>
      </c>
      <c r="F7">
        <f t="shared" ref="F7:F70" si="1">$D$2*G$3/(($A7-E$3)^2+($B7-F$3)^2)^(3/2)*($B7-F$3)</f>
        <v>-3.688416671256043E-2</v>
      </c>
      <c r="H7">
        <f t="shared" ref="H7:H70" si="2">$D$2*J$3/(($A7-H$3)^2+($B7-I$3)^2)^(3/2)*($A7-H$3)</f>
        <v>-4.103164158804589E-2</v>
      </c>
      <c r="I7">
        <f t="shared" ref="I7:I70" si="3">$D$2*J$3/(($A7-H$3)^2+($B7-I$3)^2)^(3/2)*($B7-I$3)</f>
        <v>-3.700651558641576E-2</v>
      </c>
      <c r="K7">
        <f t="shared" ref="K7:K70" si="4">$D$2*M$3/(($A7-K$3)^2+($B7-L$3)^2)^(3/2)*($A7-K$3)</f>
        <v>-4.1100160410656367E-2</v>
      </c>
      <c r="L7">
        <f t="shared" ref="L7:L70" si="5">$D$2*M$3/(($A7-K$3)^2+($B7-L$3)^2)^(3/2)*($B7-L$3)</f>
        <v>-3.6912132077102977E-2</v>
      </c>
      <c r="N7">
        <f t="shared" ref="N7:N70" si="6">$D$2*P$3/(($A7-N$3)^2+($B7-O$3)^2)^(3/2)*($A7-N$3)</f>
        <v>-4.1154374943979E-2</v>
      </c>
      <c r="O7">
        <f t="shared" ref="O7:O70" si="7">$D$2*P$3/(($A7-N$3)^2+($B7-O$3)^2)^(3/2)*($B7-O$3)</f>
        <v>-3.7034817892529652E-2</v>
      </c>
      <c r="Q7">
        <f t="shared" ref="Q7:Q70" si="8">SUM(E7,H7,K7,N7)+A7</f>
        <v>-10.164264035854194</v>
      </c>
      <c r="R7">
        <f t="shared" ref="R7:R70" si="9">SUM(F7,I7,L7,O7)+B7</f>
        <v>-9.1478376322686081</v>
      </c>
    </row>
    <row r="8" spans="1:18" x14ac:dyDescent="0.3">
      <c r="A8">
        <v>-10</v>
      </c>
      <c r="B8">
        <v>-8</v>
      </c>
      <c r="E8">
        <f t="shared" si="0"/>
        <v>-4.7504974126944481E-2</v>
      </c>
      <c r="F8">
        <f t="shared" si="1"/>
        <v>-3.8013470804877651E-2</v>
      </c>
      <c r="H8">
        <f t="shared" si="2"/>
        <v>-4.7583658404790383E-2</v>
      </c>
      <c r="I8">
        <f t="shared" si="3"/>
        <v>-3.8152663045282378E-2</v>
      </c>
      <c r="K8">
        <f t="shared" si="4"/>
        <v>-4.7644046771077475E-2</v>
      </c>
      <c r="L8">
        <f t="shared" si="5"/>
        <v>-3.8029563806284618E-2</v>
      </c>
      <c r="N8">
        <f t="shared" si="6"/>
        <v>-4.7723302076910543E-2</v>
      </c>
      <c r="O8">
        <f t="shared" si="7"/>
        <v>-3.8169087446898425E-2</v>
      </c>
      <c r="Q8">
        <f t="shared" si="8"/>
        <v>-10.190455981379722</v>
      </c>
      <c r="R8">
        <f t="shared" si="9"/>
        <v>-8.1523647851033427</v>
      </c>
    </row>
    <row r="9" spans="1:18" x14ac:dyDescent="0.3">
      <c r="A9">
        <v>-10</v>
      </c>
      <c r="B9">
        <v>-7</v>
      </c>
      <c r="E9">
        <f t="shared" si="0"/>
        <v>-5.4849034173129106E-2</v>
      </c>
      <c r="F9">
        <f t="shared" si="1"/>
        <v>-3.8410762193170335E-2</v>
      </c>
      <c r="H9">
        <f t="shared" si="2"/>
        <v>-5.496010948406934E-2</v>
      </c>
      <c r="I9">
        <f t="shared" si="3"/>
        <v>-3.8565602350683285E-2</v>
      </c>
      <c r="K9">
        <f t="shared" si="4"/>
        <v>-5.5003652301633461E-2</v>
      </c>
      <c r="L9">
        <f t="shared" si="5"/>
        <v>-3.8409143815026761E-2</v>
      </c>
      <c r="N9">
        <f t="shared" si="6"/>
        <v>-5.5115457800830797E-2</v>
      </c>
      <c r="O9">
        <f t="shared" si="7"/>
        <v>-3.8564269272052781E-2</v>
      </c>
      <c r="Q9">
        <f t="shared" si="8"/>
        <v>-10.219928253759663</v>
      </c>
      <c r="R9">
        <f t="shared" si="9"/>
        <v>-7.1539497776309329</v>
      </c>
    </row>
    <row r="10" spans="1:18" x14ac:dyDescent="0.3">
      <c r="A10">
        <v>-10</v>
      </c>
      <c r="B10">
        <v>-6</v>
      </c>
      <c r="E10">
        <f t="shared" si="0"/>
        <v>-6.2891761034197122E-2</v>
      </c>
      <c r="F10">
        <f t="shared" si="1"/>
        <v>-3.7760188193359114E-2</v>
      </c>
      <c r="H10">
        <f t="shared" si="2"/>
        <v>-6.3043378773711259E-2</v>
      </c>
      <c r="I10">
        <f t="shared" si="3"/>
        <v>-3.7926997640641107E-2</v>
      </c>
      <c r="K10">
        <f t="shared" si="4"/>
        <v>-6.3058214448025243E-2</v>
      </c>
      <c r="L10">
        <f t="shared" si="5"/>
        <v>-3.7734136318049075E-2</v>
      </c>
      <c r="N10">
        <f t="shared" si="6"/>
        <v>-6.3210725591992908E-2</v>
      </c>
      <c r="O10">
        <f t="shared" si="7"/>
        <v>-3.7901125755359116E-2</v>
      </c>
      <c r="Q10">
        <f t="shared" si="8"/>
        <v>-10.252204079847926</v>
      </c>
      <c r="R10">
        <f t="shared" si="9"/>
        <v>-6.1513224479074085</v>
      </c>
    </row>
    <row r="11" spans="1:18" x14ac:dyDescent="0.3">
      <c r="A11">
        <v>-10</v>
      </c>
      <c r="B11">
        <v>-5</v>
      </c>
      <c r="E11">
        <f t="shared" si="0"/>
        <v>-7.1368477352667367E-2</v>
      </c>
      <c r="F11">
        <f t="shared" si="1"/>
        <v>-3.5719887266419927E-2</v>
      </c>
      <c r="H11">
        <f t="shared" si="2"/>
        <v>-7.1568314207772807E-2</v>
      </c>
      <c r="I11">
        <f t="shared" si="3"/>
        <v>-3.5891617035129303E-2</v>
      </c>
      <c r="K11">
        <f t="shared" si="4"/>
        <v>-7.1539692892568479E-2</v>
      </c>
      <c r="L11">
        <f t="shared" si="5"/>
        <v>-3.5662644109282389E-2</v>
      </c>
      <c r="N11">
        <f t="shared" si="6"/>
        <v>-7.1740560128851188E-2</v>
      </c>
      <c r="O11">
        <f t="shared" si="7"/>
        <v>-3.5834373878174924E-2</v>
      </c>
      <c r="Q11">
        <f t="shared" si="8"/>
        <v>-10.286217044581861</v>
      </c>
      <c r="R11">
        <f t="shared" si="9"/>
        <v>-5.1431085222890065</v>
      </c>
    </row>
    <row r="12" spans="1:18" x14ac:dyDescent="0.3">
      <c r="A12">
        <v>-10</v>
      </c>
      <c r="B12">
        <v>-4</v>
      </c>
      <c r="E12">
        <f t="shared" si="0"/>
        <v>-7.9831708231189874E-2</v>
      </c>
      <c r="F12">
        <f t="shared" si="1"/>
        <v>-3.1980534466240898E-2</v>
      </c>
      <c r="H12">
        <f t="shared" si="2"/>
        <v>-8.0085083751482586E-2</v>
      </c>
      <c r="I12">
        <f t="shared" si="3"/>
        <v>-3.2146264849193709E-2</v>
      </c>
      <c r="K12">
        <f t="shared" si="4"/>
        <v>-7.9996763134503865E-2</v>
      </c>
      <c r="L12">
        <f t="shared" si="5"/>
        <v>-3.1886821668998047E-2</v>
      </c>
      <c r="N12">
        <f t="shared" si="6"/>
        <v>-8.0251235057187467E-2</v>
      </c>
      <c r="O12">
        <f t="shared" si="7"/>
        <v>-3.2052295082900702E-2</v>
      </c>
      <c r="Q12">
        <f t="shared" si="8"/>
        <v>-10.320164790174363</v>
      </c>
      <c r="R12">
        <f t="shared" si="9"/>
        <v>-4.1280659160673334</v>
      </c>
    </row>
    <row r="13" spans="1:18" x14ac:dyDescent="0.3">
      <c r="A13">
        <v>-10</v>
      </c>
      <c r="B13">
        <v>-3</v>
      </c>
      <c r="E13">
        <f t="shared" si="0"/>
        <v>-8.7647814364336024E-2</v>
      </c>
      <c r="F13">
        <f t="shared" si="1"/>
        <v>-2.6355636487177963E-2</v>
      </c>
      <c r="H13">
        <f t="shared" si="2"/>
        <v>-8.7955255883108222E-2</v>
      </c>
      <c r="I13">
        <f t="shared" si="3"/>
        <v>-2.6501033053869444E-2</v>
      </c>
      <c r="K13">
        <f t="shared" si="4"/>
        <v>-8.7792407670914327E-2</v>
      </c>
      <c r="L13">
        <f t="shared" si="5"/>
        <v>-2.6223706187415971E-2</v>
      </c>
      <c r="N13">
        <f t="shared" si="6"/>
        <v>-8.8100890276671395E-2</v>
      </c>
      <c r="O13">
        <f t="shared" si="7"/>
        <v>-2.6368534727452202E-2</v>
      </c>
      <c r="Q13">
        <f t="shared" si="8"/>
        <v>-10.351496368195029</v>
      </c>
      <c r="R13">
        <f t="shared" si="9"/>
        <v>-3.1054489104559155</v>
      </c>
    </row>
    <row r="14" spans="1:18" x14ac:dyDescent="0.3">
      <c r="A14">
        <v>-10</v>
      </c>
      <c r="B14">
        <v>-2</v>
      </c>
      <c r="E14">
        <f t="shared" si="0"/>
        <v>-9.4054856148846927E-2</v>
      </c>
      <c r="F14">
        <f t="shared" si="1"/>
        <v>-1.8886139945972259E-2</v>
      </c>
      <c r="H14">
        <f t="shared" si="2"/>
        <v>-9.4409829722394645E-2</v>
      </c>
      <c r="I14">
        <f t="shared" si="3"/>
        <v>-1.8995371145346666E-2</v>
      </c>
      <c r="K14">
        <f t="shared" si="4"/>
        <v>-9.4163234873340176E-2</v>
      </c>
      <c r="L14">
        <f t="shared" si="5"/>
        <v>-1.8719763975818874E-2</v>
      </c>
      <c r="N14">
        <f t="shared" si="6"/>
        <v>-9.4519036942597404E-2</v>
      </c>
      <c r="O14">
        <f t="shared" si="7"/>
        <v>-1.8828116468044928E-2</v>
      </c>
      <c r="Q14">
        <f t="shared" si="8"/>
        <v>-10.377146957687179</v>
      </c>
      <c r="R14">
        <f t="shared" si="9"/>
        <v>-2.0754293915351827</v>
      </c>
    </row>
    <row r="15" spans="1:18" x14ac:dyDescent="0.3">
      <c r="A15">
        <v>-10</v>
      </c>
      <c r="B15">
        <v>-1</v>
      </c>
      <c r="E15">
        <f t="shared" si="0"/>
        <v>-9.8295421846345307E-2</v>
      </c>
      <c r="F15">
        <f t="shared" si="1"/>
        <v>-9.9179196867940824E-3</v>
      </c>
      <c r="H15">
        <f t="shared" si="2"/>
        <v>-9.8683411860440967E-2</v>
      </c>
      <c r="I15">
        <f t="shared" si="3"/>
        <v>-9.9770015995040411E-3</v>
      </c>
      <c r="K15">
        <f t="shared" si="4"/>
        <v>-9.8353716929430637E-2</v>
      </c>
      <c r="L15">
        <f t="shared" si="5"/>
        <v>-9.7272906853283041E-3</v>
      </c>
      <c r="N15">
        <f t="shared" si="6"/>
        <v>-9.8742169356352244E-2</v>
      </c>
      <c r="O15">
        <f t="shared" si="7"/>
        <v>-9.7852600263051773E-3</v>
      </c>
      <c r="Q15">
        <f t="shared" si="8"/>
        <v>-10.394074719992568</v>
      </c>
      <c r="R15">
        <f t="shared" si="9"/>
        <v>-1.0394074719979316</v>
      </c>
    </row>
    <row r="16" spans="1:18" x14ac:dyDescent="0.3">
      <c r="A16">
        <v>-10</v>
      </c>
      <c r="B16">
        <v>0</v>
      </c>
      <c r="E16">
        <f t="shared" si="0"/>
        <v>-9.9800150199188711E-2</v>
      </c>
      <c r="F16">
        <f t="shared" si="1"/>
        <v>-9.9700449749439267E-5</v>
      </c>
      <c r="H16">
        <f t="shared" si="2"/>
        <v>-0.10020014979918619</v>
      </c>
      <c r="I16">
        <f t="shared" si="3"/>
        <v>-1.0030045024943562E-4</v>
      </c>
      <c r="K16">
        <f t="shared" si="4"/>
        <v>-9.9800150199188711E-2</v>
      </c>
      <c r="L16">
        <f t="shared" si="5"/>
        <v>9.9700449749439267E-5</v>
      </c>
      <c r="N16">
        <f t="shared" si="6"/>
        <v>-0.10020014979918619</v>
      </c>
      <c r="O16">
        <f t="shared" si="7"/>
        <v>1.0030045024943562E-4</v>
      </c>
      <c r="Q16">
        <f t="shared" si="8"/>
        <v>-10.40000059999675</v>
      </c>
      <c r="R16">
        <f t="shared" si="9"/>
        <v>0</v>
      </c>
    </row>
    <row r="17" spans="1:18" x14ac:dyDescent="0.3">
      <c r="A17">
        <v>-10</v>
      </c>
      <c r="B17">
        <v>1</v>
      </c>
      <c r="E17">
        <f t="shared" si="0"/>
        <v>-9.8353716929430637E-2</v>
      </c>
      <c r="F17">
        <f t="shared" si="1"/>
        <v>9.7272906853283041E-3</v>
      </c>
      <c r="H17">
        <f t="shared" si="2"/>
        <v>-9.8742169356352244E-2</v>
      </c>
      <c r="I17">
        <f t="shared" si="3"/>
        <v>9.7852600263051773E-3</v>
      </c>
      <c r="K17">
        <f t="shared" si="4"/>
        <v>-9.8295421846345307E-2</v>
      </c>
      <c r="L17">
        <f t="shared" si="5"/>
        <v>9.9179196867940824E-3</v>
      </c>
      <c r="N17">
        <f t="shared" si="6"/>
        <v>-9.8683411860440967E-2</v>
      </c>
      <c r="O17">
        <f t="shared" si="7"/>
        <v>9.9770015995040411E-3</v>
      </c>
      <c r="Q17">
        <f t="shared" si="8"/>
        <v>-10.394074719992568</v>
      </c>
      <c r="R17">
        <f t="shared" si="9"/>
        <v>1.0394074719979316</v>
      </c>
    </row>
    <row r="18" spans="1:18" x14ac:dyDescent="0.3">
      <c r="A18">
        <v>-10</v>
      </c>
      <c r="B18">
        <v>2</v>
      </c>
      <c r="E18">
        <f t="shared" si="0"/>
        <v>-9.4163234873340176E-2</v>
      </c>
      <c r="F18">
        <f t="shared" si="1"/>
        <v>1.8719763975818874E-2</v>
      </c>
      <c r="H18">
        <f t="shared" si="2"/>
        <v>-9.4519036942597404E-2</v>
      </c>
      <c r="I18">
        <f t="shared" si="3"/>
        <v>1.8828116468044928E-2</v>
      </c>
      <c r="K18">
        <f t="shared" si="4"/>
        <v>-9.4054856148846927E-2</v>
      </c>
      <c r="L18">
        <f t="shared" si="5"/>
        <v>1.8886139945972259E-2</v>
      </c>
      <c r="N18">
        <f t="shared" si="6"/>
        <v>-9.4409829722394645E-2</v>
      </c>
      <c r="O18">
        <f t="shared" si="7"/>
        <v>1.8995371145346666E-2</v>
      </c>
      <c r="Q18">
        <f t="shared" si="8"/>
        <v>-10.377146957687179</v>
      </c>
      <c r="R18">
        <f t="shared" si="9"/>
        <v>2.0754293915351827</v>
      </c>
    </row>
    <row r="19" spans="1:18" x14ac:dyDescent="0.3">
      <c r="A19">
        <v>-10</v>
      </c>
      <c r="B19">
        <v>3</v>
      </c>
      <c r="E19">
        <f t="shared" si="0"/>
        <v>-8.7792407670914327E-2</v>
      </c>
      <c r="F19">
        <f t="shared" si="1"/>
        <v>2.6223706187415971E-2</v>
      </c>
      <c r="H19">
        <f t="shared" si="2"/>
        <v>-8.8100890276671395E-2</v>
      </c>
      <c r="I19">
        <f t="shared" si="3"/>
        <v>2.6368534727452202E-2</v>
      </c>
      <c r="K19">
        <f t="shared" si="4"/>
        <v>-8.7647814364336024E-2</v>
      </c>
      <c r="L19">
        <f t="shared" si="5"/>
        <v>2.6355636487177963E-2</v>
      </c>
      <c r="N19">
        <f t="shared" si="6"/>
        <v>-8.7955255883108222E-2</v>
      </c>
      <c r="O19">
        <f t="shared" si="7"/>
        <v>2.6501033053869444E-2</v>
      </c>
      <c r="Q19">
        <f t="shared" si="8"/>
        <v>-10.351496368195029</v>
      </c>
      <c r="R19">
        <f t="shared" si="9"/>
        <v>3.1054489104559155</v>
      </c>
    </row>
    <row r="20" spans="1:18" x14ac:dyDescent="0.3">
      <c r="A20">
        <v>-10</v>
      </c>
      <c r="B20">
        <v>4</v>
      </c>
      <c r="E20">
        <f t="shared" si="0"/>
        <v>-7.9996763134503865E-2</v>
      </c>
      <c r="F20">
        <f t="shared" si="1"/>
        <v>3.1886821668998047E-2</v>
      </c>
      <c r="H20">
        <f t="shared" si="2"/>
        <v>-8.0251235057187467E-2</v>
      </c>
      <c r="I20">
        <f t="shared" si="3"/>
        <v>3.2052295082900702E-2</v>
      </c>
      <c r="K20">
        <f t="shared" si="4"/>
        <v>-7.9831708231189874E-2</v>
      </c>
      <c r="L20">
        <f t="shared" si="5"/>
        <v>3.1980534466240898E-2</v>
      </c>
      <c r="N20">
        <f t="shared" si="6"/>
        <v>-8.0085083751482586E-2</v>
      </c>
      <c r="O20">
        <f t="shared" si="7"/>
        <v>3.2146264849193709E-2</v>
      </c>
      <c r="Q20">
        <f t="shared" si="8"/>
        <v>-10.320164790174363</v>
      </c>
      <c r="R20">
        <f t="shared" si="9"/>
        <v>4.1280659160673334</v>
      </c>
    </row>
    <row r="21" spans="1:18" x14ac:dyDescent="0.3">
      <c r="A21">
        <v>-10</v>
      </c>
      <c r="B21">
        <v>5</v>
      </c>
      <c r="E21">
        <f t="shared" si="0"/>
        <v>-7.1539692892568479E-2</v>
      </c>
      <c r="F21">
        <f t="shared" si="1"/>
        <v>3.5662644109282389E-2</v>
      </c>
      <c r="H21">
        <f t="shared" si="2"/>
        <v>-7.1740560128851188E-2</v>
      </c>
      <c r="I21">
        <f t="shared" si="3"/>
        <v>3.5834373878174924E-2</v>
      </c>
      <c r="K21">
        <f t="shared" si="4"/>
        <v>-7.1368477352667367E-2</v>
      </c>
      <c r="L21">
        <f t="shared" si="5"/>
        <v>3.5719887266419927E-2</v>
      </c>
      <c r="N21">
        <f t="shared" si="6"/>
        <v>-7.1568314207772807E-2</v>
      </c>
      <c r="O21">
        <f t="shared" si="7"/>
        <v>3.5891617035129303E-2</v>
      </c>
      <c r="Q21">
        <f t="shared" si="8"/>
        <v>-10.286217044581861</v>
      </c>
      <c r="R21">
        <f t="shared" si="9"/>
        <v>5.1431085222890065</v>
      </c>
    </row>
    <row r="22" spans="1:18" x14ac:dyDescent="0.3">
      <c r="A22">
        <v>-10</v>
      </c>
      <c r="B22">
        <v>6</v>
      </c>
      <c r="E22">
        <f t="shared" si="0"/>
        <v>-6.3058214448025243E-2</v>
      </c>
      <c r="F22">
        <f t="shared" si="1"/>
        <v>3.7734136318049075E-2</v>
      </c>
      <c r="H22">
        <f t="shared" si="2"/>
        <v>-6.3210725591992908E-2</v>
      </c>
      <c r="I22">
        <f t="shared" si="3"/>
        <v>3.7901125755359116E-2</v>
      </c>
      <c r="K22">
        <f t="shared" si="4"/>
        <v>-6.2891761034197122E-2</v>
      </c>
      <c r="L22">
        <f t="shared" si="5"/>
        <v>3.7760188193359114E-2</v>
      </c>
      <c r="N22">
        <f t="shared" si="6"/>
        <v>-6.3043378773711259E-2</v>
      </c>
      <c r="O22">
        <f t="shared" si="7"/>
        <v>3.7926997640641107E-2</v>
      </c>
      <c r="Q22">
        <f t="shared" si="8"/>
        <v>-10.252204079847926</v>
      </c>
      <c r="R22">
        <f t="shared" si="9"/>
        <v>6.1513224479074085</v>
      </c>
    </row>
    <row r="23" spans="1:18" x14ac:dyDescent="0.3">
      <c r="A23">
        <v>-10</v>
      </c>
      <c r="B23">
        <v>7</v>
      </c>
      <c r="E23">
        <f t="shared" si="0"/>
        <v>-5.5003652301633461E-2</v>
      </c>
      <c r="F23">
        <f t="shared" si="1"/>
        <v>3.8409143815026761E-2</v>
      </c>
      <c r="H23">
        <f t="shared" si="2"/>
        <v>-5.5115457800830797E-2</v>
      </c>
      <c r="I23">
        <f t="shared" si="3"/>
        <v>3.8564269272052781E-2</v>
      </c>
      <c r="K23">
        <f t="shared" si="4"/>
        <v>-5.4849034173129106E-2</v>
      </c>
      <c r="L23">
        <f t="shared" si="5"/>
        <v>3.8410762193170335E-2</v>
      </c>
      <c r="N23">
        <f t="shared" si="6"/>
        <v>-5.496010948406934E-2</v>
      </c>
      <c r="O23">
        <f t="shared" si="7"/>
        <v>3.8565602350683285E-2</v>
      </c>
      <c r="Q23">
        <f t="shared" si="8"/>
        <v>-10.219928253759663</v>
      </c>
      <c r="R23">
        <f t="shared" si="9"/>
        <v>7.1539497776309329</v>
      </c>
    </row>
    <row r="24" spans="1:18" x14ac:dyDescent="0.3">
      <c r="A24">
        <v>-10</v>
      </c>
      <c r="B24">
        <v>8</v>
      </c>
      <c r="E24">
        <f t="shared" si="0"/>
        <v>-4.7644046771077475E-2</v>
      </c>
      <c r="F24">
        <f t="shared" si="1"/>
        <v>3.8029563806284618E-2</v>
      </c>
      <c r="H24">
        <f t="shared" si="2"/>
        <v>-4.7723302076910543E-2</v>
      </c>
      <c r="I24">
        <f t="shared" si="3"/>
        <v>3.8169087446898425E-2</v>
      </c>
      <c r="K24">
        <f t="shared" si="4"/>
        <v>-4.7504974126944481E-2</v>
      </c>
      <c r="L24">
        <f t="shared" si="5"/>
        <v>3.8013470804877651E-2</v>
      </c>
      <c r="N24">
        <f t="shared" si="6"/>
        <v>-4.7583658404790383E-2</v>
      </c>
      <c r="O24">
        <f t="shared" si="7"/>
        <v>3.8152663045282378E-2</v>
      </c>
      <c r="Q24">
        <f t="shared" si="8"/>
        <v>-10.190455981379722</v>
      </c>
      <c r="R24">
        <f t="shared" si="9"/>
        <v>8.1523647851033427</v>
      </c>
    </row>
    <row r="25" spans="1:18" x14ac:dyDescent="0.3">
      <c r="A25">
        <v>-10</v>
      </c>
      <c r="B25">
        <v>9</v>
      </c>
      <c r="E25">
        <f t="shared" si="0"/>
        <v>-4.1100160410656367E-2</v>
      </c>
      <c r="F25">
        <f t="shared" si="1"/>
        <v>3.6912132077102977E-2</v>
      </c>
      <c r="H25">
        <f t="shared" si="2"/>
        <v>-4.1154374943979E-2</v>
      </c>
      <c r="I25">
        <f t="shared" si="3"/>
        <v>3.7034817892529652E-2</v>
      </c>
      <c r="K25">
        <f t="shared" si="4"/>
        <v>-4.0977858911512753E-2</v>
      </c>
      <c r="L25">
        <f t="shared" si="5"/>
        <v>3.688416671256043E-2</v>
      </c>
      <c r="N25">
        <f t="shared" si="6"/>
        <v>-4.103164158804589E-2</v>
      </c>
      <c r="O25">
        <f t="shared" si="7"/>
        <v>3.700651558641576E-2</v>
      </c>
      <c r="Q25">
        <f t="shared" si="8"/>
        <v>-10.164264035854194</v>
      </c>
      <c r="R25">
        <f t="shared" si="9"/>
        <v>9.1478376322686081</v>
      </c>
    </row>
    <row r="26" spans="1:18" x14ac:dyDescent="0.3">
      <c r="A26">
        <v>-10</v>
      </c>
      <c r="B26">
        <v>10</v>
      </c>
      <c r="E26">
        <f t="shared" si="0"/>
        <v>-3.5390641312411493E-2</v>
      </c>
      <c r="F26">
        <f t="shared" si="1"/>
        <v>3.5319930740358725E-2</v>
      </c>
      <c r="H26">
        <f t="shared" si="2"/>
        <v>-3.5426155945061551E-2</v>
      </c>
      <c r="I26">
        <f t="shared" si="3"/>
        <v>3.5426155945061551E-2</v>
      </c>
      <c r="K26">
        <f t="shared" si="4"/>
        <v>-3.5284734305981134E-2</v>
      </c>
      <c r="L26">
        <f t="shared" si="5"/>
        <v>3.5284734305981134E-2</v>
      </c>
      <c r="N26">
        <f t="shared" si="6"/>
        <v>-3.5319930740358725E-2</v>
      </c>
      <c r="O26">
        <f t="shared" si="7"/>
        <v>3.5390641312411493E-2</v>
      </c>
      <c r="Q26">
        <f t="shared" si="8"/>
        <v>-10.141421462303812</v>
      </c>
      <c r="R26">
        <f t="shared" si="9"/>
        <v>10.141421462303812</v>
      </c>
    </row>
    <row r="27" spans="1:18" x14ac:dyDescent="0.3">
      <c r="A27">
        <v>-9</v>
      </c>
      <c r="B27">
        <v>-10</v>
      </c>
      <c r="E27">
        <f t="shared" si="0"/>
        <v>-3.688416671256043E-2</v>
      </c>
      <c r="F27">
        <f t="shared" si="1"/>
        <v>-4.0977858911512753E-2</v>
      </c>
      <c r="H27">
        <f t="shared" si="2"/>
        <v>-3.6912132077102977E-2</v>
      </c>
      <c r="I27">
        <f t="shared" si="3"/>
        <v>-4.1100160410656367E-2</v>
      </c>
      <c r="K27">
        <f t="shared" si="4"/>
        <v>-3.700651558641576E-2</v>
      </c>
      <c r="L27">
        <f t="shared" si="5"/>
        <v>-4.103164158804589E-2</v>
      </c>
      <c r="N27">
        <f t="shared" si="6"/>
        <v>-3.7034817892529652E-2</v>
      </c>
      <c r="O27">
        <f t="shared" si="7"/>
        <v>-4.1154374943979E-2</v>
      </c>
      <c r="Q27">
        <f t="shared" si="8"/>
        <v>-9.1478376322686081</v>
      </c>
      <c r="R27">
        <f t="shared" si="9"/>
        <v>-10.164264035854194</v>
      </c>
    </row>
    <row r="28" spans="1:18" x14ac:dyDescent="0.3">
      <c r="A28">
        <v>-9</v>
      </c>
      <c r="B28">
        <v>-9</v>
      </c>
      <c r="E28">
        <f t="shared" si="0"/>
        <v>-4.3551731347124992E-2</v>
      </c>
      <c r="F28">
        <f t="shared" si="1"/>
        <v>-4.3551731347124992E-2</v>
      </c>
      <c r="H28">
        <f t="shared" si="2"/>
        <v>-4.3599987591678838E-2</v>
      </c>
      <c r="I28">
        <f t="shared" si="3"/>
        <v>-4.3696984227032956E-2</v>
      </c>
      <c r="K28">
        <f t="shared" si="4"/>
        <v>-4.3696984227032956E-2</v>
      </c>
      <c r="L28">
        <f t="shared" si="5"/>
        <v>-4.3599987591678838E-2</v>
      </c>
      <c r="N28">
        <f t="shared" si="6"/>
        <v>-4.3745725456077578E-2</v>
      </c>
      <c r="O28">
        <f t="shared" si="7"/>
        <v>-4.3745725456077578E-2</v>
      </c>
      <c r="Q28">
        <f t="shared" si="8"/>
        <v>-9.1745944286219139</v>
      </c>
      <c r="R28">
        <f t="shared" si="9"/>
        <v>-9.1745944286219139</v>
      </c>
    </row>
    <row r="29" spans="1:18" x14ac:dyDescent="0.3">
      <c r="A29">
        <v>-9</v>
      </c>
      <c r="B29">
        <v>-8</v>
      </c>
      <c r="E29">
        <f t="shared" si="0"/>
        <v>-5.1421668084239376E-2</v>
      </c>
      <c r="F29">
        <f t="shared" si="1"/>
        <v>-4.5714490716399263E-2</v>
      </c>
      <c r="H29">
        <f t="shared" si="2"/>
        <v>-5.1498745512947336E-2</v>
      </c>
      <c r="I29">
        <f t="shared" si="3"/>
        <v>-4.5884866691736172E-2</v>
      </c>
      <c r="K29">
        <f t="shared" si="4"/>
        <v>-5.1591961682348364E-2</v>
      </c>
      <c r="L29">
        <f t="shared" si="5"/>
        <v>-4.5751362246610819E-2</v>
      </c>
      <c r="N29">
        <f t="shared" si="6"/>
        <v>-5.1669719029744494E-2</v>
      </c>
      <c r="O29">
        <f t="shared" si="7"/>
        <v>-4.5922253064255673E-2</v>
      </c>
      <c r="Q29">
        <f t="shared" si="8"/>
        <v>-9.2061820943092787</v>
      </c>
      <c r="R29">
        <f t="shared" si="9"/>
        <v>-8.1832729727190028</v>
      </c>
    </row>
    <row r="30" spans="1:18" x14ac:dyDescent="0.3">
      <c r="A30">
        <v>-9</v>
      </c>
      <c r="B30">
        <v>-7</v>
      </c>
      <c r="E30">
        <f t="shared" si="0"/>
        <v>-6.0562972721272409E-2</v>
      </c>
      <c r="F30">
        <f t="shared" si="1"/>
        <v>-4.7119471562277422E-2</v>
      </c>
      <c r="H30">
        <f t="shared" si="2"/>
        <v>-6.0679799233101947E-2</v>
      </c>
      <c r="I30">
        <f t="shared" si="3"/>
        <v>-4.7315394062741337E-2</v>
      </c>
      <c r="K30">
        <f t="shared" si="4"/>
        <v>-6.0758682478319566E-2</v>
      </c>
      <c r="L30">
        <f t="shared" si="5"/>
        <v>-4.7136869092503191E-2</v>
      </c>
      <c r="N30">
        <f t="shared" si="6"/>
        <v>-6.0876431159511073E-2</v>
      </c>
      <c r="O30">
        <f t="shared" si="7"/>
        <v>-4.7333287408785583E-2</v>
      </c>
      <c r="Q30">
        <f t="shared" si="8"/>
        <v>-9.2428778855922058</v>
      </c>
      <c r="R30">
        <f t="shared" si="9"/>
        <v>-7.188905022126308</v>
      </c>
    </row>
    <row r="31" spans="1:18" x14ac:dyDescent="0.3">
      <c r="A31">
        <v>-9</v>
      </c>
      <c r="B31">
        <v>-6</v>
      </c>
      <c r="E31">
        <f t="shared" si="0"/>
        <v>-7.0921295816597188E-2</v>
      </c>
      <c r="F31">
        <f t="shared" si="1"/>
        <v>-4.7307101871004342E-2</v>
      </c>
      <c r="H31">
        <f t="shared" si="2"/>
        <v>-7.1090888700298616E-2</v>
      </c>
      <c r="I31">
        <f t="shared" si="3"/>
        <v>-4.7525722034348683E-2</v>
      </c>
      <c r="K31">
        <f t="shared" si="4"/>
        <v>-7.1139514719816735E-2</v>
      </c>
      <c r="L31">
        <f t="shared" si="5"/>
        <v>-4.7294749519611795E-2</v>
      </c>
      <c r="N31">
        <f t="shared" si="6"/>
        <v>-7.1310304550603221E-2</v>
      </c>
      <c r="O31">
        <f t="shared" si="7"/>
        <v>-4.7513762431380786E-2</v>
      </c>
      <c r="Q31">
        <f t="shared" si="8"/>
        <v>-9.2844620037873149</v>
      </c>
      <c r="R31">
        <f t="shared" si="9"/>
        <v>-6.1896413358563453</v>
      </c>
    </row>
    <row r="32" spans="1:18" x14ac:dyDescent="0.3">
      <c r="A32">
        <v>-9</v>
      </c>
      <c r="B32">
        <v>-5</v>
      </c>
      <c r="E32">
        <f t="shared" si="0"/>
        <v>-8.2233021230635667E-2</v>
      </c>
      <c r="F32">
        <f t="shared" si="1"/>
        <v>-4.5725575623250247E-2</v>
      </c>
      <c r="H32">
        <f t="shared" si="2"/>
        <v>-8.2469147182781949E-2</v>
      </c>
      <c r="I32">
        <f t="shared" si="3"/>
        <v>-4.5958890699192165E-2</v>
      </c>
      <c r="K32">
        <f t="shared" si="4"/>
        <v>-8.2465689821649646E-2</v>
      </c>
      <c r="L32">
        <f t="shared" si="5"/>
        <v>-4.5671897026640595E-2</v>
      </c>
      <c r="N32">
        <f t="shared" si="6"/>
        <v>-8.2703278801118246E-2</v>
      </c>
      <c r="O32">
        <f t="shared" si="7"/>
        <v>-4.5905379445781991E-2</v>
      </c>
      <c r="Q32">
        <f t="shared" si="8"/>
        <v>-9.3298711370361858</v>
      </c>
      <c r="R32">
        <f t="shared" si="9"/>
        <v>-5.1832617427948646</v>
      </c>
    </row>
    <row r="33" spans="1:18" x14ac:dyDescent="0.3">
      <c r="A33">
        <v>-9</v>
      </c>
      <c r="B33">
        <v>-4</v>
      </c>
      <c r="E33">
        <f t="shared" si="0"/>
        <v>-9.3933835016068404E-2</v>
      </c>
      <c r="F33">
        <f t="shared" si="1"/>
        <v>-4.1806290612034877E-2</v>
      </c>
      <c r="H33">
        <f t="shared" si="2"/>
        <v>-9.4248116886326672E-2</v>
      </c>
      <c r="I33">
        <f t="shared" si="3"/>
        <v>-4.2039482615591754E-2</v>
      </c>
      <c r="K33">
        <f t="shared" si="4"/>
        <v>-9.4166104412075069E-2</v>
      </c>
      <c r="L33">
        <f t="shared" si="5"/>
        <v>-4.1700638912783528E-2</v>
      </c>
      <c r="N33">
        <f t="shared" si="6"/>
        <v>-9.4482031000363065E-2</v>
      </c>
      <c r="O33">
        <f t="shared" si="7"/>
        <v>-4.1933626662007638E-2</v>
      </c>
      <c r="Q33">
        <f t="shared" si="8"/>
        <v>-9.3768300873148327</v>
      </c>
      <c r="R33">
        <f t="shared" si="9"/>
        <v>-4.1674800388024176</v>
      </c>
    </row>
    <row r="34" spans="1:18" x14ac:dyDescent="0.3">
      <c r="A34">
        <v>-9</v>
      </c>
      <c r="B34">
        <v>-3</v>
      </c>
      <c r="E34">
        <f t="shared" si="0"/>
        <v>-0.10510532446140128</v>
      </c>
      <c r="F34">
        <f t="shared" si="1"/>
        <v>-3.5112877539269463E-2</v>
      </c>
      <c r="H34">
        <f t="shared" si="2"/>
        <v>-0.10550271758712416</v>
      </c>
      <c r="I34">
        <f t="shared" si="3"/>
        <v>-3.5324046711595516E-2</v>
      </c>
      <c r="K34">
        <f t="shared" si="4"/>
        <v>-0.10531532460470273</v>
      </c>
      <c r="L34">
        <f t="shared" si="5"/>
        <v>-3.4949258664601683E-2</v>
      </c>
      <c r="N34">
        <f t="shared" si="6"/>
        <v>-0.10571435743225191</v>
      </c>
      <c r="O34">
        <f t="shared" si="7"/>
        <v>-3.5159725108168324E-2</v>
      </c>
      <c r="Q34">
        <f t="shared" si="8"/>
        <v>-9.4216377240854801</v>
      </c>
      <c r="R34">
        <f t="shared" si="9"/>
        <v>-3.1405459080236349</v>
      </c>
    </row>
    <row r="35" spans="1:18" x14ac:dyDescent="0.3">
      <c r="A35">
        <v>-9</v>
      </c>
      <c r="B35">
        <v>-2</v>
      </c>
      <c r="E35">
        <f t="shared" si="0"/>
        <v>-0.11452781293113656</v>
      </c>
      <c r="F35">
        <f t="shared" si="1"/>
        <v>-2.5549489899176967E-2</v>
      </c>
      <c r="H35">
        <f t="shared" si="2"/>
        <v>-0.11500152918872522</v>
      </c>
      <c r="I35">
        <f t="shared" si="3"/>
        <v>-2.5712244012162142E-2</v>
      </c>
      <c r="K35">
        <f t="shared" si="4"/>
        <v>-0.11468927091981698</v>
      </c>
      <c r="L35">
        <f t="shared" si="5"/>
        <v>-2.5330926651546706E-2</v>
      </c>
      <c r="N35">
        <f t="shared" si="6"/>
        <v>-0.1151643436018928</v>
      </c>
      <c r="O35">
        <f t="shared" si="7"/>
        <v>-2.5492440908539117E-2</v>
      </c>
      <c r="Q35">
        <f t="shared" si="8"/>
        <v>-9.459382956641571</v>
      </c>
      <c r="R35">
        <f t="shared" si="9"/>
        <v>-2.1020851014714248</v>
      </c>
    </row>
    <row r="36" spans="1:18" x14ac:dyDescent="0.3">
      <c r="A36">
        <v>-9</v>
      </c>
      <c r="B36">
        <v>-1</v>
      </c>
      <c r="E36">
        <f t="shared" si="0"/>
        <v>-0.1208969876026825</v>
      </c>
      <c r="F36">
        <f t="shared" si="1"/>
        <v>-1.3552270530378394E-2</v>
      </c>
      <c r="H36">
        <f t="shared" si="2"/>
        <v>-0.12142543519747236</v>
      </c>
      <c r="I36">
        <f t="shared" si="3"/>
        <v>-1.3641789716289997E-2</v>
      </c>
      <c r="K36">
        <f t="shared" si="4"/>
        <v>-0.12098528707215539</v>
      </c>
      <c r="L36">
        <f t="shared" si="5"/>
        <v>-1.3293610899160249E-2</v>
      </c>
      <c r="N36">
        <f t="shared" si="6"/>
        <v>-0.12151451097831649</v>
      </c>
      <c r="O36">
        <f t="shared" si="7"/>
        <v>-1.3381464501505375E-2</v>
      </c>
      <c r="Q36">
        <f t="shared" si="8"/>
        <v>-9.4848222208506261</v>
      </c>
      <c r="R36">
        <f t="shared" si="9"/>
        <v>-1.053869135647334</v>
      </c>
    </row>
    <row r="37" spans="1:18" x14ac:dyDescent="0.3">
      <c r="A37">
        <v>-9</v>
      </c>
      <c r="B37">
        <v>0</v>
      </c>
      <c r="E37">
        <f t="shared" si="0"/>
        <v>-0.1231826706618212</v>
      </c>
      <c r="F37">
        <f t="shared" si="1"/>
        <v>-1.367177254848182E-4</v>
      </c>
      <c r="H37">
        <f t="shared" si="2"/>
        <v>-0.12373136682940547</v>
      </c>
      <c r="I37">
        <f t="shared" si="3"/>
        <v>-1.3763222116730309E-4</v>
      </c>
      <c r="K37">
        <f t="shared" si="4"/>
        <v>-0.1231826706618212</v>
      </c>
      <c r="L37">
        <f t="shared" si="5"/>
        <v>1.367177254848182E-4</v>
      </c>
      <c r="N37">
        <f t="shared" si="6"/>
        <v>-0.12373136682940547</v>
      </c>
      <c r="O37">
        <f t="shared" si="7"/>
        <v>1.3763222116730309E-4</v>
      </c>
      <c r="Q37">
        <f t="shared" si="8"/>
        <v>-9.4938280749824528</v>
      </c>
      <c r="R37">
        <f t="shared" si="9"/>
        <v>0</v>
      </c>
    </row>
    <row r="38" spans="1:18" x14ac:dyDescent="0.3">
      <c r="A38">
        <v>-9</v>
      </c>
      <c r="B38">
        <v>1</v>
      </c>
      <c r="E38">
        <f t="shared" si="0"/>
        <v>-0.12098528707215539</v>
      </c>
      <c r="F38">
        <f t="shared" si="1"/>
        <v>1.3293610899160249E-2</v>
      </c>
      <c r="H38">
        <f t="shared" si="2"/>
        <v>-0.12151451097831649</v>
      </c>
      <c r="I38">
        <f t="shared" si="3"/>
        <v>1.3381464501505375E-2</v>
      </c>
      <c r="K38">
        <f t="shared" si="4"/>
        <v>-0.1208969876026825</v>
      </c>
      <c r="L38">
        <f t="shared" si="5"/>
        <v>1.3552270530378394E-2</v>
      </c>
      <c r="N38">
        <f t="shared" si="6"/>
        <v>-0.12142543519747236</v>
      </c>
      <c r="O38">
        <f t="shared" si="7"/>
        <v>1.3641789716289997E-2</v>
      </c>
      <c r="Q38">
        <f t="shared" si="8"/>
        <v>-9.4848222208506261</v>
      </c>
      <c r="R38">
        <f t="shared" si="9"/>
        <v>1.053869135647334</v>
      </c>
    </row>
    <row r="39" spans="1:18" x14ac:dyDescent="0.3">
      <c r="A39">
        <v>-9</v>
      </c>
      <c r="B39">
        <v>2</v>
      </c>
      <c r="E39">
        <f t="shared" si="0"/>
        <v>-0.11468927091981698</v>
      </c>
      <c r="F39">
        <f t="shared" si="1"/>
        <v>2.5330926651546706E-2</v>
      </c>
      <c r="H39">
        <f t="shared" si="2"/>
        <v>-0.1151643436018928</v>
      </c>
      <c r="I39">
        <f t="shared" si="3"/>
        <v>2.5492440908539117E-2</v>
      </c>
      <c r="K39">
        <f t="shared" si="4"/>
        <v>-0.11452781293113656</v>
      </c>
      <c r="L39">
        <f t="shared" si="5"/>
        <v>2.5549489899176967E-2</v>
      </c>
      <c r="N39">
        <f t="shared" si="6"/>
        <v>-0.11500152918872522</v>
      </c>
      <c r="O39">
        <f t="shared" si="7"/>
        <v>2.5712244012162142E-2</v>
      </c>
      <c r="Q39">
        <f t="shared" si="8"/>
        <v>-9.459382956641571</v>
      </c>
      <c r="R39">
        <f t="shared" si="9"/>
        <v>2.1020851014714248</v>
      </c>
    </row>
    <row r="40" spans="1:18" x14ac:dyDescent="0.3">
      <c r="A40">
        <v>-9</v>
      </c>
      <c r="B40">
        <v>3</v>
      </c>
      <c r="E40">
        <f t="shared" si="0"/>
        <v>-0.10531532460470273</v>
      </c>
      <c r="F40">
        <f t="shared" si="1"/>
        <v>3.4949258664601683E-2</v>
      </c>
      <c r="H40">
        <f t="shared" si="2"/>
        <v>-0.10571435743225191</v>
      </c>
      <c r="I40">
        <f t="shared" si="3"/>
        <v>3.5159725108168324E-2</v>
      </c>
      <c r="K40">
        <f t="shared" si="4"/>
        <v>-0.10510532446140128</v>
      </c>
      <c r="L40">
        <f t="shared" si="5"/>
        <v>3.5112877539269463E-2</v>
      </c>
      <c r="N40">
        <f t="shared" si="6"/>
        <v>-0.10550271758712416</v>
      </c>
      <c r="O40">
        <f t="shared" si="7"/>
        <v>3.5324046711595516E-2</v>
      </c>
      <c r="Q40">
        <f t="shared" si="8"/>
        <v>-9.4216377240854801</v>
      </c>
      <c r="R40">
        <f t="shared" si="9"/>
        <v>3.1405459080236349</v>
      </c>
    </row>
    <row r="41" spans="1:18" x14ac:dyDescent="0.3">
      <c r="A41">
        <v>-9</v>
      </c>
      <c r="B41">
        <v>4</v>
      </c>
      <c r="E41">
        <f t="shared" si="0"/>
        <v>-9.4166104412075069E-2</v>
      </c>
      <c r="F41">
        <f t="shared" si="1"/>
        <v>4.1700638912783528E-2</v>
      </c>
      <c r="H41">
        <f t="shared" si="2"/>
        <v>-9.4482031000363065E-2</v>
      </c>
      <c r="I41">
        <f t="shared" si="3"/>
        <v>4.1933626662007638E-2</v>
      </c>
      <c r="K41">
        <f t="shared" si="4"/>
        <v>-9.3933835016068404E-2</v>
      </c>
      <c r="L41">
        <f t="shared" si="5"/>
        <v>4.1806290612034877E-2</v>
      </c>
      <c r="N41">
        <f t="shared" si="6"/>
        <v>-9.4248116886326672E-2</v>
      </c>
      <c r="O41">
        <f t="shared" si="7"/>
        <v>4.2039482615591754E-2</v>
      </c>
      <c r="Q41">
        <f t="shared" si="8"/>
        <v>-9.3768300873148327</v>
      </c>
      <c r="R41">
        <f t="shared" si="9"/>
        <v>4.1674800388024176</v>
      </c>
    </row>
    <row r="42" spans="1:18" x14ac:dyDescent="0.3">
      <c r="A42">
        <v>-9</v>
      </c>
      <c r="B42">
        <v>5</v>
      </c>
      <c r="E42">
        <f t="shared" si="0"/>
        <v>-8.2465689821649646E-2</v>
      </c>
      <c r="F42">
        <f t="shared" si="1"/>
        <v>4.5671897026640595E-2</v>
      </c>
      <c r="H42">
        <f t="shared" si="2"/>
        <v>-8.2703278801118246E-2</v>
      </c>
      <c r="I42">
        <f t="shared" si="3"/>
        <v>4.5905379445781991E-2</v>
      </c>
      <c r="K42">
        <f t="shared" si="4"/>
        <v>-8.2233021230635667E-2</v>
      </c>
      <c r="L42">
        <f t="shared" si="5"/>
        <v>4.5725575623250247E-2</v>
      </c>
      <c r="N42">
        <f t="shared" si="6"/>
        <v>-8.2469147182781949E-2</v>
      </c>
      <c r="O42">
        <f t="shared" si="7"/>
        <v>4.5958890699192165E-2</v>
      </c>
      <c r="Q42">
        <f t="shared" si="8"/>
        <v>-9.3298711370361858</v>
      </c>
      <c r="R42">
        <f t="shared" si="9"/>
        <v>5.1832617427948646</v>
      </c>
    </row>
    <row r="43" spans="1:18" x14ac:dyDescent="0.3">
      <c r="A43">
        <v>-9</v>
      </c>
      <c r="B43">
        <v>6</v>
      </c>
      <c r="E43">
        <f t="shared" si="0"/>
        <v>-7.1139514719816735E-2</v>
      </c>
      <c r="F43">
        <f t="shared" si="1"/>
        <v>4.7294749519611795E-2</v>
      </c>
      <c r="H43">
        <f t="shared" si="2"/>
        <v>-7.1310304550603221E-2</v>
      </c>
      <c r="I43">
        <f t="shared" si="3"/>
        <v>4.7513762431380786E-2</v>
      </c>
      <c r="K43">
        <f t="shared" si="4"/>
        <v>-7.0921295816597188E-2</v>
      </c>
      <c r="L43">
        <f t="shared" si="5"/>
        <v>4.7307101871004342E-2</v>
      </c>
      <c r="N43">
        <f t="shared" si="6"/>
        <v>-7.1090888700298616E-2</v>
      </c>
      <c r="O43">
        <f t="shared" si="7"/>
        <v>4.7525722034348683E-2</v>
      </c>
      <c r="Q43">
        <f t="shared" si="8"/>
        <v>-9.2844620037873149</v>
      </c>
      <c r="R43">
        <f t="shared" si="9"/>
        <v>6.1896413358563453</v>
      </c>
    </row>
    <row r="44" spans="1:18" x14ac:dyDescent="0.3">
      <c r="A44">
        <v>-9</v>
      </c>
      <c r="B44">
        <v>7</v>
      </c>
      <c r="E44">
        <f t="shared" si="0"/>
        <v>-6.0758682478319566E-2</v>
      </c>
      <c r="F44">
        <f t="shared" si="1"/>
        <v>4.7136869092503191E-2</v>
      </c>
      <c r="H44">
        <f t="shared" si="2"/>
        <v>-6.0876431159511073E-2</v>
      </c>
      <c r="I44">
        <f t="shared" si="3"/>
        <v>4.7333287408785583E-2</v>
      </c>
      <c r="K44">
        <f t="shared" si="4"/>
        <v>-6.0562972721272409E-2</v>
      </c>
      <c r="L44">
        <f t="shared" si="5"/>
        <v>4.7119471562277422E-2</v>
      </c>
      <c r="N44">
        <f t="shared" si="6"/>
        <v>-6.0679799233101947E-2</v>
      </c>
      <c r="O44">
        <f t="shared" si="7"/>
        <v>4.7315394062741337E-2</v>
      </c>
      <c r="Q44">
        <f t="shared" si="8"/>
        <v>-9.2428778855922058</v>
      </c>
      <c r="R44">
        <f t="shared" si="9"/>
        <v>7.188905022126308</v>
      </c>
    </row>
    <row r="45" spans="1:18" x14ac:dyDescent="0.3">
      <c r="A45">
        <v>-9</v>
      </c>
      <c r="B45">
        <v>8</v>
      </c>
      <c r="E45">
        <f t="shared" si="0"/>
        <v>-5.1591961682348364E-2</v>
      </c>
      <c r="F45">
        <f t="shared" si="1"/>
        <v>4.5751362246610819E-2</v>
      </c>
      <c r="H45">
        <f t="shared" si="2"/>
        <v>-5.1669719029744494E-2</v>
      </c>
      <c r="I45">
        <f t="shared" si="3"/>
        <v>4.5922253064255673E-2</v>
      </c>
      <c r="K45">
        <f t="shared" si="4"/>
        <v>-5.1421668084239376E-2</v>
      </c>
      <c r="L45">
        <f t="shared" si="5"/>
        <v>4.5714490716399263E-2</v>
      </c>
      <c r="N45">
        <f t="shared" si="6"/>
        <v>-5.1498745512947336E-2</v>
      </c>
      <c r="O45">
        <f t="shared" si="7"/>
        <v>4.5884866691736172E-2</v>
      </c>
      <c r="Q45">
        <f t="shared" si="8"/>
        <v>-9.2061820943092787</v>
      </c>
      <c r="R45">
        <f t="shared" si="9"/>
        <v>8.1832729727190028</v>
      </c>
    </row>
    <row r="46" spans="1:18" x14ac:dyDescent="0.3">
      <c r="A46">
        <v>-9</v>
      </c>
      <c r="B46">
        <v>9</v>
      </c>
      <c r="E46">
        <f t="shared" si="0"/>
        <v>-4.3696984227032956E-2</v>
      </c>
      <c r="F46">
        <f t="shared" si="1"/>
        <v>4.3599987591678838E-2</v>
      </c>
      <c r="H46">
        <f t="shared" si="2"/>
        <v>-4.3745725456077578E-2</v>
      </c>
      <c r="I46">
        <f t="shared" si="3"/>
        <v>4.3745725456077578E-2</v>
      </c>
      <c r="K46">
        <f t="shared" si="4"/>
        <v>-4.3551731347124992E-2</v>
      </c>
      <c r="L46">
        <f t="shared" si="5"/>
        <v>4.3551731347124992E-2</v>
      </c>
      <c r="N46">
        <f t="shared" si="6"/>
        <v>-4.3599987591678838E-2</v>
      </c>
      <c r="O46">
        <f t="shared" si="7"/>
        <v>4.3696984227032956E-2</v>
      </c>
      <c r="Q46">
        <f t="shared" si="8"/>
        <v>-9.1745944286219139</v>
      </c>
      <c r="R46">
        <f t="shared" si="9"/>
        <v>9.1745944286219139</v>
      </c>
    </row>
    <row r="47" spans="1:18" x14ac:dyDescent="0.3">
      <c r="A47">
        <v>-9</v>
      </c>
      <c r="B47">
        <v>10</v>
      </c>
      <c r="E47">
        <f t="shared" si="0"/>
        <v>-3.700651558641576E-2</v>
      </c>
      <c r="F47">
        <f t="shared" si="1"/>
        <v>4.103164158804589E-2</v>
      </c>
      <c r="H47">
        <f t="shared" si="2"/>
        <v>-3.7034817892529652E-2</v>
      </c>
      <c r="I47">
        <f t="shared" si="3"/>
        <v>4.1154374943979E-2</v>
      </c>
      <c r="K47">
        <f t="shared" si="4"/>
        <v>-3.688416671256043E-2</v>
      </c>
      <c r="L47">
        <f t="shared" si="5"/>
        <v>4.0977858911512753E-2</v>
      </c>
      <c r="N47">
        <f t="shared" si="6"/>
        <v>-3.6912132077102977E-2</v>
      </c>
      <c r="O47">
        <f t="shared" si="7"/>
        <v>4.1100160410656367E-2</v>
      </c>
      <c r="Q47">
        <f t="shared" si="8"/>
        <v>-9.1478376322686081</v>
      </c>
      <c r="R47">
        <f t="shared" si="9"/>
        <v>10.164264035854194</v>
      </c>
    </row>
    <row r="48" spans="1:18" x14ac:dyDescent="0.3">
      <c r="A48">
        <v>-8</v>
      </c>
      <c r="B48">
        <v>-10</v>
      </c>
      <c r="E48">
        <f t="shared" si="0"/>
        <v>-3.8013470804877651E-2</v>
      </c>
      <c r="F48">
        <f t="shared" si="1"/>
        <v>-4.7504974126944481E-2</v>
      </c>
      <c r="H48">
        <f t="shared" si="2"/>
        <v>-3.8029563806284618E-2</v>
      </c>
      <c r="I48">
        <f t="shared" si="3"/>
        <v>-4.7644046771077475E-2</v>
      </c>
      <c r="K48">
        <f t="shared" si="4"/>
        <v>-3.8152663045282378E-2</v>
      </c>
      <c r="L48">
        <f t="shared" si="5"/>
        <v>-4.7583658404790383E-2</v>
      </c>
      <c r="N48">
        <f t="shared" si="6"/>
        <v>-3.8169087446898425E-2</v>
      </c>
      <c r="O48">
        <f t="shared" si="7"/>
        <v>-4.7723302076910543E-2</v>
      </c>
      <c r="Q48">
        <f t="shared" si="8"/>
        <v>-8.1523647851033427</v>
      </c>
      <c r="R48">
        <f t="shared" si="9"/>
        <v>-10.190455981379722</v>
      </c>
    </row>
    <row r="49" spans="1:18" x14ac:dyDescent="0.3">
      <c r="A49">
        <v>-8</v>
      </c>
      <c r="B49">
        <v>-9</v>
      </c>
      <c r="E49">
        <f t="shared" si="0"/>
        <v>-4.5714490716399263E-2</v>
      </c>
      <c r="F49">
        <f t="shared" si="1"/>
        <v>-5.1421668084239376E-2</v>
      </c>
      <c r="H49">
        <f t="shared" si="2"/>
        <v>-4.5751362246610819E-2</v>
      </c>
      <c r="I49">
        <f t="shared" si="3"/>
        <v>-5.1591961682348364E-2</v>
      </c>
      <c r="K49">
        <f t="shared" si="4"/>
        <v>-4.5884866691736172E-2</v>
      </c>
      <c r="L49">
        <f t="shared" si="5"/>
        <v>-5.1498745512947336E-2</v>
      </c>
      <c r="N49">
        <f t="shared" si="6"/>
        <v>-4.5922253064255673E-2</v>
      </c>
      <c r="O49">
        <f t="shared" si="7"/>
        <v>-5.1669719029744494E-2</v>
      </c>
      <c r="Q49">
        <f t="shared" si="8"/>
        <v>-8.1832729727190028</v>
      </c>
      <c r="R49">
        <f t="shared" si="9"/>
        <v>-9.2061820943092787</v>
      </c>
    </row>
    <row r="50" spans="1:18" x14ac:dyDescent="0.3">
      <c r="A50">
        <v>-8</v>
      </c>
      <c r="B50">
        <v>-8</v>
      </c>
      <c r="E50">
        <f t="shared" si="0"/>
        <v>-5.5104869006325385E-2</v>
      </c>
      <c r="F50">
        <f t="shared" si="1"/>
        <v>-5.5104869006325385E-2</v>
      </c>
      <c r="H50">
        <f t="shared" si="2"/>
        <v>-5.5173534570576666E-2</v>
      </c>
      <c r="I50">
        <f t="shared" si="3"/>
        <v>-5.5311641040089995E-2</v>
      </c>
      <c r="K50">
        <f t="shared" si="4"/>
        <v>-5.5311641040089995E-2</v>
      </c>
      <c r="L50">
        <f t="shared" si="5"/>
        <v>-5.5173534570576666E-2</v>
      </c>
      <c r="N50">
        <f t="shared" si="6"/>
        <v>-5.5381083455895895E-2</v>
      </c>
      <c r="O50">
        <f t="shared" si="7"/>
        <v>-5.5381083455895895E-2</v>
      </c>
      <c r="Q50">
        <f t="shared" si="8"/>
        <v>-8.2209711280728879</v>
      </c>
      <c r="R50">
        <f t="shared" si="9"/>
        <v>-8.2209711280728879</v>
      </c>
    </row>
    <row r="51" spans="1:18" x14ac:dyDescent="0.3">
      <c r="A51">
        <v>-8</v>
      </c>
      <c r="B51">
        <v>-7</v>
      </c>
      <c r="E51">
        <f t="shared" si="0"/>
        <v>-6.6418108200803794E-2</v>
      </c>
      <c r="F51">
        <f t="shared" si="1"/>
        <v>-5.8126209549018051E-2</v>
      </c>
      <c r="H51">
        <f t="shared" si="2"/>
        <v>-6.6533944335994299E-2</v>
      </c>
      <c r="I51">
        <f t="shared" si="3"/>
        <v>-5.8373335393657071E-2</v>
      </c>
      <c r="K51">
        <f t="shared" si="4"/>
        <v>-6.6665080650791186E-2</v>
      </c>
      <c r="L51">
        <f t="shared" si="5"/>
        <v>-5.8175894350690434E-2</v>
      </c>
      <c r="N51">
        <f t="shared" si="6"/>
        <v>-6.6782050427120335E-2</v>
      </c>
      <c r="O51">
        <f t="shared" si="7"/>
        <v>-5.8423846368657217E-2</v>
      </c>
      <c r="Q51">
        <f t="shared" si="8"/>
        <v>-8.266399183614709</v>
      </c>
      <c r="R51">
        <f t="shared" si="9"/>
        <v>-7.2330992856620231</v>
      </c>
    </row>
    <row r="52" spans="1:18" x14ac:dyDescent="0.3">
      <c r="A52">
        <v>-8</v>
      </c>
      <c r="B52">
        <v>-6</v>
      </c>
      <c r="E52">
        <f t="shared" si="0"/>
        <v>-7.97645150101641E-2</v>
      </c>
      <c r="F52">
        <f t="shared" si="1"/>
        <v>-5.9848281549448969E-2</v>
      </c>
      <c r="H52">
        <f t="shared" si="2"/>
        <v>-7.994772404192324E-2</v>
      </c>
      <c r="I52">
        <f t="shared" si="3"/>
        <v>-6.0135897558442876E-2</v>
      </c>
      <c r="K52">
        <f t="shared" si="4"/>
        <v>-8.0051723959522841E-2</v>
      </c>
      <c r="L52">
        <f t="shared" si="5"/>
        <v>-5.9863898441640681E-2</v>
      </c>
      <c r="N52">
        <f t="shared" si="6"/>
        <v>-8.0236516993370061E-2</v>
      </c>
      <c r="O52">
        <f t="shared" si="7"/>
        <v>-6.0152282451850649E-2</v>
      </c>
      <c r="Q52">
        <f t="shared" si="8"/>
        <v>-8.32000048000498</v>
      </c>
      <c r="R52">
        <f t="shared" si="9"/>
        <v>-6.2400003600013836</v>
      </c>
    </row>
    <row r="53" spans="1:18" x14ac:dyDescent="0.3">
      <c r="A53">
        <v>-8</v>
      </c>
      <c r="B53">
        <v>-5</v>
      </c>
      <c r="E53">
        <f t="shared" si="0"/>
        <v>-9.4982967237656424E-2</v>
      </c>
      <c r="F53">
        <f t="shared" si="1"/>
        <v>-5.9408822204826302E-2</v>
      </c>
      <c r="H53">
        <f t="shared" si="2"/>
        <v>-9.5257598116170517E-2</v>
      </c>
      <c r="I53">
        <f t="shared" si="3"/>
        <v>-5.9729732986484887E-2</v>
      </c>
      <c r="K53">
        <f t="shared" si="4"/>
        <v>-9.5303097685749433E-2</v>
      </c>
      <c r="L53">
        <f t="shared" si="5"/>
        <v>-5.9371093314842659E-2</v>
      </c>
      <c r="N53">
        <f t="shared" si="6"/>
        <v>-9.5579812569658779E-2</v>
      </c>
      <c r="O53">
        <f t="shared" si="7"/>
        <v>-5.9692523745005922E-2</v>
      </c>
      <c r="Q53">
        <f t="shared" si="8"/>
        <v>-8.3811234756092343</v>
      </c>
      <c r="R53">
        <f t="shared" si="9"/>
        <v>-5.2382021722511594</v>
      </c>
    </row>
    <row r="54" spans="1:18" x14ac:dyDescent="0.3">
      <c r="A54">
        <v>-8</v>
      </c>
      <c r="B54">
        <v>-4</v>
      </c>
      <c r="E54">
        <f t="shared" si="0"/>
        <v>-0.11144087473225464</v>
      </c>
      <c r="F54">
        <f t="shared" si="1"/>
        <v>-5.5790000958344702E-2</v>
      </c>
      <c r="H54">
        <f t="shared" si="2"/>
        <v>-0.11183092992117269</v>
      </c>
      <c r="I54">
        <f t="shared" si="3"/>
        <v>-5.612541038597027E-2</v>
      </c>
      <c r="K54">
        <f t="shared" si="4"/>
        <v>-0.1117750293048258</v>
      </c>
      <c r="L54">
        <f t="shared" si="5"/>
        <v>-5.5678198118134209E-2</v>
      </c>
      <c r="N54">
        <f t="shared" si="6"/>
        <v>-0.1121676000742366</v>
      </c>
      <c r="O54">
        <f t="shared" si="7"/>
        <v>-5.6013607546458573E-2</v>
      </c>
      <c r="Q54">
        <f t="shared" si="8"/>
        <v>-8.4472144340324888</v>
      </c>
      <c r="R54">
        <f t="shared" si="9"/>
        <v>-4.2236072170089081</v>
      </c>
    </row>
    <row r="55" spans="1:18" x14ac:dyDescent="0.3">
      <c r="A55">
        <v>-8</v>
      </c>
      <c r="B55">
        <v>-3</v>
      </c>
      <c r="E55">
        <f t="shared" si="0"/>
        <v>-0.12784570719451649</v>
      </c>
      <c r="F55">
        <f t="shared" si="1"/>
        <v>-4.804189496323278E-2</v>
      </c>
      <c r="H55">
        <f t="shared" si="2"/>
        <v>-0.12836709102946858</v>
      </c>
      <c r="I55">
        <f t="shared" si="3"/>
        <v>-4.8358566207597042E-2</v>
      </c>
      <c r="K55">
        <f t="shared" si="4"/>
        <v>-0.12816064024298163</v>
      </c>
      <c r="L55">
        <f t="shared" si="5"/>
        <v>-4.7840238992074298E-2</v>
      </c>
      <c r="N55">
        <f t="shared" si="6"/>
        <v>-0.128684699363807</v>
      </c>
      <c r="O55">
        <f t="shared" si="7"/>
        <v>-4.8156101514115514E-2</v>
      </c>
      <c r="Q55">
        <f t="shared" si="8"/>
        <v>-8.5130581378307735</v>
      </c>
      <c r="R55">
        <f t="shared" si="9"/>
        <v>-3.1923968016770194</v>
      </c>
    </row>
    <row r="56" spans="1:18" x14ac:dyDescent="0.3">
      <c r="A56">
        <v>-8</v>
      </c>
      <c r="B56">
        <v>-2</v>
      </c>
      <c r="E56">
        <f t="shared" si="0"/>
        <v>-0.14221782867363916</v>
      </c>
      <c r="F56">
        <f t="shared" si="1"/>
        <v>-3.5687619929340157E-2</v>
      </c>
      <c r="H56">
        <f t="shared" si="2"/>
        <v>-0.14286706059011742</v>
      </c>
      <c r="I56">
        <f t="shared" si="3"/>
        <v>-3.5940274316162195E-2</v>
      </c>
      <c r="K56">
        <f t="shared" si="4"/>
        <v>-0.14246843200504949</v>
      </c>
      <c r="L56">
        <f t="shared" si="5"/>
        <v>-3.5394778987521663E-2</v>
      </c>
      <c r="N56">
        <f t="shared" si="6"/>
        <v>-0.14311999647382992</v>
      </c>
      <c r="O56">
        <f t="shared" si="7"/>
        <v>-3.5645656193106577E-2</v>
      </c>
      <c r="Q56">
        <f t="shared" si="8"/>
        <v>-8.5706733177426351</v>
      </c>
      <c r="R56">
        <f t="shared" si="9"/>
        <v>-2.1426683294261304</v>
      </c>
    </row>
    <row r="57" spans="1:18" x14ac:dyDescent="0.3">
      <c r="A57">
        <v>-8</v>
      </c>
      <c r="B57">
        <v>-1</v>
      </c>
      <c r="E57">
        <f t="shared" si="0"/>
        <v>-0.15221553659012035</v>
      </c>
      <c r="F57">
        <f t="shared" si="1"/>
        <v>-1.9193219969540768E-2</v>
      </c>
      <c r="H57">
        <f t="shared" si="2"/>
        <v>-0.15296052095094578</v>
      </c>
      <c r="I57">
        <f t="shared" si="3"/>
        <v>-1.9335435063886762E-2</v>
      </c>
      <c r="K57">
        <f t="shared" si="4"/>
        <v>-0.15235576235077741</v>
      </c>
      <c r="L57">
        <f t="shared" si="5"/>
        <v>-1.883048748155676E-2</v>
      </c>
      <c r="N57">
        <f t="shared" si="6"/>
        <v>-0.15310212876720117</v>
      </c>
      <c r="O57">
        <f t="shared" si="7"/>
        <v>-1.897010106126773E-2</v>
      </c>
      <c r="Q57">
        <f t="shared" si="8"/>
        <v>-8.6106339486590446</v>
      </c>
      <c r="R57">
        <f t="shared" si="9"/>
        <v>-1.0763292435762519</v>
      </c>
    </row>
    <row r="58" spans="1:18" x14ac:dyDescent="0.3">
      <c r="A58">
        <v>-8</v>
      </c>
      <c r="B58">
        <v>0</v>
      </c>
      <c r="E58">
        <f t="shared" si="0"/>
        <v>-0.15585974181819576</v>
      </c>
      <c r="F58">
        <f t="shared" si="1"/>
        <v>-1.9458145045967012E-4</v>
      </c>
      <c r="H58">
        <f t="shared" si="2"/>
        <v>-0.15664099059748046</v>
      </c>
      <c r="I58">
        <f t="shared" si="3"/>
        <v>-1.9604629611699682E-4</v>
      </c>
      <c r="K58">
        <f t="shared" si="4"/>
        <v>-0.15585974181819576</v>
      </c>
      <c r="L58">
        <f t="shared" si="5"/>
        <v>1.9458145045967012E-4</v>
      </c>
      <c r="N58">
        <f t="shared" si="6"/>
        <v>-0.15664099059748046</v>
      </c>
      <c r="O58">
        <f t="shared" si="7"/>
        <v>1.9604629611699682E-4</v>
      </c>
      <c r="Q58">
        <f t="shared" si="8"/>
        <v>-8.6250014648313531</v>
      </c>
      <c r="R58">
        <f t="shared" si="9"/>
        <v>0</v>
      </c>
    </row>
    <row r="59" spans="1:18" x14ac:dyDescent="0.3">
      <c r="A59">
        <v>-8</v>
      </c>
      <c r="B59">
        <v>1</v>
      </c>
      <c r="E59">
        <f t="shared" si="0"/>
        <v>-0.15235576235077741</v>
      </c>
      <c r="F59">
        <f t="shared" si="1"/>
        <v>1.883048748155676E-2</v>
      </c>
      <c r="H59">
        <f t="shared" si="2"/>
        <v>-0.15310212876720117</v>
      </c>
      <c r="I59">
        <f t="shared" si="3"/>
        <v>1.897010106126773E-2</v>
      </c>
      <c r="K59">
        <f t="shared" si="4"/>
        <v>-0.15221553659012035</v>
      </c>
      <c r="L59">
        <f t="shared" si="5"/>
        <v>1.9193219969540768E-2</v>
      </c>
      <c r="N59">
        <f t="shared" si="6"/>
        <v>-0.15296052095094578</v>
      </c>
      <c r="O59">
        <f t="shared" si="7"/>
        <v>1.9335435063886762E-2</v>
      </c>
      <c r="Q59">
        <f t="shared" si="8"/>
        <v>-8.6106339486590446</v>
      </c>
      <c r="R59">
        <f t="shared" si="9"/>
        <v>1.0763292435762519</v>
      </c>
    </row>
    <row r="60" spans="1:18" x14ac:dyDescent="0.3">
      <c r="A60">
        <v>-8</v>
      </c>
      <c r="B60">
        <v>2</v>
      </c>
      <c r="E60">
        <f t="shared" si="0"/>
        <v>-0.14246843200504949</v>
      </c>
      <c r="F60">
        <f t="shared" si="1"/>
        <v>3.5394778987521663E-2</v>
      </c>
      <c r="H60">
        <f t="shared" si="2"/>
        <v>-0.14311999647382992</v>
      </c>
      <c r="I60">
        <f t="shared" si="3"/>
        <v>3.5645656193106577E-2</v>
      </c>
      <c r="K60">
        <f t="shared" si="4"/>
        <v>-0.14221782867363916</v>
      </c>
      <c r="L60">
        <f t="shared" si="5"/>
        <v>3.5687619929340157E-2</v>
      </c>
      <c r="N60">
        <f t="shared" si="6"/>
        <v>-0.14286706059011742</v>
      </c>
      <c r="O60">
        <f t="shared" si="7"/>
        <v>3.5940274316162195E-2</v>
      </c>
      <c r="Q60">
        <f t="shared" si="8"/>
        <v>-8.5706733177426369</v>
      </c>
      <c r="R60">
        <f t="shared" si="9"/>
        <v>2.1426683294261304</v>
      </c>
    </row>
    <row r="61" spans="1:18" x14ac:dyDescent="0.3">
      <c r="A61">
        <v>-8</v>
      </c>
      <c r="B61">
        <v>3</v>
      </c>
      <c r="E61">
        <f t="shared" si="0"/>
        <v>-0.12816064024298163</v>
      </c>
      <c r="F61">
        <f t="shared" si="1"/>
        <v>4.7840238992074298E-2</v>
      </c>
      <c r="H61">
        <f t="shared" si="2"/>
        <v>-0.128684699363807</v>
      </c>
      <c r="I61">
        <f t="shared" si="3"/>
        <v>4.8156101514115514E-2</v>
      </c>
      <c r="K61">
        <f t="shared" si="4"/>
        <v>-0.12784570719451649</v>
      </c>
      <c r="L61">
        <f t="shared" si="5"/>
        <v>4.804189496323278E-2</v>
      </c>
      <c r="N61">
        <f t="shared" si="6"/>
        <v>-0.12836709102946858</v>
      </c>
      <c r="O61">
        <f t="shared" si="7"/>
        <v>4.8358566207597042E-2</v>
      </c>
      <c r="Q61">
        <f t="shared" si="8"/>
        <v>-8.5130581378307735</v>
      </c>
      <c r="R61">
        <f t="shared" si="9"/>
        <v>3.1923968016770194</v>
      </c>
    </row>
    <row r="62" spans="1:18" x14ac:dyDescent="0.3">
      <c r="A62">
        <v>-8</v>
      </c>
      <c r="B62">
        <v>4</v>
      </c>
      <c r="E62">
        <f t="shared" si="0"/>
        <v>-0.1117750293048258</v>
      </c>
      <c r="F62">
        <f t="shared" si="1"/>
        <v>5.5678198118134209E-2</v>
      </c>
      <c r="H62">
        <f t="shared" si="2"/>
        <v>-0.1121676000742366</v>
      </c>
      <c r="I62">
        <f t="shared" si="3"/>
        <v>5.6013607546458573E-2</v>
      </c>
      <c r="K62">
        <f t="shared" si="4"/>
        <v>-0.11144087473225464</v>
      </c>
      <c r="L62">
        <f t="shared" si="5"/>
        <v>5.5790000958344702E-2</v>
      </c>
      <c r="N62">
        <f t="shared" si="6"/>
        <v>-0.11183092992117269</v>
      </c>
      <c r="O62">
        <f t="shared" si="7"/>
        <v>5.612541038597027E-2</v>
      </c>
      <c r="Q62">
        <f t="shared" si="8"/>
        <v>-8.4472144340324888</v>
      </c>
      <c r="R62">
        <f t="shared" si="9"/>
        <v>4.2236072170089081</v>
      </c>
    </row>
    <row r="63" spans="1:18" x14ac:dyDescent="0.3">
      <c r="A63">
        <v>-8</v>
      </c>
      <c r="B63">
        <v>5</v>
      </c>
      <c r="E63">
        <f t="shared" si="0"/>
        <v>-9.5303097685749433E-2</v>
      </c>
      <c r="F63">
        <f t="shared" si="1"/>
        <v>5.9371093314842659E-2</v>
      </c>
      <c r="H63">
        <f t="shared" si="2"/>
        <v>-9.5579812569658779E-2</v>
      </c>
      <c r="I63">
        <f t="shared" si="3"/>
        <v>5.9692523745005922E-2</v>
      </c>
      <c r="K63">
        <f t="shared" si="4"/>
        <v>-9.4982967237656424E-2</v>
      </c>
      <c r="L63">
        <f t="shared" si="5"/>
        <v>5.9408822204826302E-2</v>
      </c>
      <c r="N63">
        <f t="shared" si="6"/>
        <v>-9.5257598116170517E-2</v>
      </c>
      <c r="O63">
        <f t="shared" si="7"/>
        <v>5.9729732986484887E-2</v>
      </c>
      <c r="Q63">
        <f t="shared" si="8"/>
        <v>-8.3811234756092343</v>
      </c>
      <c r="R63">
        <f t="shared" si="9"/>
        <v>5.2382021722511594</v>
      </c>
    </row>
    <row r="64" spans="1:18" x14ac:dyDescent="0.3">
      <c r="A64">
        <v>-8</v>
      </c>
      <c r="B64">
        <v>6</v>
      </c>
      <c r="E64">
        <f t="shared" si="0"/>
        <v>-8.0051723959522841E-2</v>
      </c>
      <c r="F64">
        <f t="shared" si="1"/>
        <v>5.9863898441640681E-2</v>
      </c>
      <c r="H64">
        <f t="shared" si="2"/>
        <v>-8.0236516993370061E-2</v>
      </c>
      <c r="I64">
        <f t="shared" si="3"/>
        <v>6.0152282451850649E-2</v>
      </c>
      <c r="K64">
        <f t="shared" si="4"/>
        <v>-7.97645150101641E-2</v>
      </c>
      <c r="L64">
        <f t="shared" si="5"/>
        <v>5.9848281549448969E-2</v>
      </c>
      <c r="N64">
        <f t="shared" si="6"/>
        <v>-7.994772404192324E-2</v>
      </c>
      <c r="O64">
        <f t="shared" si="7"/>
        <v>6.0135897558442876E-2</v>
      </c>
      <c r="Q64">
        <f t="shared" si="8"/>
        <v>-8.32000048000498</v>
      </c>
      <c r="R64">
        <f t="shared" si="9"/>
        <v>6.2400003600013836</v>
      </c>
    </row>
    <row r="65" spans="1:18" x14ac:dyDescent="0.3">
      <c r="A65">
        <v>-8</v>
      </c>
      <c r="B65">
        <v>7</v>
      </c>
      <c r="E65">
        <f t="shared" si="0"/>
        <v>-6.6665080650791186E-2</v>
      </c>
      <c r="F65">
        <f t="shared" si="1"/>
        <v>5.8175894350690434E-2</v>
      </c>
      <c r="H65">
        <f t="shared" si="2"/>
        <v>-6.6782050427120335E-2</v>
      </c>
      <c r="I65">
        <f t="shared" si="3"/>
        <v>5.8423846368657217E-2</v>
      </c>
      <c r="K65">
        <f t="shared" si="4"/>
        <v>-6.6418108200803794E-2</v>
      </c>
      <c r="L65">
        <f t="shared" si="5"/>
        <v>5.8126209549018051E-2</v>
      </c>
      <c r="N65">
        <f t="shared" si="6"/>
        <v>-6.6533944335994299E-2</v>
      </c>
      <c r="O65">
        <f t="shared" si="7"/>
        <v>5.8373335393657071E-2</v>
      </c>
      <c r="Q65">
        <f t="shared" si="8"/>
        <v>-8.266399183614709</v>
      </c>
      <c r="R65">
        <f t="shared" si="9"/>
        <v>7.2330992856620231</v>
      </c>
    </row>
    <row r="66" spans="1:18" x14ac:dyDescent="0.3">
      <c r="A66">
        <v>-8</v>
      </c>
      <c r="B66">
        <v>8</v>
      </c>
      <c r="E66">
        <f t="shared" si="0"/>
        <v>-5.5311641040089995E-2</v>
      </c>
      <c r="F66">
        <f t="shared" si="1"/>
        <v>5.5173534570576666E-2</v>
      </c>
      <c r="H66">
        <f t="shared" si="2"/>
        <v>-5.5381083455895895E-2</v>
      </c>
      <c r="I66">
        <f t="shared" si="3"/>
        <v>5.5381083455895895E-2</v>
      </c>
      <c r="K66">
        <f t="shared" si="4"/>
        <v>-5.5104869006325385E-2</v>
      </c>
      <c r="L66">
        <f t="shared" si="5"/>
        <v>5.5104869006325385E-2</v>
      </c>
      <c r="N66">
        <f t="shared" si="6"/>
        <v>-5.5173534570576666E-2</v>
      </c>
      <c r="O66">
        <f t="shared" si="7"/>
        <v>5.5311641040089995E-2</v>
      </c>
      <c r="Q66">
        <f t="shared" si="8"/>
        <v>-8.2209711280728879</v>
      </c>
      <c r="R66">
        <f t="shared" si="9"/>
        <v>8.2209711280728879</v>
      </c>
    </row>
    <row r="67" spans="1:18" x14ac:dyDescent="0.3">
      <c r="A67">
        <v>-8</v>
      </c>
      <c r="B67">
        <v>9</v>
      </c>
      <c r="E67">
        <f t="shared" si="0"/>
        <v>-4.5884866691736172E-2</v>
      </c>
      <c r="F67">
        <f t="shared" si="1"/>
        <v>5.1498745512947336E-2</v>
      </c>
      <c r="H67">
        <f t="shared" si="2"/>
        <v>-4.5922253064255673E-2</v>
      </c>
      <c r="I67">
        <f t="shared" si="3"/>
        <v>5.1669719029744494E-2</v>
      </c>
      <c r="K67">
        <f t="shared" si="4"/>
        <v>-4.5714490716399263E-2</v>
      </c>
      <c r="L67">
        <f t="shared" si="5"/>
        <v>5.1421668084239376E-2</v>
      </c>
      <c r="N67">
        <f t="shared" si="6"/>
        <v>-4.5751362246610819E-2</v>
      </c>
      <c r="O67">
        <f t="shared" si="7"/>
        <v>5.1591961682348364E-2</v>
      </c>
      <c r="Q67">
        <f t="shared" si="8"/>
        <v>-8.1832729727190028</v>
      </c>
      <c r="R67">
        <f t="shared" si="9"/>
        <v>9.2061820943092787</v>
      </c>
    </row>
    <row r="68" spans="1:18" x14ac:dyDescent="0.3">
      <c r="A68">
        <v>-8</v>
      </c>
      <c r="B68">
        <v>10</v>
      </c>
      <c r="E68">
        <f t="shared" si="0"/>
        <v>-3.8152663045282378E-2</v>
      </c>
      <c r="F68">
        <f t="shared" si="1"/>
        <v>4.7583658404790383E-2</v>
      </c>
      <c r="H68">
        <f t="shared" si="2"/>
        <v>-3.8169087446898425E-2</v>
      </c>
      <c r="I68">
        <f t="shared" si="3"/>
        <v>4.7723302076910543E-2</v>
      </c>
      <c r="K68">
        <f t="shared" si="4"/>
        <v>-3.8013470804877651E-2</v>
      </c>
      <c r="L68">
        <f t="shared" si="5"/>
        <v>4.7504974126944481E-2</v>
      </c>
      <c r="N68">
        <f t="shared" si="6"/>
        <v>-3.8029563806284618E-2</v>
      </c>
      <c r="O68">
        <f t="shared" si="7"/>
        <v>4.7644046771077475E-2</v>
      </c>
      <c r="Q68">
        <f t="shared" si="8"/>
        <v>-8.1523647851033427</v>
      </c>
      <c r="R68">
        <f t="shared" si="9"/>
        <v>10.190455981379722</v>
      </c>
    </row>
    <row r="69" spans="1:18" x14ac:dyDescent="0.3">
      <c r="A69">
        <v>-7</v>
      </c>
      <c r="B69">
        <v>-10</v>
      </c>
      <c r="E69">
        <f t="shared" si="0"/>
        <v>-3.8410762193170335E-2</v>
      </c>
      <c r="F69">
        <f t="shared" si="1"/>
        <v>-5.4849034173129106E-2</v>
      </c>
      <c r="H69">
        <f t="shared" si="2"/>
        <v>-3.8409143815026761E-2</v>
      </c>
      <c r="I69">
        <f t="shared" si="3"/>
        <v>-5.5003652301633461E-2</v>
      </c>
      <c r="K69">
        <f t="shared" si="4"/>
        <v>-3.8565602350683285E-2</v>
      </c>
      <c r="L69">
        <f t="shared" si="5"/>
        <v>-5.496010948406934E-2</v>
      </c>
      <c r="N69">
        <f t="shared" si="6"/>
        <v>-3.8564269272052781E-2</v>
      </c>
      <c r="O69">
        <f t="shared" si="7"/>
        <v>-5.5115457800830797E-2</v>
      </c>
      <c r="Q69">
        <f t="shared" si="8"/>
        <v>-7.1539497776309329</v>
      </c>
      <c r="R69">
        <f t="shared" si="9"/>
        <v>-10.219928253759663</v>
      </c>
    </row>
    <row r="70" spans="1:18" x14ac:dyDescent="0.3">
      <c r="A70">
        <v>-7</v>
      </c>
      <c r="B70">
        <v>-9</v>
      </c>
      <c r="E70">
        <f t="shared" si="0"/>
        <v>-4.7119471562277422E-2</v>
      </c>
      <c r="F70">
        <f t="shared" si="1"/>
        <v>-6.0562972721272409E-2</v>
      </c>
      <c r="H70">
        <f t="shared" si="2"/>
        <v>-4.7136869092503191E-2</v>
      </c>
      <c r="I70">
        <f t="shared" si="3"/>
        <v>-6.0758682478319566E-2</v>
      </c>
      <c r="K70">
        <f t="shared" si="4"/>
        <v>-4.7315394062741337E-2</v>
      </c>
      <c r="L70">
        <f t="shared" si="5"/>
        <v>-6.0679799233101947E-2</v>
      </c>
      <c r="N70">
        <f t="shared" si="6"/>
        <v>-4.7333287408785583E-2</v>
      </c>
      <c r="O70">
        <f t="shared" si="7"/>
        <v>-6.0876431159511073E-2</v>
      </c>
      <c r="Q70">
        <f t="shared" si="8"/>
        <v>-7.1889050221263071</v>
      </c>
      <c r="R70">
        <f t="shared" si="9"/>
        <v>-9.2428778855922058</v>
      </c>
    </row>
    <row r="71" spans="1:18" x14ac:dyDescent="0.3">
      <c r="A71">
        <v>-7</v>
      </c>
      <c r="B71">
        <v>-8</v>
      </c>
      <c r="E71">
        <f t="shared" ref="E71:E134" si="10">$D$2*G$3/(($A71-E$3)^2+($B71-F$3)^2)^(3/2)*($A71-E$3)</f>
        <v>-5.8126209549018051E-2</v>
      </c>
      <c r="F71">
        <f t="shared" ref="F71:F134" si="11">$D$2*G$3/(($A71-E$3)^2+($B71-F$3)^2)^(3/2)*($B71-F$3)</f>
        <v>-6.6418108200803794E-2</v>
      </c>
      <c r="H71">
        <f t="shared" ref="H71:H134" si="12">$D$2*J$3/(($A71-H$3)^2+($B71-I$3)^2)^(3/2)*($A71-H$3)</f>
        <v>-5.8175894350690434E-2</v>
      </c>
      <c r="I71">
        <f t="shared" ref="I71:I134" si="13">$D$2*J$3/(($A71-H$3)^2+($B71-I$3)^2)^(3/2)*($B71-I$3)</f>
        <v>-6.6665080650791186E-2</v>
      </c>
      <c r="K71">
        <f t="shared" ref="K71:K134" si="14">$D$2*M$3/(($A71-K$3)^2+($B71-L$3)^2)^(3/2)*($A71-K$3)</f>
        <v>-5.8373335393657071E-2</v>
      </c>
      <c r="L71">
        <f t="shared" ref="L71:L134" si="15">$D$2*M$3/(($A71-K$3)^2+($B71-L$3)^2)^(3/2)*($B71-L$3)</f>
        <v>-6.6533944335994299E-2</v>
      </c>
      <c r="N71">
        <f t="shared" ref="N71:N134" si="16">$D$2*P$3/(($A71-N$3)^2+($B71-O$3)^2)^(3/2)*($A71-N$3)</f>
        <v>-5.8423846368657217E-2</v>
      </c>
      <c r="O71">
        <f t="shared" ref="O71:O134" si="17">$D$2*P$3/(($A71-N$3)^2+($B71-O$3)^2)^(3/2)*($B71-O$3)</f>
        <v>-6.6782050427120335E-2</v>
      </c>
      <c r="Q71">
        <f t="shared" ref="Q71:Q134" si="18">SUM(E71,H71,K71,N71)+A71</f>
        <v>-7.2330992856620231</v>
      </c>
      <c r="R71">
        <f t="shared" ref="R71:R134" si="19">SUM(F71,I71,L71,O71)+B71</f>
        <v>-8.266399183614709</v>
      </c>
    </row>
    <row r="72" spans="1:18" x14ac:dyDescent="0.3">
      <c r="A72">
        <v>-7</v>
      </c>
      <c r="B72">
        <v>-7</v>
      </c>
      <c r="E72">
        <f t="shared" si="10"/>
        <v>-7.1948040519509301E-2</v>
      </c>
      <c r="F72">
        <f t="shared" si="11"/>
        <v>-7.1948040519509301E-2</v>
      </c>
      <c r="H72">
        <f t="shared" si="12"/>
        <v>-7.2050455829307872E-2</v>
      </c>
      <c r="I72">
        <f t="shared" si="13"/>
        <v>-7.2256608778747955E-2</v>
      </c>
      <c r="K72">
        <f t="shared" si="14"/>
        <v>-7.2256608778747955E-2</v>
      </c>
      <c r="L72">
        <f t="shared" si="15"/>
        <v>-7.2050455829307872E-2</v>
      </c>
      <c r="N72">
        <f t="shared" si="16"/>
        <v>-7.2360349363442558E-2</v>
      </c>
      <c r="O72">
        <f t="shared" si="17"/>
        <v>-7.2360349363442558E-2</v>
      </c>
      <c r="Q72">
        <f t="shared" si="18"/>
        <v>-7.2886154544910076</v>
      </c>
      <c r="R72">
        <f t="shared" si="19"/>
        <v>-7.2886154544910076</v>
      </c>
    </row>
    <row r="73" spans="1:18" x14ac:dyDescent="0.3">
      <c r="A73">
        <v>-7</v>
      </c>
      <c r="B73">
        <v>-6</v>
      </c>
      <c r="E73">
        <f t="shared" si="10"/>
        <v>-8.9042736277311935E-2</v>
      </c>
      <c r="F73">
        <f t="shared" si="11"/>
        <v>-7.6340491444599812E-2</v>
      </c>
      <c r="H73">
        <f t="shared" si="12"/>
        <v>-8.9227875462703457E-2</v>
      </c>
      <c r="I73">
        <f t="shared" si="13"/>
        <v>-7.671810179268207E-2</v>
      </c>
      <c r="K73">
        <f t="shared" si="14"/>
        <v>-8.9420034806162368E-2</v>
      </c>
      <c r="L73">
        <f t="shared" si="15"/>
        <v>-7.6408845718817786E-2</v>
      </c>
      <c r="N73">
        <f t="shared" si="16"/>
        <v>-8.960720862849661E-2</v>
      </c>
      <c r="O73">
        <f t="shared" si="17"/>
        <v>-7.678786547706648E-2</v>
      </c>
      <c r="Q73">
        <f t="shared" si="18"/>
        <v>-7.3572978551746742</v>
      </c>
      <c r="R73">
        <f t="shared" si="19"/>
        <v>-6.306255304433166</v>
      </c>
    </row>
    <row r="74" spans="1:18" x14ac:dyDescent="0.3">
      <c r="A74">
        <v>-7</v>
      </c>
      <c r="B74">
        <v>-5</v>
      </c>
      <c r="E74">
        <f t="shared" si="10"/>
        <v>-0.10958707068613606</v>
      </c>
      <c r="F74">
        <f t="shared" si="11"/>
        <v>-7.8321144670120066E-2</v>
      </c>
      <c r="H74">
        <f t="shared" si="12"/>
        <v>-0.10989553823770178</v>
      </c>
      <c r="I74">
        <f t="shared" si="13"/>
        <v>-7.8766329981528729E-2</v>
      </c>
      <c r="K74">
        <f t="shared" si="14"/>
        <v>-0.11003140110063062</v>
      </c>
      <c r="L74">
        <f t="shared" si="15"/>
        <v>-7.8324777673630067E-2</v>
      </c>
      <c r="N74">
        <f t="shared" si="16"/>
        <v>-0.11034281196968607</v>
      </c>
      <c r="O74">
        <f t="shared" si="17"/>
        <v>-7.8771191949747285E-2</v>
      </c>
      <c r="Q74">
        <f t="shared" si="18"/>
        <v>-7.4398568219941543</v>
      </c>
      <c r="R74">
        <f t="shared" si="19"/>
        <v>-5.3141834442750264</v>
      </c>
    </row>
    <row r="75" spans="1:18" x14ac:dyDescent="0.3">
      <c r="A75">
        <v>-7</v>
      </c>
      <c r="B75">
        <v>-4</v>
      </c>
      <c r="E75">
        <f t="shared" si="10"/>
        <v>-0.13308981721079305</v>
      </c>
      <c r="F75">
        <f t="shared" si="11"/>
        <v>-7.6132691442978614E-2</v>
      </c>
      <c r="H75">
        <f t="shared" si="12"/>
        <v>-0.13356932862264034</v>
      </c>
      <c r="I75">
        <f t="shared" si="13"/>
        <v>-7.6625609124003971E-2</v>
      </c>
      <c r="K75">
        <f t="shared" si="14"/>
        <v>-0.13358107279013426</v>
      </c>
      <c r="L75">
        <f t="shared" si="15"/>
        <v>-7.6032593499662723E-2</v>
      </c>
      <c r="N75">
        <f t="shared" si="16"/>
        <v>-0.13406448647682484</v>
      </c>
      <c r="O75">
        <f t="shared" si="17"/>
        <v>-7.6526080263595295E-2</v>
      </c>
      <c r="Q75">
        <f t="shared" si="18"/>
        <v>-7.5343047051003929</v>
      </c>
      <c r="R75">
        <f t="shared" si="19"/>
        <v>-4.3053169743302409</v>
      </c>
    </row>
    <row r="76" spans="1:18" x14ac:dyDescent="0.3">
      <c r="A76">
        <v>-7</v>
      </c>
      <c r="B76">
        <v>-3</v>
      </c>
      <c r="E76">
        <f t="shared" si="10"/>
        <v>-0.15788152125874733</v>
      </c>
      <c r="F76">
        <f t="shared" si="11"/>
        <v>-6.7792208129647563E-2</v>
      </c>
      <c r="H76">
        <f t="shared" si="12"/>
        <v>-0.15857404205713507</v>
      </c>
      <c r="I76">
        <f t="shared" si="13"/>
        <v>-6.8284387209152572E-2</v>
      </c>
      <c r="K76">
        <f t="shared" si="14"/>
        <v>-0.15837107445918841</v>
      </c>
      <c r="L76">
        <f t="shared" si="15"/>
        <v>-6.7550572415545421E-2</v>
      </c>
      <c r="N76">
        <f t="shared" si="16"/>
        <v>-0.15906812576744567</v>
      </c>
      <c r="O76">
        <f t="shared" si="17"/>
        <v>-6.8042016601525396E-2</v>
      </c>
      <c r="Q76">
        <f t="shared" si="18"/>
        <v>-7.6338947635425161</v>
      </c>
      <c r="R76">
        <f t="shared" si="19"/>
        <v>-3.2716691843558712</v>
      </c>
    </row>
    <row r="77" spans="1:18" x14ac:dyDescent="0.3">
      <c r="A77">
        <v>-7</v>
      </c>
      <c r="B77">
        <v>-2</v>
      </c>
      <c r="E77">
        <f t="shared" si="10"/>
        <v>-0.18075614416811436</v>
      </c>
      <c r="F77">
        <f t="shared" si="11"/>
        <v>-5.1828794547490703E-2</v>
      </c>
      <c r="H77">
        <f t="shared" si="12"/>
        <v>-0.18167334174285107</v>
      </c>
      <c r="I77">
        <f t="shared" si="13"/>
        <v>-5.2240832174982918E-2</v>
      </c>
      <c r="K77">
        <f t="shared" si="14"/>
        <v>-0.18116478490747856</v>
      </c>
      <c r="L77">
        <f t="shared" si="15"/>
        <v>-5.1429090152051687E-2</v>
      </c>
      <c r="N77">
        <f t="shared" si="16"/>
        <v>-0.18208623403874749</v>
      </c>
      <c r="O77">
        <f t="shared" si="17"/>
        <v>-5.1838570205594778E-2</v>
      </c>
      <c r="Q77">
        <f t="shared" si="18"/>
        <v>-7.7256805048571913</v>
      </c>
      <c r="R77">
        <f t="shared" si="19"/>
        <v>-2.20733728708012</v>
      </c>
    </row>
    <row r="78" spans="1:18" x14ac:dyDescent="0.3">
      <c r="A78">
        <v>-7</v>
      </c>
      <c r="B78">
        <v>-1</v>
      </c>
      <c r="E78">
        <f t="shared" si="10"/>
        <v>-0.19732364479468731</v>
      </c>
      <c r="F78">
        <f t="shared" si="11"/>
        <v>-2.8430368222915003E-2</v>
      </c>
      <c r="H78">
        <f t="shared" si="12"/>
        <v>-0.19841974926867118</v>
      </c>
      <c r="I78">
        <f t="shared" si="13"/>
        <v>-2.8670092526660643E-2</v>
      </c>
      <c r="K78">
        <f t="shared" si="14"/>
        <v>-0.19755991241889012</v>
      </c>
      <c r="L78">
        <f t="shared" si="15"/>
        <v>-2.7900757959301171E-2</v>
      </c>
      <c r="N78">
        <f t="shared" si="16"/>
        <v>-0.19865866430729232</v>
      </c>
      <c r="O78">
        <f t="shared" si="17"/>
        <v>-2.8136205674423372E-2</v>
      </c>
      <c r="Q78">
        <f t="shared" si="18"/>
        <v>-7.7919619707895409</v>
      </c>
      <c r="R78">
        <f t="shared" si="19"/>
        <v>-1.1131374243833001</v>
      </c>
    </row>
    <row r="79" spans="1:18" x14ac:dyDescent="0.3">
      <c r="A79">
        <v>-7</v>
      </c>
      <c r="B79">
        <v>0</v>
      </c>
      <c r="E79">
        <f t="shared" si="10"/>
        <v>-0.203499168196834</v>
      </c>
      <c r="F79">
        <f t="shared" si="11"/>
        <v>-2.9029838544484166E-4</v>
      </c>
      <c r="H79">
        <f t="shared" si="12"/>
        <v>-0.20466534657485971</v>
      </c>
      <c r="I79">
        <f t="shared" si="13"/>
        <v>-2.92797348461888E-4</v>
      </c>
      <c r="K79">
        <f t="shared" si="14"/>
        <v>-0.203499168196834</v>
      </c>
      <c r="L79">
        <f t="shared" si="15"/>
        <v>2.9029838544484166E-4</v>
      </c>
      <c r="N79">
        <f t="shared" si="16"/>
        <v>-0.20466534657485971</v>
      </c>
      <c r="O79">
        <f t="shared" si="17"/>
        <v>2.92797348461888E-4</v>
      </c>
      <c r="Q79">
        <f t="shared" si="18"/>
        <v>-7.8163290295433878</v>
      </c>
      <c r="R79">
        <f t="shared" si="19"/>
        <v>0</v>
      </c>
    </row>
    <row r="80" spans="1:18" x14ac:dyDescent="0.3">
      <c r="A80">
        <v>-7</v>
      </c>
      <c r="B80">
        <v>1</v>
      </c>
      <c r="E80">
        <f t="shared" si="10"/>
        <v>-0.19755991241889012</v>
      </c>
      <c r="F80">
        <f t="shared" si="11"/>
        <v>2.7900757959301171E-2</v>
      </c>
      <c r="H80">
        <f t="shared" si="12"/>
        <v>-0.19865866430729232</v>
      </c>
      <c r="I80">
        <f t="shared" si="13"/>
        <v>2.8136205674423372E-2</v>
      </c>
      <c r="K80">
        <f t="shared" si="14"/>
        <v>-0.19732364479468731</v>
      </c>
      <c r="L80">
        <f t="shared" si="15"/>
        <v>2.8430368222915003E-2</v>
      </c>
      <c r="N80">
        <f t="shared" si="16"/>
        <v>-0.19841974926867118</v>
      </c>
      <c r="O80">
        <f t="shared" si="17"/>
        <v>2.8670092526660643E-2</v>
      </c>
      <c r="Q80">
        <f t="shared" si="18"/>
        <v>-7.7919619707895409</v>
      </c>
      <c r="R80">
        <f t="shared" si="19"/>
        <v>1.1131374243833001</v>
      </c>
    </row>
    <row r="81" spans="1:18" x14ac:dyDescent="0.3">
      <c r="A81">
        <v>-7</v>
      </c>
      <c r="B81">
        <v>2</v>
      </c>
      <c r="E81">
        <f t="shared" si="10"/>
        <v>-0.18116478490747856</v>
      </c>
      <c r="F81">
        <f t="shared" si="11"/>
        <v>5.1429090152051687E-2</v>
      </c>
      <c r="H81">
        <f t="shared" si="12"/>
        <v>-0.18208623403874749</v>
      </c>
      <c r="I81">
        <f t="shared" si="13"/>
        <v>5.1838570205594778E-2</v>
      </c>
      <c r="K81">
        <f t="shared" si="14"/>
        <v>-0.18075614416811436</v>
      </c>
      <c r="L81">
        <f t="shared" si="15"/>
        <v>5.1828794547490703E-2</v>
      </c>
      <c r="N81">
        <f t="shared" si="16"/>
        <v>-0.18167334174285107</v>
      </c>
      <c r="O81">
        <f t="shared" si="17"/>
        <v>5.2240832174982918E-2</v>
      </c>
      <c r="Q81">
        <f t="shared" si="18"/>
        <v>-7.7256805048571913</v>
      </c>
      <c r="R81">
        <f t="shared" si="19"/>
        <v>2.20733728708012</v>
      </c>
    </row>
    <row r="82" spans="1:18" x14ac:dyDescent="0.3">
      <c r="A82">
        <v>-7</v>
      </c>
      <c r="B82">
        <v>3</v>
      </c>
      <c r="E82">
        <f t="shared" si="10"/>
        <v>-0.15837107445918841</v>
      </c>
      <c r="F82">
        <f t="shared" si="11"/>
        <v>6.7550572415545421E-2</v>
      </c>
      <c r="H82">
        <f t="shared" si="12"/>
        <v>-0.15906812576744567</v>
      </c>
      <c r="I82">
        <f t="shared" si="13"/>
        <v>6.8042016601525396E-2</v>
      </c>
      <c r="K82">
        <f t="shared" si="14"/>
        <v>-0.15788152125874733</v>
      </c>
      <c r="L82">
        <f t="shared" si="15"/>
        <v>6.7792208129647563E-2</v>
      </c>
      <c r="N82">
        <f t="shared" si="16"/>
        <v>-0.15857404205713507</v>
      </c>
      <c r="O82">
        <f t="shared" si="17"/>
        <v>6.8284387209152572E-2</v>
      </c>
      <c r="Q82">
        <f t="shared" si="18"/>
        <v>-7.6338947635425161</v>
      </c>
      <c r="R82">
        <f t="shared" si="19"/>
        <v>3.2716691843558712</v>
      </c>
    </row>
    <row r="83" spans="1:18" x14ac:dyDescent="0.3">
      <c r="A83">
        <v>-7</v>
      </c>
      <c r="B83">
        <v>4</v>
      </c>
      <c r="E83">
        <f t="shared" si="10"/>
        <v>-0.13358107279013426</v>
      </c>
      <c r="F83">
        <f t="shared" si="11"/>
        <v>7.6032593499662723E-2</v>
      </c>
      <c r="H83">
        <f t="shared" si="12"/>
        <v>-0.13406448647682484</v>
      </c>
      <c r="I83">
        <f t="shared" si="13"/>
        <v>7.6526080263595295E-2</v>
      </c>
      <c r="K83">
        <f t="shared" si="14"/>
        <v>-0.13308981721079305</v>
      </c>
      <c r="L83">
        <f t="shared" si="15"/>
        <v>7.6132691442978614E-2</v>
      </c>
      <c r="N83">
        <f t="shared" si="16"/>
        <v>-0.13356932862264034</v>
      </c>
      <c r="O83">
        <f t="shared" si="17"/>
        <v>7.6625609124003971E-2</v>
      </c>
      <c r="Q83">
        <f t="shared" si="18"/>
        <v>-7.5343047051003929</v>
      </c>
      <c r="R83">
        <f t="shared" si="19"/>
        <v>4.3053169743302409</v>
      </c>
    </row>
    <row r="84" spans="1:18" x14ac:dyDescent="0.3">
      <c r="A84">
        <v>-7</v>
      </c>
      <c r="B84">
        <v>5</v>
      </c>
      <c r="E84">
        <f t="shared" si="10"/>
        <v>-0.11003140110063062</v>
      </c>
      <c r="F84">
        <f t="shared" si="11"/>
        <v>7.8324777673630067E-2</v>
      </c>
      <c r="H84">
        <f t="shared" si="12"/>
        <v>-0.11034281196968607</v>
      </c>
      <c r="I84">
        <f t="shared" si="13"/>
        <v>7.8771191949747285E-2</v>
      </c>
      <c r="K84">
        <f t="shared" si="14"/>
        <v>-0.10958707068613606</v>
      </c>
      <c r="L84">
        <f t="shared" si="15"/>
        <v>7.8321144670120066E-2</v>
      </c>
      <c r="N84">
        <f t="shared" si="16"/>
        <v>-0.10989553823770178</v>
      </c>
      <c r="O84">
        <f t="shared" si="17"/>
        <v>7.8766329981528729E-2</v>
      </c>
      <c r="Q84">
        <f t="shared" si="18"/>
        <v>-7.4398568219941543</v>
      </c>
      <c r="R84">
        <f t="shared" si="19"/>
        <v>5.3141834442750264</v>
      </c>
    </row>
    <row r="85" spans="1:18" x14ac:dyDescent="0.3">
      <c r="A85">
        <v>-7</v>
      </c>
      <c r="B85">
        <v>6</v>
      </c>
      <c r="E85">
        <f t="shared" si="10"/>
        <v>-8.9420034806162368E-2</v>
      </c>
      <c r="F85">
        <f t="shared" si="11"/>
        <v>7.6408845718817786E-2</v>
      </c>
      <c r="H85">
        <f t="shared" si="12"/>
        <v>-8.960720862849661E-2</v>
      </c>
      <c r="I85">
        <f t="shared" si="13"/>
        <v>7.678786547706648E-2</v>
      </c>
      <c r="K85">
        <f t="shared" si="14"/>
        <v>-8.9042736277311935E-2</v>
      </c>
      <c r="L85">
        <f t="shared" si="15"/>
        <v>7.6340491444599812E-2</v>
      </c>
      <c r="N85">
        <f t="shared" si="16"/>
        <v>-8.9227875462703457E-2</v>
      </c>
      <c r="O85">
        <f t="shared" si="17"/>
        <v>7.671810179268207E-2</v>
      </c>
      <c r="Q85">
        <f t="shared" si="18"/>
        <v>-7.3572978551746742</v>
      </c>
      <c r="R85">
        <f t="shared" si="19"/>
        <v>6.306255304433166</v>
      </c>
    </row>
    <row r="86" spans="1:18" x14ac:dyDescent="0.3">
      <c r="A86">
        <v>-7</v>
      </c>
      <c r="B86">
        <v>7</v>
      </c>
      <c r="E86">
        <f t="shared" si="10"/>
        <v>-7.2256608778747955E-2</v>
      </c>
      <c r="F86">
        <f t="shared" si="11"/>
        <v>7.2050455829307872E-2</v>
      </c>
      <c r="H86">
        <f t="shared" si="12"/>
        <v>-7.2360349363442558E-2</v>
      </c>
      <c r="I86">
        <f t="shared" si="13"/>
        <v>7.2360349363442558E-2</v>
      </c>
      <c r="K86">
        <f t="shared" si="14"/>
        <v>-7.1948040519509301E-2</v>
      </c>
      <c r="L86">
        <f t="shared" si="15"/>
        <v>7.1948040519509301E-2</v>
      </c>
      <c r="N86">
        <f t="shared" si="16"/>
        <v>-7.2050455829307872E-2</v>
      </c>
      <c r="O86">
        <f t="shared" si="17"/>
        <v>7.2256608778747955E-2</v>
      </c>
      <c r="Q86">
        <f t="shared" si="18"/>
        <v>-7.2886154544910076</v>
      </c>
      <c r="R86">
        <f t="shared" si="19"/>
        <v>7.2886154544910076</v>
      </c>
    </row>
    <row r="87" spans="1:18" x14ac:dyDescent="0.3">
      <c r="A87">
        <v>-7</v>
      </c>
      <c r="B87">
        <v>8</v>
      </c>
      <c r="E87">
        <f t="shared" si="10"/>
        <v>-5.8373335393657071E-2</v>
      </c>
      <c r="F87">
        <f t="shared" si="11"/>
        <v>6.6533944335994299E-2</v>
      </c>
      <c r="H87">
        <f t="shared" si="12"/>
        <v>-5.8423846368657217E-2</v>
      </c>
      <c r="I87">
        <f t="shared" si="13"/>
        <v>6.6782050427120335E-2</v>
      </c>
      <c r="K87">
        <f t="shared" si="14"/>
        <v>-5.8126209549018051E-2</v>
      </c>
      <c r="L87">
        <f t="shared" si="15"/>
        <v>6.6418108200803794E-2</v>
      </c>
      <c r="N87">
        <f t="shared" si="16"/>
        <v>-5.8175894350690434E-2</v>
      </c>
      <c r="O87">
        <f t="shared" si="17"/>
        <v>6.6665080650791186E-2</v>
      </c>
      <c r="Q87">
        <f t="shared" si="18"/>
        <v>-7.2330992856620231</v>
      </c>
      <c r="R87">
        <f t="shared" si="19"/>
        <v>8.266399183614709</v>
      </c>
    </row>
    <row r="88" spans="1:18" x14ac:dyDescent="0.3">
      <c r="A88">
        <v>-7</v>
      </c>
      <c r="B88">
        <v>9</v>
      </c>
      <c r="E88">
        <f t="shared" si="10"/>
        <v>-4.7315394062741337E-2</v>
      </c>
      <c r="F88">
        <f t="shared" si="11"/>
        <v>6.0679799233101947E-2</v>
      </c>
      <c r="H88">
        <f t="shared" si="12"/>
        <v>-4.7333287408785583E-2</v>
      </c>
      <c r="I88">
        <f t="shared" si="13"/>
        <v>6.0876431159511073E-2</v>
      </c>
      <c r="K88">
        <f t="shared" si="14"/>
        <v>-4.7119471562277422E-2</v>
      </c>
      <c r="L88">
        <f t="shared" si="15"/>
        <v>6.0562972721272409E-2</v>
      </c>
      <c r="N88">
        <f t="shared" si="16"/>
        <v>-4.7136869092503191E-2</v>
      </c>
      <c r="O88">
        <f t="shared" si="17"/>
        <v>6.0758682478319566E-2</v>
      </c>
      <c r="Q88">
        <f t="shared" si="18"/>
        <v>-7.1889050221263071</v>
      </c>
      <c r="R88">
        <f t="shared" si="19"/>
        <v>9.2428778855922058</v>
      </c>
    </row>
    <row r="89" spans="1:18" x14ac:dyDescent="0.3">
      <c r="A89">
        <v>-7</v>
      </c>
      <c r="B89">
        <v>10</v>
      </c>
      <c r="E89">
        <f t="shared" si="10"/>
        <v>-3.8565602350683285E-2</v>
      </c>
      <c r="F89">
        <f t="shared" si="11"/>
        <v>5.496010948406934E-2</v>
      </c>
      <c r="H89">
        <f t="shared" si="12"/>
        <v>-3.8564269272052781E-2</v>
      </c>
      <c r="I89">
        <f t="shared" si="13"/>
        <v>5.5115457800830797E-2</v>
      </c>
      <c r="K89">
        <f t="shared" si="14"/>
        <v>-3.8410762193170335E-2</v>
      </c>
      <c r="L89">
        <f t="shared" si="15"/>
        <v>5.4849034173129106E-2</v>
      </c>
      <c r="N89">
        <f t="shared" si="16"/>
        <v>-3.8409143815026761E-2</v>
      </c>
      <c r="O89">
        <f t="shared" si="17"/>
        <v>5.5003652301633461E-2</v>
      </c>
      <c r="Q89">
        <f t="shared" si="18"/>
        <v>-7.1539497776309329</v>
      </c>
      <c r="R89">
        <f t="shared" si="19"/>
        <v>10.219928253759663</v>
      </c>
    </row>
    <row r="90" spans="1:18" x14ac:dyDescent="0.3">
      <c r="A90">
        <v>-6</v>
      </c>
      <c r="B90">
        <v>-10</v>
      </c>
      <c r="E90">
        <f t="shared" si="10"/>
        <v>-3.7760188193359114E-2</v>
      </c>
      <c r="F90">
        <f t="shared" si="11"/>
        <v>-6.2891761034197122E-2</v>
      </c>
      <c r="H90">
        <f t="shared" si="12"/>
        <v>-3.7734136318049075E-2</v>
      </c>
      <c r="I90">
        <f t="shared" si="13"/>
        <v>-6.3058214448025243E-2</v>
      </c>
      <c r="K90">
        <f t="shared" si="14"/>
        <v>-3.7926997640641107E-2</v>
      </c>
      <c r="L90">
        <f t="shared" si="15"/>
        <v>-6.3043378773711259E-2</v>
      </c>
      <c r="N90">
        <f t="shared" si="16"/>
        <v>-3.7901125755359116E-2</v>
      </c>
      <c r="O90">
        <f t="shared" si="17"/>
        <v>-6.3210725591992908E-2</v>
      </c>
      <c r="Q90">
        <f t="shared" si="18"/>
        <v>-6.1513224479074085</v>
      </c>
      <c r="R90">
        <f t="shared" si="19"/>
        <v>-10.252204079847926</v>
      </c>
    </row>
    <row r="91" spans="1:18" x14ac:dyDescent="0.3">
      <c r="A91">
        <v>-6</v>
      </c>
      <c r="B91">
        <v>-9</v>
      </c>
      <c r="E91">
        <f t="shared" si="10"/>
        <v>-4.7307101871004342E-2</v>
      </c>
      <c r="F91">
        <f t="shared" si="11"/>
        <v>-7.0921295816597188E-2</v>
      </c>
      <c r="H91">
        <f t="shared" si="12"/>
        <v>-4.7294749519611795E-2</v>
      </c>
      <c r="I91">
        <f t="shared" si="13"/>
        <v>-7.1139514719816735E-2</v>
      </c>
      <c r="K91">
        <f t="shared" si="14"/>
        <v>-4.7525722034348683E-2</v>
      </c>
      <c r="L91">
        <f t="shared" si="15"/>
        <v>-7.1090888700298616E-2</v>
      </c>
      <c r="N91">
        <f t="shared" si="16"/>
        <v>-4.7513762431380786E-2</v>
      </c>
      <c r="O91">
        <f t="shared" si="17"/>
        <v>-7.1310304550603221E-2</v>
      </c>
      <c r="Q91">
        <f t="shared" si="18"/>
        <v>-6.1896413358563453</v>
      </c>
      <c r="R91">
        <f t="shared" si="19"/>
        <v>-9.2844620037873149</v>
      </c>
    </row>
    <row r="92" spans="1:18" x14ac:dyDescent="0.3">
      <c r="A92">
        <v>-6</v>
      </c>
      <c r="B92">
        <v>-8</v>
      </c>
      <c r="E92">
        <f t="shared" si="10"/>
        <v>-5.9848281549448969E-2</v>
      </c>
      <c r="F92">
        <f t="shared" si="11"/>
        <v>-7.97645150101641E-2</v>
      </c>
      <c r="H92">
        <f t="shared" si="12"/>
        <v>-5.9863898441640681E-2</v>
      </c>
      <c r="I92">
        <f t="shared" si="13"/>
        <v>-8.0051723959522841E-2</v>
      </c>
      <c r="K92">
        <f t="shared" si="14"/>
        <v>-6.0135897558442876E-2</v>
      </c>
      <c r="L92">
        <f t="shared" si="15"/>
        <v>-7.994772404192324E-2</v>
      </c>
      <c r="N92">
        <f t="shared" si="16"/>
        <v>-6.0152282451850649E-2</v>
      </c>
      <c r="O92">
        <f t="shared" si="17"/>
        <v>-8.0236516993370061E-2</v>
      </c>
      <c r="Q92">
        <f t="shared" si="18"/>
        <v>-6.2400003600013836</v>
      </c>
      <c r="R92">
        <f t="shared" si="19"/>
        <v>-8.32000048000498</v>
      </c>
    </row>
    <row r="93" spans="1:18" x14ac:dyDescent="0.3">
      <c r="A93">
        <v>-6</v>
      </c>
      <c r="B93">
        <v>-7</v>
      </c>
      <c r="E93">
        <f t="shared" si="10"/>
        <v>-7.6340491444599812E-2</v>
      </c>
      <c r="F93">
        <f t="shared" si="11"/>
        <v>-8.9042736277311935E-2</v>
      </c>
      <c r="H93">
        <f t="shared" si="12"/>
        <v>-7.6408845718817786E-2</v>
      </c>
      <c r="I93">
        <f t="shared" si="13"/>
        <v>-8.9420034806162368E-2</v>
      </c>
      <c r="K93">
        <f t="shared" si="14"/>
        <v>-7.671810179268207E-2</v>
      </c>
      <c r="L93">
        <f t="shared" si="15"/>
        <v>-8.9227875462703457E-2</v>
      </c>
      <c r="N93">
        <f t="shared" si="16"/>
        <v>-7.678786547706648E-2</v>
      </c>
      <c r="O93">
        <f t="shared" si="17"/>
        <v>-8.960720862849661E-2</v>
      </c>
      <c r="Q93">
        <f t="shared" si="18"/>
        <v>-6.306255304433166</v>
      </c>
      <c r="R93">
        <f t="shared" si="19"/>
        <v>-7.3572978551746742</v>
      </c>
    </row>
    <row r="94" spans="1:18" x14ac:dyDescent="0.3">
      <c r="A94">
        <v>-6</v>
      </c>
      <c r="B94">
        <v>-6</v>
      </c>
      <c r="E94">
        <f t="shared" si="10"/>
        <v>-9.7882727509966447E-2</v>
      </c>
      <c r="F94">
        <f t="shared" si="11"/>
        <v>-9.7882727509966447E-2</v>
      </c>
      <c r="H94">
        <f t="shared" si="12"/>
        <v>-9.8045184517637649E-2</v>
      </c>
      <c r="I94">
        <f t="shared" si="13"/>
        <v>-9.8372547404173991E-2</v>
      </c>
      <c r="K94">
        <f t="shared" si="14"/>
        <v>-9.8372547404173991E-2</v>
      </c>
      <c r="L94">
        <f t="shared" si="15"/>
        <v>-9.8045184517637649E-2</v>
      </c>
      <c r="N94">
        <f t="shared" si="16"/>
        <v>-9.8537459648460751E-2</v>
      </c>
      <c r="O94">
        <f t="shared" si="17"/>
        <v>-9.8537459648460751E-2</v>
      </c>
      <c r="Q94">
        <f t="shared" si="18"/>
        <v>-6.3928379190802387</v>
      </c>
      <c r="R94">
        <f t="shared" si="19"/>
        <v>-6.3928379190802387</v>
      </c>
    </row>
    <row r="95" spans="1:18" x14ac:dyDescent="0.3">
      <c r="A95">
        <v>-6</v>
      </c>
      <c r="B95">
        <v>-5</v>
      </c>
      <c r="E95">
        <f t="shared" si="10"/>
        <v>-0.1254678210723249</v>
      </c>
      <c r="F95">
        <f t="shared" si="11"/>
        <v>-0.10459131174248715</v>
      </c>
      <c r="H95">
        <f t="shared" si="12"/>
        <v>-0.12578925812734471</v>
      </c>
      <c r="I95">
        <f t="shared" si="13"/>
        <v>-0.10520937950216977</v>
      </c>
      <c r="K95">
        <f t="shared" si="14"/>
        <v>-0.12608517683359033</v>
      </c>
      <c r="L95">
        <f t="shared" si="15"/>
        <v>-0.10468636146416237</v>
      </c>
      <c r="N95">
        <f t="shared" si="16"/>
        <v>-0.12641064147385839</v>
      </c>
      <c r="O95">
        <f t="shared" si="17"/>
        <v>-0.10530702853999223</v>
      </c>
      <c r="Q95">
        <f t="shared" si="18"/>
        <v>-6.5037528975071179</v>
      </c>
      <c r="R95">
        <f t="shared" si="19"/>
        <v>-5.4197940812488117</v>
      </c>
    </row>
    <row r="96" spans="1:18" x14ac:dyDescent="0.3">
      <c r="A96">
        <v>-6</v>
      </c>
      <c r="B96">
        <v>-4</v>
      </c>
      <c r="E96">
        <f t="shared" si="10"/>
        <v>-0.15935519333484977</v>
      </c>
      <c r="F96">
        <f t="shared" si="11"/>
        <v>-0.1063251789139347</v>
      </c>
      <c r="H96">
        <f t="shared" si="12"/>
        <v>-0.15992656205952094</v>
      </c>
      <c r="I96">
        <f t="shared" si="13"/>
        <v>-0.10706269012665758</v>
      </c>
      <c r="K96">
        <f t="shared" si="14"/>
        <v>-0.16009067529011761</v>
      </c>
      <c r="L96">
        <f t="shared" si="15"/>
        <v>-0.10628316046714964</v>
      </c>
      <c r="N96">
        <f t="shared" si="16"/>
        <v>-0.1606681035678362</v>
      </c>
      <c r="O96">
        <f t="shared" si="17"/>
        <v>-0.10702265997256534</v>
      </c>
      <c r="Q96">
        <f t="shared" si="18"/>
        <v>-6.640040534252325</v>
      </c>
      <c r="R96">
        <f t="shared" si="19"/>
        <v>-4.4266936894803068</v>
      </c>
    </row>
    <row r="97" spans="1:18" x14ac:dyDescent="0.3">
      <c r="A97">
        <v>-6</v>
      </c>
      <c r="B97">
        <v>-3</v>
      </c>
      <c r="E97">
        <f t="shared" si="10"/>
        <v>-0.19790294106589029</v>
      </c>
      <c r="F97">
        <f t="shared" si="11"/>
        <v>-9.9116115242650543E-2</v>
      </c>
      <c r="H97">
        <f t="shared" si="12"/>
        <v>-0.1988265245108472</v>
      </c>
      <c r="I97">
        <f t="shared" si="13"/>
        <v>-9.9911158393597668E-2</v>
      </c>
      <c r="K97">
        <f t="shared" si="14"/>
        <v>-0.19869402134296577</v>
      </c>
      <c r="L97">
        <f t="shared" si="15"/>
        <v>-9.8851102132357357E-2</v>
      </c>
      <c r="N97">
        <f t="shared" si="16"/>
        <v>-0.199625555274418</v>
      </c>
      <c r="O97">
        <f t="shared" si="17"/>
        <v>-9.9646145287230356E-2</v>
      </c>
      <c r="Q97">
        <f t="shared" si="18"/>
        <v>-6.7950490421941208</v>
      </c>
      <c r="R97">
        <f t="shared" si="19"/>
        <v>-3.397524521055836</v>
      </c>
    </row>
    <row r="98" spans="1:18" x14ac:dyDescent="0.3">
      <c r="A98">
        <v>-6</v>
      </c>
      <c r="B98">
        <v>-2</v>
      </c>
      <c r="E98">
        <f t="shared" si="10"/>
        <v>-0.2361460423965033</v>
      </c>
      <c r="F98">
        <f t="shared" si="11"/>
        <v>-7.8977295377199927E-2</v>
      </c>
      <c r="H98">
        <f t="shared" si="12"/>
        <v>-0.23748586167836205</v>
      </c>
      <c r="I98">
        <f t="shared" si="13"/>
        <v>-7.9690581297747531E-2</v>
      </c>
      <c r="K98">
        <f t="shared" si="14"/>
        <v>-0.23685341563311588</v>
      </c>
      <c r="L98">
        <f t="shared" si="15"/>
        <v>-7.8425673395990117E-2</v>
      </c>
      <c r="N98">
        <f t="shared" si="16"/>
        <v>-0.23820153592002005</v>
      </c>
      <c r="O98">
        <f t="shared" si="17"/>
        <v>-7.9135401749722847E-2</v>
      </c>
      <c r="Q98">
        <f t="shared" si="18"/>
        <v>-6.9486868556280008</v>
      </c>
      <c r="R98">
        <f t="shared" si="19"/>
        <v>-2.3162289518206602</v>
      </c>
    </row>
    <row r="99" spans="1:18" x14ac:dyDescent="0.3">
      <c r="A99">
        <v>-6</v>
      </c>
      <c r="B99">
        <v>-1</v>
      </c>
      <c r="E99">
        <f t="shared" si="10"/>
        <v>-0.2655266491559844</v>
      </c>
      <c r="F99">
        <f t="shared" si="11"/>
        <v>-4.4622614916396713E-2</v>
      </c>
      <c r="H99">
        <f t="shared" si="12"/>
        <v>-0.26722909587301741</v>
      </c>
      <c r="I99">
        <f t="shared" si="13"/>
        <v>-4.5058662242361866E-2</v>
      </c>
      <c r="K99">
        <f t="shared" si="14"/>
        <v>-0.26595618571876306</v>
      </c>
      <c r="L99">
        <f t="shared" si="15"/>
        <v>-4.3809754386285434E-2</v>
      </c>
      <c r="N99">
        <f t="shared" si="16"/>
        <v>-0.26766420189105994</v>
      </c>
      <c r="O99">
        <f t="shared" si="17"/>
        <v>-4.4238323851777846E-2</v>
      </c>
      <c r="Q99">
        <f t="shared" si="18"/>
        <v>-7.0663761326388244</v>
      </c>
      <c r="R99">
        <f t="shared" si="19"/>
        <v>-1.1777293553968218</v>
      </c>
    </row>
    <row r="100" spans="1:18" x14ac:dyDescent="0.3">
      <c r="A100">
        <v>-6</v>
      </c>
      <c r="B100">
        <v>0</v>
      </c>
      <c r="E100">
        <f t="shared" si="10"/>
        <v>-0.27685301181390637</v>
      </c>
      <c r="F100">
        <f t="shared" si="11"/>
        <v>-4.606539298068326E-4</v>
      </c>
      <c r="H100">
        <f t="shared" si="12"/>
        <v>-0.27870485852163429</v>
      </c>
      <c r="I100">
        <f t="shared" si="13"/>
        <v>-4.652835701529788E-4</v>
      </c>
      <c r="K100">
        <f t="shared" si="14"/>
        <v>-0.27685301181390637</v>
      </c>
      <c r="L100">
        <f t="shared" si="15"/>
        <v>4.606539298068326E-4</v>
      </c>
      <c r="N100">
        <f t="shared" si="16"/>
        <v>-0.27870485852163429</v>
      </c>
      <c r="O100">
        <f t="shared" si="17"/>
        <v>4.652835701529788E-4</v>
      </c>
      <c r="Q100">
        <f t="shared" si="18"/>
        <v>-7.1111157406710817</v>
      </c>
      <c r="R100">
        <f t="shared" si="19"/>
        <v>0</v>
      </c>
    </row>
    <row r="101" spans="1:18" x14ac:dyDescent="0.3">
      <c r="A101">
        <v>-6</v>
      </c>
      <c r="B101">
        <v>1</v>
      </c>
      <c r="E101">
        <f t="shared" si="10"/>
        <v>-0.26595618571876306</v>
      </c>
      <c r="F101">
        <f t="shared" si="11"/>
        <v>4.3809754386285434E-2</v>
      </c>
      <c r="H101">
        <f t="shared" si="12"/>
        <v>-0.26766420189105994</v>
      </c>
      <c r="I101">
        <f t="shared" si="13"/>
        <v>4.4238323851777846E-2</v>
      </c>
      <c r="K101">
        <f t="shared" si="14"/>
        <v>-0.2655266491559844</v>
      </c>
      <c r="L101">
        <f t="shared" si="15"/>
        <v>4.4622614916396713E-2</v>
      </c>
      <c r="N101">
        <f t="shared" si="16"/>
        <v>-0.26722909587301741</v>
      </c>
      <c r="O101">
        <f t="shared" si="17"/>
        <v>4.5058662242361866E-2</v>
      </c>
      <c r="Q101">
        <f t="shared" si="18"/>
        <v>-7.0663761326388244</v>
      </c>
      <c r="R101">
        <f t="shared" si="19"/>
        <v>1.177729355396822</v>
      </c>
    </row>
    <row r="102" spans="1:18" x14ac:dyDescent="0.3">
      <c r="A102">
        <v>-6</v>
      </c>
      <c r="B102">
        <v>2</v>
      </c>
      <c r="E102">
        <f t="shared" si="10"/>
        <v>-0.23685341563311588</v>
      </c>
      <c r="F102">
        <f t="shared" si="11"/>
        <v>7.8425673395990117E-2</v>
      </c>
      <c r="H102">
        <f t="shared" si="12"/>
        <v>-0.23820153592002005</v>
      </c>
      <c r="I102">
        <f t="shared" si="13"/>
        <v>7.9135401749722847E-2</v>
      </c>
      <c r="K102">
        <f t="shared" si="14"/>
        <v>-0.2361460423965033</v>
      </c>
      <c r="L102">
        <f t="shared" si="15"/>
        <v>7.8977295377199927E-2</v>
      </c>
      <c r="N102">
        <f t="shared" si="16"/>
        <v>-0.23748586167836205</v>
      </c>
      <c r="O102">
        <f t="shared" si="17"/>
        <v>7.9690581297747531E-2</v>
      </c>
      <c r="Q102">
        <f t="shared" si="18"/>
        <v>-6.9486868556280008</v>
      </c>
      <c r="R102">
        <f t="shared" si="19"/>
        <v>2.3162289518206602</v>
      </c>
    </row>
    <row r="103" spans="1:18" x14ac:dyDescent="0.3">
      <c r="A103">
        <v>-6</v>
      </c>
      <c r="B103">
        <v>3</v>
      </c>
      <c r="E103">
        <f t="shared" si="10"/>
        <v>-0.19869402134296577</v>
      </c>
      <c r="F103">
        <f t="shared" si="11"/>
        <v>9.8851102132357357E-2</v>
      </c>
      <c r="H103">
        <f t="shared" si="12"/>
        <v>-0.199625555274418</v>
      </c>
      <c r="I103">
        <f t="shared" si="13"/>
        <v>9.9646145287230356E-2</v>
      </c>
      <c r="K103">
        <f t="shared" si="14"/>
        <v>-0.19790294106589029</v>
      </c>
      <c r="L103">
        <f t="shared" si="15"/>
        <v>9.9116115242650543E-2</v>
      </c>
      <c r="N103">
        <f t="shared" si="16"/>
        <v>-0.1988265245108472</v>
      </c>
      <c r="O103">
        <f t="shared" si="17"/>
        <v>9.9911158393597668E-2</v>
      </c>
      <c r="Q103">
        <f t="shared" si="18"/>
        <v>-6.7950490421941208</v>
      </c>
      <c r="R103">
        <f t="shared" si="19"/>
        <v>3.397524521055836</v>
      </c>
    </row>
    <row r="104" spans="1:18" x14ac:dyDescent="0.3">
      <c r="A104">
        <v>-6</v>
      </c>
      <c r="B104">
        <v>4</v>
      </c>
      <c r="E104">
        <f t="shared" si="10"/>
        <v>-0.16009067529011761</v>
      </c>
      <c r="F104">
        <f t="shared" si="11"/>
        <v>0.10628316046714964</v>
      </c>
      <c r="H104">
        <f t="shared" si="12"/>
        <v>-0.1606681035678362</v>
      </c>
      <c r="I104">
        <f t="shared" si="13"/>
        <v>0.10702265997256534</v>
      </c>
      <c r="K104">
        <f t="shared" si="14"/>
        <v>-0.15935519333484977</v>
      </c>
      <c r="L104">
        <f t="shared" si="15"/>
        <v>0.1063251789139347</v>
      </c>
      <c r="N104">
        <f t="shared" si="16"/>
        <v>-0.15992656205952094</v>
      </c>
      <c r="O104">
        <f t="shared" si="17"/>
        <v>0.10706269012665758</v>
      </c>
      <c r="Q104">
        <f t="shared" si="18"/>
        <v>-6.640040534252325</v>
      </c>
      <c r="R104">
        <f t="shared" si="19"/>
        <v>4.4266936894803077</v>
      </c>
    </row>
    <row r="105" spans="1:18" x14ac:dyDescent="0.3">
      <c r="A105">
        <v>-6</v>
      </c>
      <c r="B105">
        <v>5</v>
      </c>
      <c r="E105">
        <f t="shared" si="10"/>
        <v>-0.12608517683359033</v>
      </c>
      <c r="F105">
        <f t="shared" si="11"/>
        <v>0.10468636146416237</v>
      </c>
      <c r="H105">
        <f t="shared" si="12"/>
        <v>-0.12641064147385839</v>
      </c>
      <c r="I105">
        <f t="shared" si="13"/>
        <v>0.10530702853999223</v>
      </c>
      <c r="K105">
        <f t="shared" si="14"/>
        <v>-0.1254678210723249</v>
      </c>
      <c r="L105">
        <f t="shared" si="15"/>
        <v>0.10459131174248715</v>
      </c>
      <c r="N105">
        <f t="shared" si="16"/>
        <v>-0.12578925812734471</v>
      </c>
      <c r="O105">
        <f t="shared" si="17"/>
        <v>0.10520937950216977</v>
      </c>
      <c r="Q105">
        <f t="shared" si="18"/>
        <v>-6.5037528975071179</v>
      </c>
      <c r="R105">
        <f t="shared" si="19"/>
        <v>5.4197940812488117</v>
      </c>
    </row>
    <row r="106" spans="1:18" x14ac:dyDescent="0.3">
      <c r="A106">
        <v>-6</v>
      </c>
      <c r="B106">
        <v>6</v>
      </c>
      <c r="E106">
        <f t="shared" si="10"/>
        <v>-9.8372547404173991E-2</v>
      </c>
      <c r="F106">
        <f t="shared" si="11"/>
        <v>9.8045184517637649E-2</v>
      </c>
      <c r="H106">
        <f t="shared" si="12"/>
        <v>-9.8537459648460751E-2</v>
      </c>
      <c r="I106">
        <f t="shared" si="13"/>
        <v>9.8537459648460751E-2</v>
      </c>
      <c r="K106">
        <f t="shared" si="14"/>
        <v>-9.7882727509966447E-2</v>
      </c>
      <c r="L106">
        <f t="shared" si="15"/>
        <v>9.7882727509966447E-2</v>
      </c>
      <c r="N106">
        <f t="shared" si="16"/>
        <v>-9.8045184517637649E-2</v>
      </c>
      <c r="O106">
        <f t="shared" si="17"/>
        <v>9.8372547404173991E-2</v>
      </c>
      <c r="Q106">
        <f t="shared" si="18"/>
        <v>-6.3928379190802387</v>
      </c>
      <c r="R106">
        <f t="shared" si="19"/>
        <v>6.3928379190802387</v>
      </c>
    </row>
    <row r="107" spans="1:18" x14ac:dyDescent="0.3">
      <c r="A107">
        <v>-6</v>
      </c>
      <c r="B107">
        <v>7</v>
      </c>
      <c r="E107">
        <f t="shared" si="10"/>
        <v>-7.671810179268207E-2</v>
      </c>
      <c r="F107">
        <f t="shared" si="11"/>
        <v>8.9227875462703457E-2</v>
      </c>
      <c r="H107">
        <f t="shared" si="12"/>
        <v>-7.678786547706648E-2</v>
      </c>
      <c r="I107">
        <f t="shared" si="13"/>
        <v>8.960720862849661E-2</v>
      </c>
      <c r="K107">
        <f t="shared" si="14"/>
        <v>-7.6340491444599812E-2</v>
      </c>
      <c r="L107">
        <f t="shared" si="15"/>
        <v>8.9042736277311935E-2</v>
      </c>
      <c r="N107">
        <f t="shared" si="16"/>
        <v>-7.6408845718817786E-2</v>
      </c>
      <c r="O107">
        <f t="shared" si="17"/>
        <v>8.9420034806162368E-2</v>
      </c>
      <c r="Q107">
        <f t="shared" si="18"/>
        <v>-6.306255304433166</v>
      </c>
      <c r="R107">
        <f t="shared" si="19"/>
        <v>7.3572978551746742</v>
      </c>
    </row>
    <row r="108" spans="1:18" x14ac:dyDescent="0.3">
      <c r="A108">
        <v>-6</v>
      </c>
      <c r="B108">
        <v>8</v>
      </c>
      <c r="E108">
        <f t="shared" si="10"/>
        <v>-6.0135897558442876E-2</v>
      </c>
      <c r="F108">
        <f t="shared" si="11"/>
        <v>7.994772404192324E-2</v>
      </c>
      <c r="H108">
        <f t="shared" si="12"/>
        <v>-6.0152282451850649E-2</v>
      </c>
      <c r="I108">
        <f t="shared" si="13"/>
        <v>8.0236516993370061E-2</v>
      </c>
      <c r="K108">
        <f t="shared" si="14"/>
        <v>-5.9848281549448969E-2</v>
      </c>
      <c r="L108">
        <f t="shared" si="15"/>
        <v>7.97645150101641E-2</v>
      </c>
      <c r="N108">
        <f t="shared" si="16"/>
        <v>-5.9863898441640681E-2</v>
      </c>
      <c r="O108">
        <f t="shared" si="17"/>
        <v>8.0051723959522841E-2</v>
      </c>
      <c r="Q108">
        <f t="shared" si="18"/>
        <v>-6.2400003600013836</v>
      </c>
      <c r="R108">
        <f t="shared" si="19"/>
        <v>8.32000048000498</v>
      </c>
    </row>
    <row r="109" spans="1:18" x14ac:dyDescent="0.3">
      <c r="A109">
        <v>-6</v>
      </c>
      <c r="B109">
        <v>9</v>
      </c>
      <c r="E109">
        <f t="shared" si="10"/>
        <v>-4.7525722034348683E-2</v>
      </c>
      <c r="F109">
        <f t="shared" si="11"/>
        <v>7.1090888700298616E-2</v>
      </c>
      <c r="H109">
        <f t="shared" si="12"/>
        <v>-4.7513762431380786E-2</v>
      </c>
      <c r="I109">
        <f t="shared" si="13"/>
        <v>7.1310304550603221E-2</v>
      </c>
      <c r="K109">
        <f t="shared" si="14"/>
        <v>-4.7307101871004342E-2</v>
      </c>
      <c r="L109">
        <f t="shared" si="15"/>
        <v>7.0921295816597188E-2</v>
      </c>
      <c r="N109">
        <f t="shared" si="16"/>
        <v>-4.7294749519611795E-2</v>
      </c>
      <c r="O109">
        <f t="shared" si="17"/>
        <v>7.1139514719816735E-2</v>
      </c>
      <c r="Q109">
        <f t="shared" si="18"/>
        <v>-6.1896413358563453</v>
      </c>
      <c r="R109">
        <f t="shared" si="19"/>
        <v>9.2844620037873149</v>
      </c>
    </row>
    <row r="110" spans="1:18" x14ac:dyDescent="0.3">
      <c r="A110">
        <v>-6</v>
      </c>
      <c r="B110">
        <v>10</v>
      </c>
      <c r="E110">
        <f t="shared" si="10"/>
        <v>-3.7926997640641107E-2</v>
      </c>
      <c r="F110">
        <f t="shared" si="11"/>
        <v>6.3043378773711259E-2</v>
      </c>
      <c r="H110">
        <f t="shared" si="12"/>
        <v>-3.7901125755359116E-2</v>
      </c>
      <c r="I110">
        <f t="shared" si="13"/>
        <v>6.3210725591992908E-2</v>
      </c>
      <c r="K110">
        <f t="shared" si="14"/>
        <v>-3.7760188193359114E-2</v>
      </c>
      <c r="L110">
        <f t="shared" si="15"/>
        <v>6.2891761034197122E-2</v>
      </c>
      <c r="N110">
        <f t="shared" si="16"/>
        <v>-3.7734136318049075E-2</v>
      </c>
      <c r="O110">
        <f t="shared" si="17"/>
        <v>6.3058214448025243E-2</v>
      </c>
      <c r="Q110">
        <f t="shared" si="18"/>
        <v>-6.1513224479074085</v>
      </c>
      <c r="R110">
        <f t="shared" si="19"/>
        <v>10.252204079847926</v>
      </c>
    </row>
    <row r="111" spans="1:18" x14ac:dyDescent="0.3">
      <c r="A111">
        <v>-5</v>
      </c>
      <c r="B111">
        <v>-10</v>
      </c>
      <c r="E111">
        <f t="shared" si="10"/>
        <v>-3.5719887266419927E-2</v>
      </c>
      <c r="F111">
        <f t="shared" si="11"/>
        <v>-7.1368477352667367E-2</v>
      </c>
      <c r="H111">
        <f t="shared" si="12"/>
        <v>-3.5662644109282389E-2</v>
      </c>
      <c r="I111">
        <f t="shared" si="13"/>
        <v>-7.1539692892568479E-2</v>
      </c>
      <c r="K111">
        <f t="shared" si="14"/>
        <v>-3.5891617035129303E-2</v>
      </c>
      <c r="L111">
        <f t="shared" si="15"/>
        <v>-7.1568314207772807E-2</v>
      </c>
      <c r="N111">
        <f t="shared" si="16"/>
        <v>-3.5834373878174924E-2</v>
      </c>
      <c r="O111">
        <f t="shared" si="17"/>
        <v>-7.1740560128851188E-2</v>
      </c>
      <c r="Q111">
        <f t="shared" si="18"/>
        <v>-5.1431085222890065</v>
      </c>
      <c r="R111">
        <f t="shared" si="19"/>
        <v>-10.286217044581861</v>
      </c>
    </row>
    <row r="112" spans="1:18" x14ac:dyDescent="0.3">
      <c r="A112">
        <v>-5</v>
      </c>
      <c r="B112">
        <v>-9</v>
      </c>
      <c r="E112">
        <f t="shared" si="10"/>
        <v>-4.5725575623250247E-2</v>
      </c>
      <c r="F112">
        <f t="shared" si="11"/>
        <v>-8.2233021230635667E-2</v>
      </c>
      <c r="H112">
        <f t="shared" si="12"/>
        <v>-4.5671897026640595E-2</v>
      </c>
      <c r="I112">
        <f t="shared" si="13"/>
        <v>-8.2465689821649646E-2</v>
      </c>
      <c r="K112">
        <f t="shared" si="14"/>
        <v>-4.5958890699192165E-2</v>
      </c>
      <c r="L112">
        <f t="shared" si="15"/>
        <v>-8.2469147182781949E-2</v>
      </c>
      <c r="N112">
        <f t="shared" si="16"/>
        <v>-4.5905379445781991E-2</v>
      </c>
      <c r="O112">
        <f t="shared" si="17"/>
        <v>-8.2703278801118246E-2</v>
      </c>
      <c r="Q112">
        <f t="shared" si="18"/>
        <v>-5.1832617427948646</v>
      </c>
      <c r="R112">
        <f t="shared" si="19"/>
        <v>-9.3298711370361858</v>
      </c>
    </row>
    <row r="113" spans="1:18" x14ac:dyDescent="0.3">
      <c r="A113">
        <v>-5</v>
      </c>
      <c r="B113">
        <v>-8</v>
      </c>
      <c r="E113">
        <f t="shared" si="10"/>
        <v>-5.9408822204826302E-2</v>
      </c>
      <c r="F113">
        <f t="shared" si="11"/>
        <v>-9.4982967237656424E-2</v>
      </c>
      <c r="H113">
        <f t="shared" si="12"/>
        <v>-5.9371093314842659E-2</v>
      </c>
      <c r="I113">
        <f t="shared" si="13"/>
        <v>-9.5303097685749433E-2</v>
      </c>
      <c r="K113">
        <f t="shared" si="14"/>
        <v>-5.9729732986484887E-2</v>
      </c>
      <c r="L113">
        <f t="shared" si="15"/>
        <v>-9.5257598116170517E-2</v>
      </c>
      <c r="N113">
        <f t="shared" si="16"/>
        <v>-5.9692523745005922E-2</v>
      </c>
      <c r="O113">
        <f t="shared" si="17"/>
        <v>-9.5579812569658779E-2</v>
      </c>
      <c r="Q113">
        <f t="shared" si="18"/>
        <v>-5.2382021722511594</v>
      </c>
      <c r="R113">
        <f t="shared" si="19"/>
        <v>-8.3811234756092343</v>
      </c>
    </row>
    <row r="114" spans="1:18" x14ac:dyDescent="0.3">
      <c r="A114">
        <v>-5</v>
      </c>
      <c r="B114">
        <v>-7</v>
      </c>
      <c r="E114">
        <f t="shared" si="10"/>
        <v>-7.8321144670120066E-2</v>
      </c>
      <c r="F114">
        <f t="shared" si="11"/>
        <v>-0.10958707068613606</v>
      </c>
      <c r="H114">
        <f t="shared" si="12"/>
        <v>-7.8324777673630067E-2</v>
      </c>
      <c r="I114">
        <f t="shared" si="13"/>
        <v>-0.11003140110063062</v>
      </c>
      <c r="K114">
        <f t="shared" si="14"/>
        <v>-7.8766329981528729E-2</v>
      </c>
      <c r="L114">
        <f t="shared" si="15"/>
        <v>-0.10989553823770178</v>
      </c>
      <c r="N114">
        <f t="shared" si="16"/>
        <v>-7.8771191949747285E-2</v>
      </c>
      <c r="O114">
        <f t="shared" si="17"/>
        <v>-0.11034281196968607</v>
      </c>
      <c r="Q114">
        <f t="shared" si="18"/>
        <v>-5.3141834442750264</v>
      </c>
      <c r="R114">
        <f t="shared" si="19"/>
        <v>-7.4398568219941543</v>
      </c>
    </row>
    <row r="115" spans="1:18" x14ac:dyDescent="0.3">
      <c r="A115">
        <v>-5</v>
      </c>
      <c r="B115">
        <v>-6</v>
      </c>
      <c r="E115">
        <f t="shared" si="10"/>
        <v>-0.10459131174248715</v>
      </c>
      <c r="F115">
        <f t="shared" si="11"/>
        <v>-0.1254678210723249</v>
      </c>
      <c r="H115">
        <f t="shared" si="12"/>
        <v>-0.10468636146416237</v>
      </c>
      <c r="I115">
        <f t="shared" si="13"/>
        <v>-0.12608517683359033</v>
      </c>
      <c r="K115">
        <f t="shared" si="14"/>
        <v>-0.10520937950216977</v>
      </c>
      <c r="L115">
        <f t="shared" si="15"/>
        <v>-0.12578925812734471</v>
      </c>
      <c r="N115">
        <f t="shared" si="16"/>
        <v>-0.10530702853999223</v>
      </c>
      <c r="O115">
        <f t="shared" si="17"/>
        <v>-0.12641064147385839</v>
      </c>
      <c r="Q115">
        <f t="shared" si="18"/>
        <v>-5.4197940812488117</v>
      </c>
      <c r="R115">
        <f t="shared" si="19"/>
        <v>-6.5037528975071179</v>
      </c>
    </row>
    <row r="116" spans="1:18" x14ac:dyDescent="0.3">
      <c r="A116">
        <v>-5</v>
      </c>
      <c r="B116">
        <v>-5</v>
      </c>
      <c r="E116">
        <f t="shared" si="10"/>
        <v>-0.14085736335443835</v>
      </c>
      <c r="F116">
        <f t="shared" si="11"/>
        <v>-0.14085736335443835</v>
      </c>
      <c r="H116">
        <f t="shared" si="12"/>
        <v>-0.14113766669798783</v>
      </c>
      <c r="I116">
        <f t="shared" si="13"/>
        <v>-0.14170334872884149</v>
      </c>
      <c r="K116">
        <f t="shared" si="14"/>
        <v>-0.14170334872884149</v>
      </c>
      <c r="L116">
        <f t="shared" si="15"/>
        <v>-0.14113766669798783</v>
      </c>
      <c r="N116">
        <f t="shared" si="16"/>
        <v>-0.1419887432553579</v>
      </c>
      <c r="O116">
        <f t="shared" si="17"/>
        <v>-0.1419887432553579</v>
      </c>
      <c r="Q116">
        <f t="shared" si="18"/>
        <v>-5.5656871220366257</v>
      </c>
      <c r="R116">
        <f t="shared" si="19"/>
        <v>-5.5656871220366257</v>
      </c>
    </row>
    <row r="117" spans="1:18" x14ac:dyDescent="0.3">
      <c r="A117">
        <v>-5</v>
      </c>
      <c r="B117">
        <v>-4</v>
      </c>
      <c r="E117">
        <f t="shared" si="10"/>
        <v>-0.18958546957118064</v>
      </c>
      <c r="F117">
        <f t="shared" si="11"/>
        <v>-0.15174405847912861</v>
      </c>
      <c r="H117">
        <f t="shared" si="12"/>
        <v>-0.19021266713045668</v>
      </c>
      <c r="I117">
        <f t="shared" si="13"/>
        <v>-0.15285627158178983</v>
      </c>
      <c r="K117">
        <f t="shared" si="14"/>
        <v>-0.19069577261163131</v>
      </c>
      <c r="L117">
        <f t="shared" si="15"/>
        <v>-0.15187148357692792</v>
      </c>
      <c r="N117">
        <f t="shared" si="16"/>
        <v>-0.19133210664091865</v>
      </c>
      <c r="O117">
        <f t="shared" si="17"/>
        <v>-0.15298899909764838</v>
      </c>
      <c r="Q117">
        <f t="shared" si="18"/>
        <v>-5.7618260159541874</v>
      </c>
      <c r="R117">
        <f t="shared" si="19"/>
        <v>-4.6094608127354952</v>
      </c>
    </row>
    <row r="118" spans="1:18" x14ac:dyDescent="0.3">
      <c r="A118">
        <v>-5</v>
      </c>
      <c r="B118">
        <v>-3</v>
      </c>
      <c r="E118">
        <f t="shared" si="10"/>
        <v>-0.2509326186545488</v>
      </c>
      <c r="F118">
        <f t="shared" si="11"/>
        <v>-0.15075991659684468</v>
      </c>
      <c r="H118">
        <f t="shared" si="12"/>
        <v>-0.25214199616889482</v>
      </c>
      <c r="I118">
        <f t="shared" si="13"/>
        <v>-0.15209366903173813</v>
      </c>
      <c r="K118">
        <f t="shared" si="14"/>
        <v>-0.2522606853209835</v>
      </c>
      <c r="L118">
        <f t="shared" si="15"/>
        <v>-0.15055078824545723</v>
      </c>
      <c r="N118">
        <f t="shared" si="16"/>
        <v>-0.25348435734730307</v>
      </c>
      <c r="O118">
        <f t="shared" si="17"/>
        <v>-0.15188742053475673</v>
      </c>
      <c r="Q118">
        <f t="shared" si="18"/>
        <v>-6.0088196574917303</v>
      </c>
      <c r="R118">
        <f t="shared" si="19"/>
        <v>-3.6052917944087968</v>
      </c>
    </row>
    <row r="119" spans="1:18" x14ac:dyDescent="0.3">
      <c r="A119">
        <v>-5</v>
      </c>
      <c r="B119">
        <v>-2</v>
      </c>
      <c r="E119">
        <f t="shared" si="10"/>
        <v>-0.31849229743133489</v>
      </c>
      <c r="F119">
        <f t="shared" si="11"/>
        <v>-0.12777834687364931</v>
      </c>
      <c r="H119">
        <f t="shared" si="12"/>
        <v>-0.3205149219731151</v>
      </c>
      <c r="I119">
        <f t="shared" si="13"/>
        <v>-0.12910520905129486</v>
      </c>
      <c r="K119">
        <f t="shared" si="14"/>
        <v>-0.31980837120291211</v>
      </c>
      <c r="L119">
        <f t="shared" si="15"/>
        <v>-0.12702967239397109</v>
      </c>
      <c r="N119">
        <f t="shared" si="16"/>
        <v>-0.32184853824044524</v>
      </c>
      <c r="O119">
        <f t="shared" si="17"/>
        <v>-0.12835242306582886</v>
      </c>
      <c r="Q119">
        <f t="shared" si="18"/>
        <v>-6.2806641288478069</v>
      </c>
      <c r="R119">
        <f t="shared" si="19"/>
        <v>-2.5122656513847441</v>
      </c>
    </row>
    <row r="120" spans="1:18" x14ac:dyDescent="0.3">
      <c r="A120">
        <v>-5</v>
      </c>
      <c r="B120">
        <v>-1</v>
      </c>
      <c r="E120">
        <f t="shared" si="10"/>
        <v>-0.37529517326465467</v>
      </c>
      <c r="F120">
        <f t="shared" si="11"/>
        <v>-7.5658308382694855E-2</v>
      </c>
      <c r="H120">
        <f t="shared" si="12"/>
        <v>-0.37813164435704993</v>
      </c>
      <c r="I120">
        <f t="shared" si="13"/>
        <v>-7.6535663487098282E-2</v>
      </c>
      <c r="K120">
        <f t="shared" si="14"/>
        <v>-0.37615890675654884</v>
      </c>
      <c r="L120">
        <f t="shared" si="15"/>
        <v>-7.4330801933928825E-2</v>
      </c>
      <c r="N120">
        <f t="shared" si="16"/>
        <v>-0.37900863382825745</v>
      </c>
      <c r="O120">
        <f t="shared" si="17"/>
        <v>-7.5194097693381728E-2</v>
      </c>
      <c r="Q120">
        <f t="shared" si="18"/>
        <v>-6.5085943582065111</v>
      </c>
      <c r="R120">
        <f t="shared" si="19"/>
        <v>-1.3017188714971037</v>
      </c>
    </row>
    <row r="121" spans="1:18" x14ac:dyDescent="0.3">
      <c r="A121">
        <v>-5</v>
      </c>
      <c r="B121">
        <v>0</v>
      </c>
      <c r="E121">
        <f t="shared" si="10"/>
        <v>-0.39840240634816321</v>
      </c>
      <c r="F121">
        <f t="shared" si="11"/>
        <v>-7.9521438392846956E-4</v>
      </c>
      <c r="H121">
        <f t="shared" si="12"/>
        <v>-0.40160239354783661</v>
      </c>
      <c r="I121">
        <f t="shared" si="13"/>
        <v>-8.0481441592752825E-4</v>
      </c>
      <c r="K121">
        <f t="shared" si="14"/>
        <v>-0.39840240634816321</v>
      </c>
      <c r="L121">
        <f t="shared" si="15"/>
        <v>7.9521438392846956E-4</v>
      </c>
      <c r="N121">
        <f t="shared" si="16"/>
        <v>-0.40160239354783661</v>
      </c>
      <c r="O121">
        <f t="shared" si="17"/>
        <v>8.0481441592752825E-4</v>
      </c>
      <c r="Q121">
        <f t="shared" si="18"/>
        <v>-6.6000095997919992</v>
      </c>
      <c r="R121">
        <f t="shared" si="19"/>
        <v>0</v>
      </c>
    </row>
    <row r="122" spans="1:18" x14ac:dyDescent="0.3">
      <c r="A122">
        <v>-5</v>
      </c>
      <c r="B122">
        <v>1</v>
      </c>
      <c r="E122">
        <f t="shared" si="10"/>
        <v>-0.37615890675654884</v>
      </c>
      <c r="F122">
        <f t="shared" si="11"/>
        <v>7.4330801933928825E-2</v>
      </c>
      <c r="H122">
        <f t="shared" si="12"/>
        <v>-0.37900863382825745</v>
      </c>
      <c r="I122">
        <f t="shared" si="13"/>
        <v>7.5194097693381728E-2</v>
      </c>
      <c r="K122">
        <f t="shared" si="14"/>
        <v>-0.37529517326465467</v>
      </c>
      <c r="L122">
        <f t="shared" si="15"/>
        <v>7.5658308382694855E-2</v>
      </c>
      <c r="N122">
        <f t="shared" si="16"/>
        <v>-0.37813164435704993</v>
      </c>
      <c r="O122">
        <f t="shared" si="17"/>
        <v>7.6535663487098282E-2</v>
      </c>
      <c r="Q122">
        <f t="shared" si="18"/>
        <v>-6.5085943582065111</v>
      </c>
      <c r="R122">
        <f t="shared" si="19"/>
        <v>1.3017188714971037</v>
      </c>
    </row>
    <row r="123" spans="1:18" x14ac:dyDescent="0.3">
      <c r="A123">
        <v>-5</v>
      </c>
      <c r="B123">
        <v>2</v>
      </c>
      <c r="E123">
        <f t="shared" si="10"/>
        <v>-0.31980837120291211</v>
      </c>
      <c r="F123">
        <f t="shared" si="11"/>
        <v>0.12702967239397109</v>
      </c>
      <c r="H123">
        <f t="shared" si="12"/>
        <v>-0.32184853824044524</v>
      </c>
      <c r="I123">
        <f t="shared" si="13"/>
        <v>0.12835242306582886</v>
      </c>
      <c r="K123">
        <f t="shared" si="14"/>
        <v>-0.31849229743133489</v>
      </c>
      <c r="L123">
        <f t="shared" si="15"/>
        <v>0.12777834687364931</v>
      </c>
      <c r="N123">
        <f t="shared" si="16"/>
        <v>-0.3205149219731151</v>
      </c>
      <c r="O123">
        <f t="shared" si="17"/>
        <v>0.12910520905129486</v>
      </c>
      <c r="Q123">
        <f t="shared" si="18"/>
        <v>-6.2806641288478069</v>
      </c>
      <c r="R123">
        <f t="shared" si="19"/>
        <v>2.5122656513847441</v>
      </c>
    </row>
    <row r="124" spans="1:18" x14ac:dyDescent="0.3">
      <c r="A124">
        <v>-5</v>
      </c>
      <c r="B124">
        <v>3</v>
      </c>
      <c r="E124">
        <f t="shared" si="10"/>
        <v>-0.2522606853209835</v>
      </c>
      <c r="F124">
        <f t="shared" si="11"/>
        <v>0.15055078824545723</v>
      </c>
      <c r="H124">
        <f t="shared" si="12"/>
        <v>-0.25348435734730307</v>
      </c>
      <c r="I124">
        <f t="shared" si="13"/>
        <v>0.15188742053475673</v>
      </c>
      <c r="K124">
        <f t="shared" si="14"/>
        <v>-0.2509326186545488</v>
      </c>
      <c r="L124">
        <f t="shared" si="15"/>
        <v>0.15075991659684468</v>
      </c>
      <c r="N124">
        <f t="shared" si="16"/>
        <v>-0.25214199616889482</v>
      </c>
      <c r="O124">
        <f t="shared" si="17"/>
        <v>0.15209366903173813</v>
      </c>
      <c r="Q124">
        <f t="shared" si="18"/>
        <v>-6.0088196574917303</v>
      </c>
      <c r="R124">
        <f t="shared" si="19"/>
        <v>3.6052917944087968</v>
      </c>
    </row>
    <row r="125" spans="1:18" x14ac:dyDescent="0.3">
      <c r="A125">
        <v>-5</v>
      </c>
      <c r="B125">
        <v>4</v>
      </c>
      <c r="E125">
        <f t="shared" si="10"/>
        <v>-0.19069577261163131</v>
      </c>
      <c r="F125">
        <f t="shared" si="11"/>
        <v>0.15187148357692792</v>
      </c>
      <c r="H125">
        <f t="shared" si="12"/>
        <v>-0.19133210664091865</v>
      </c>
      <c r="I125">
        <f t="shared" si="13"/>
        <v>0.15298899909764838</v>
      </c>
      <c r="K125">
        <f t="shared" si="14"/>
        <v>-0.18958546957118064</v>
      </c>
      <c r="L125">
        <f t="shared" si="15"/>
        <v>0.15174405847912861</v>
      </c>
      <c r="N125">
        <f t="shared" si="16"/>
        <v>-0.19021266713045668</v>
      </c>
      <c r="O125">
        <f t="shared" si="17"/>
        <v>0.15285627158178983</v>
      </c>
      <c r="Q125">
        <f t="shared" si="18"/>
        <v>-5.7618260159541874</v>
      </c>
      <c r="R125">
        <f t="shared" si="19"/>
        <v>4.6094608127354952</v>
      </c>
    </row>
    <row r="126" spans="1:18" x14ac:dyDescent="0.3">
      <c r="A126">
        <v>-5</v>
      </c>
      <c r="B126">
        <v>5</v>
      </c>
      <c r="E126">
        <f t="shared" si="10"/>
        <v>-0.14170334872884149</v>
      </c>
      <c r="F126">
        <f t="shared" si="11"/>
        <v>0.14113766669798783</v>
      </c>
      <c r="H126">
        <f t="shared" si="12"/>
        <v>-0.1419887432553579</v>
      </c>
      <c r="I126">
        <f t="shared" si="13"/>
        <v>0.1419887432553579</v>
      </c>
      <c r="K126">
        <f t="shared" si="14"/>
        <v>-0.14085736335443835</v>
      </c>
      <c r="L126">
        <f t="shared" si="15"/>
        <v>0.14085736335443835</v>
      </c>
      <c r="N126">
        <f t="shared" si="16"/>
        <v>-0.14113766669798783</v>
      </c>
      <c r="O126">
        <f t="shared" si="17"/>
        <v>0.14170334872884149</v>
      </c>
      <c r="Q126">
        <f t="shared" si="18"/>
        <v>-5.5656871220366257</v>
      </c>
      <c r="R126">
        <f t="shared" si="19"/>
        <v>5.5656871220366257</v>
      </c>
    </row>
    <row r="127" spans="1:18" x14ac:dyDescent="0.3">
      <c r="A127">
        <v>-5</v>
      </c>
      <c r="B127">
        <v>6</v>
      </c>
      <c r="E127">
        <f t="shared" si="10"/>
        <v>-0.10520937950216977</v>
      </c>
      <c r="F127">
        <f t="shared" si="11"/>
        <v>0.12578925812734471</v>
      </c>
      <c r="H127">
        <f t="shared" si="12"/>
        <v>-0.10530702853999223</v>
      </c>
      <c r="I127">
        <f t="shared" si="13"/>
        <v>0.12641064147385839</v>
      </c>
      <c r="K127">
        <f t="shared" si="14"/>
        <v>-0.10459131174248715</v>
      </c>
      <c r="L127">
        <f t="shared" si="15"/>
        <v>0.1254678210723249</v>
      </c>
      <c r="N127">
        <f t="shared" si="16"/>
        <v>-0.10468636146416237</v>
      </c>
      <c r="O127">
        <f t="shared" si="17"/>
        <v>0.12608517683359033</v>
      </c>
      <c r="Q127">
        <f t="shared" si="18"/>
        <v>-5.4197940812488117</v>
      </c>
      <c r="R127">
        <f t="shared" si="19"/>
        <v>6.5037528975071179</v>
      </c>
    </row>
    <row r="128" spans="1:18" x14ac:dyDescent="0.3">
      <c r="A128">
        <v>-5</v>
      </c>
      <c r="B128">
        <v>7</v>
      </c>
      <c r="E128">
        <f t="shared" si="10"/>
        <v>-7.8766329981528729E-2</v>
      </c>
      <c r="F128">
        <f t="shared" si="11"/>
        <v>0.10989553823770178</v>
      </c>
      <c r="H128">
        <f t="shared" si="12"/>
        <v>-7.8771191949747285E-2</v>
      </c>
      <c r="I128">
        <f t="shared" si="13"/>
        <v>0.11034281196968607</v>
      </c>
      <c r="K128">
        <f t="shared" si="14"/>
        <v>-7.8321144670120066E-2</v>
      </c>
      <c r="L128">
        <f t="shared" si="15"/>
        <v>0.10958707068613606</v>
      </c>
      <c r="N128">
        <f t="shared" si="16"/>
        <v>-7.8324777673630067E-2</v>
      </c>
      <c r="O128">
        <f t="shared" si="17"/>
        <v>0.11003140110063062</v>
      </c>
      <c r="Q128">
        <f t="shared" si="18"/>
        <v>-5.3141834442750264</v>
      </c>
      <c r="R128">
        <f t="shared" si="19"/>
        <v>7.4398568219941543</v>
      </c>
    </row>
    <row r="129" spans="1:18" x14ac:dyDescent="0.3">
      <c r="A129">
        <v>-5</v>
      </c>
      <c r="B129">
        <v>8</v>
      </c>
      <c r="E129">
        <f t="shared" si="10"/>
        <v>-5.9729732986484887E-2</v>
      </c>
      <c r="F129">
        <f t="shared" si="11"/>
        <v>9.5257598116170517E-2</v>
      </c>
      <c r="H129">
        <f t="shared" si="12"/>
        <v>-5.9692523745005922E-2</v>
      </c>
      <c r="I129">
        <f t="shared" si="13"/>
        <v>9.5579812569658779E-2</v>
      </c>
      <c r="K129">
        <f t="shared" si="14"/>
        <v>-5.9408822204826302E-2</v>
      </c>
      <c r="L129">
        <f t="shared" si="15"/>
        <v>9.4982967237656424E-2</v>
      </c>
      <c r="N129">
        <f t="shared" si="16"/>
        <v>-5.9371093314842659E-2</v>
      </c>
      <c r="O129">
        <f t="shared" si="17"/>
        <v>9.5303097685749433E-2</v>
      </c>
      <c r="Q129">
        <f t="shared" si="18"/>
        <v>-5.2382021722511594</v>
      </c>
      <c r="R129">
        <f t="shared" si="19"/>
        <v>8.3811234756092343</v>
      </c>
    </row>
    <row r="130" spans="1:18" x14ac:dyDescent="0.3">
      <c r="A130">
        <v>-5</v>
      </c>
      <c r="B130">
        <v>9</v>
      </c>
      <c r="E130">
        <f t="shared" si="10"/>
        <v>-4.5958890699192165E-2</v>
      </c>
      <c r="F130">
        <f t="shared" si="11"/>
        <v>8.2469147182781949E-2</v>
      </c>
      <c r="H130">
        <f t="shared" si="12"/>
        <v>-4.5905379445781991E-2</v>
      </c>
      <c r="I130">
        <f t="shared" si="13"/>
        <v>8.2703278801118246E-2</v>
      </c>
      <c r="K130">
        <f t="shared" si="14"/>
        <v>-4.5725575623250247E-2</v>
      </c>
      <c r="L130">
        <f t="shared" si="15"/>
        <v>8.2233021230635667E-2</v>
      </c>
      <c r="N130">
        <f t="shared" si="16"/>
        <v>-4.5671897026640595E-2</v>
      </c>
      <c r="O130">
        <f t="shared" si="17"/>
        <v>8.2465689821649646E-2</v>
      </c>
      <c r="Q130">
        <f t="shared" si="18"/>
        <v>-5.1832617427948646</v>
      </c>
      <c r="R130">
        <f t="shared" si="19"/>
        <v>9.3298711370361858</v>
      </c>
    </row>
    <row r="131" spans="1:18" x14ac:dyDescent="0.3">
      <c r="A131">
        <v>-5</v>
      </c>
      <c r="B131">
        <v>10</v>
      </c>
      <c r="E131">
        <f t="shared" si="10"/>
        <v>-3.5891617035129303E-2</v>
      </c>
      <c r="F131">
        <f t="shared" si="11"/>
        <v>7.1568314207772807E-2</v>
      </c>
      <c r="H131">
        <f t="shared" si="12"/>
        <v>-3.5834373878174924E-2</v>
      </c>
      <c r="I131">
        <f t="shared" si="13"/>
        <v>7.1740560128851188E-2</v>
      </c>
      <c r="K131">
        <f t="shared" si="14"/>
        <v>-3.5719887266419927E-2</v>
      </c>
      <c r="L131">
        <f t="shared" si="15"/>
        <v>7.1368477352667367E-2</v>
      </c>
      <c r="N131">
        <f t="shared" si="16"/>
        <v>-3.5662644109282389E-2</v>
      </c>
      <c r="O131">
        <f t="shared" si="17"/>
        <v>7.1539692892568479E-2</v>
      </c>
      <c r="Q131">
        <f t="shared" si="18"/>
        <v>-5.1431085222890065</v>
      </c>
      <c r="R131">
        <f t="shared" si="19"/>
        <v>10.286217044581861</v>
      </c>
    </row>
    <row r="132" spans="1:18" x14ac:dyDescent="0.3">
      <c r="A132">
        <v>-4</v>
      </c>
      <c r="B132">
        <v>-10</v>
      </c>
      <c r="E132">
        <f t="shared" si="10"/>
        <v>-3.1980534466240898E-2</v>
      </c>
      <c r="F132">
        <f t="shared" si="11"/>
        <v>-7.9831708231189874E-2</v>
      </c>
      <c r="H132">
        <f t="shared" si="12"/>
        <v>-3.1886821668998047E-2</v>
      </c>
      <c r="I132">
        <f t="shared" si="13"/>
        <v>-7.9996763134503865E-2</v>
      </c>
      <c r="K132">
        <f t="shared" si="14"/>
        <v>-3.2146264849193709E-2</v>
      </c>
      <c r="L132">
        <f t="shared" si="15"/>
        <v>-8.0085083751482586E-2</v>
      </c>
      <c r="N132">
        <f t="shared" si="16"/>
        <v>-3.2052295082900702E-2</v>
      </c>
      <c r="O132">
        <f t="shared" si="17"/>
        <v>-8.0251235057187467E-2</v>
      </c>
      <c r="Q132">
        <f t="shared" si="18"/>
        <v>-4.1280659160673334</v>
      </c>
      <c r="R132">
        <f t="shared" si="19"/>
        <v>-10.320164790174363</v>
      </c>
    </row>
    <row r="133" spans="1:18" x14ac:dyDescent="0.3">
      <c r="A133">
        <v>-4</v>
      </c>
      <c r="B133">
        <v>-9</v>
      </c>
      <c r="E133">
        <f t="shared" si="10"/>
        <v>-4.1806290612034877E-2</v>
      </c>
      <c r="F133">
        <f t="shared" si="11"/>
        <v>-9.3933835016068404E-2</v>
      </c>
      <c r="H133">
        <f t="shared" si="12"/>
        <v>-4.1700638912783528E-2</v>
      </c>
      <c r="I133">
        <f t="shared" si="13"/>
        <v>-9.4166104412075069E-2</v>
      </c>
      <c r="K133">
        <f t="shared" si="14"/>
        <v>-4.2039482615591754E-2</v>
      </c>
      <c r="L133">
        <f t="shared" si="15"/>
        <v>-9.4248116886326672E-2</v>
      </c>
      <c r="N133">
        <f t="shared" si="16"/>
        <v>-4.1933626662007638E-2</v>
      </c>
      <c r="O133">
        <f t="shared" si="17"/>
        <v>-9.4482031000363065E-2</v>
      </c>
      <c r="Q133">
        <f t="shared" si="18"/>
        <v>-4.1674800388024176</v>
      </c>
      <c r="R133">
        <f t="shared" si="19"/>
        <v>-9.3768300873148327</v>
      </c>
    </row>
    <row r="134" spans="1:18" x14ac:dyDescent="0.3">
      <c r="A134">
        <v>-4</v>
      </c>
      <c r="B134">
        <v>-8</v>
      </c>
      <c r="E134">
        <f t="shared" si="10"/>
        <v>-5.5790000958344702E-2</v>
      </c>
      <c r="F134">
        <f t="shared" si="11"/>
        <v>-0.11144087473225464</v>
      </c>
      <c r="H134">
        <f t="shared" si="12"/>
        <v>-5.5678198118134209E-2</v>
      </c>
      <c r="I134">
        <f t="shared" si="13"/>
        <v>-0.1117750293048258</v>
      </c>
      <c r="K134">
        <f t="shared" si="14"/>
        <v>-5.612541038597027E-2</v>
      </c>
      <c r="L134">
        <f t="shared" si="15"/>
        <v>-0.11183092992117269</v>
      </c>
      <c r="N134">
        <f t="shared" si="16"/>
        <v>-5.6013607546458573E-2</v>
      </c>
      <c r="O134">
        <f t="shared" si="17"/>
        <v>-0.1121676000742366</v>
      </c>
      <c r="Q134">
        <f t="shared" si="18"/>
        <v>-4.2236072170089081</v>
      </c>
      <c r="R134">
        <f t="shared" si="19"/>
        <v>-8.4472144340324888</v>
      </c>
    </row>
    <row r="135" spans="1:18" x14ac:dyDescent="0.3">
      <c r="A135">
        <v>-4</v>
      </c>
      <c r="B135">
        <v>-7</v>
      </c>
      <c r="E135">
        <f t="shared" ref="E135:E198" si="20">$D$2*G$3/(($A135-E$3)^2+($B135-F$3)^2)^(3/2)*($A135-E$3)</f>
        <v>-7.6132691442978614E-2</v>
      </c>
      <c r="F135">
        <f t="shared" ref="F135:F198" si="21">$D$2*G$3/(($A135-E$3)^2+($B135-F$3)^2)^(3/2)*($B135-F$3)</f>
        <v>-0.13308981721079305</v>
      </c>
      <c r="H135">
        <f t="shared" ref="H135:H198" si="22">$D$2*J$3/(($A135-H$3)^2+($B135-I$3)^2)^(3/2)*($A135-H$3)</f>
        <v>-7.6032593499662723E-2</v>
      </c>
      <c r="I135">
        <f t="shared" ref="I135:I198" si="23">$D$2*J$3/(($A135-H$3)^2+($B135-I$3)^2)^(3/2)*($B135-I$3)</f>
        <v>-0.13358107279013426</v>
      </c>
      <c r="K135">
        <f t="shared" ref="K135:K198" si="24">$D$2*M$3/(($A135-K$3)^2+($B135-L$3)^2)^(3/2)*($A135-K$3)</f>
        <v>-7.6625609124003971E-2</v>
      </c>
      <c r="L135">
        <f t="shared" ref="L135:L198" si="25">$D$2*M$3/(($A135-K$3)^2+($B135-L$3)^2)^(3/2)*($B135-L$3)</f>
        <v>-0.13356932862264034</v>
      </c>
      <c r="N135">
        <f t="shared" ref="N135:N198" si="26">$D$2*P$3/(($A135-N$3)^2+($B135-O$3)^2)^(3/2)*($A135-N$3)</f>
        <v>-7.6526080263595295E-2</v>
      </c>
      <c r="O135">
        <f t="shared" ref="O135:O198" si="27">$D$2*P$3/(($A135-N$3)^2+($B135-O$3)^2)^(3/2)*($B135-O$3)</f>
        <v>-0.13406448647682484</v>
      </c>
      <c r="Q135">
        <f t="shared" ref="Q135:Q198" si="28">SUM(E135,H135,K135,N135)+A135</f>
        <v>-4.3053169743302409</v>
      </c>
      <c r="R135">
        <f t="shared" ref="R135:R198" si="29">SUM(F135,I135,L135,O135)+B135</f>
        <v>-7.5343047051003929</v>
      </c>
    </row>
    <row r="136" spans="1:18" x14ac:dyDescent="0.3">
      <c r="A136">
        <v>-4</v>
      </c>
      <c r="B136">
        <v>-6</v>
      </c>
      <c r="E136">
        <f t="shared" si="20"/>
        <v>-0.1063251789139347</v>
      </c>
      <c r="F136">
        <f t="shared" si="21"/>
        <v>-0.15935519333484977</v>
      </c>
      <c r="H136">
        <f t="shared" si="22"/>
        <v>-0.10628316046714964</v>
      </c>
      <c r="I136">
        <f t="shared" si="23"/>
        <v>-0.16009067529011761</v>
      </c>
      <c r="K136">
        <f t="shared" si="24"/>
        <v>-0.10706269012665758</v>
      </c>
      <c r="L136">
        <f t="shared" si="25"/>
        <v>-0.15992656205952094</v>
      </c>
      <c r="N136">
        <f t="shared" si="26"/>
        <v>-0.10702265997256534</v>
      </c>
      <c r="O136">
        <f t="shared" si="27"/>
        <v>-0.1606681035678362</v>
      </c>
      <c r="Q136">
        <f t="shared" si="28"/>
        <v>-4.4266936894803068</v>
      </c>
      <c r="R136">
        <f t="shared" si="29"/>
        <v>-6.640040534252325</v>
      </c>
    </row>
    <row r="137" spans="1:18" x14ac:dyDescent="0.3">
      <c r="A137">
        <v>-4</v>
      </c>
      <c r="B137">
        <v>-5</v>
      </c>
      <c r="E137">
        <f t="shared" si="20"/>
        <v>-0.15174405847912861</v>
      </c>
      <c r="F137">
        <f t="shared" si="21"/>
        <v>-0.18958546957118064</v>
      </c>
      <c r="H137">
        <f t="shared" si="22"/>
        <v>-0.15187148357692792</v>
      </c>
      <c r="I137">
        <f t="shared" si="23"/>
        <v>-0.19069577261163131</v>
      </c>
      <c r="K137">
        <f t="shared" si="24"/>
        <v>-0.15285627158178983</v>
      </c>
      <c r="L137">
        <f t="shared" si="25"/>
        <v>-0.19021266713045668</v>
      </c>
      <c r="N137">
        <f t="shared" si="26"/>
        <v>-0.15298899909764838</v>
      </c>
      <c r="O137">
        <f t="shared" si="27"/>
        <v>-0.19133210664091865</v>
      </c>
      <c r="Q137">
        <f t="shared" si="28"/>
        <v>-4.6094608127354952</v>
      </c>
      <c r="R137">
        <f t="shared" si="29"/>
        <v>-5.7618260159541874</v>
      </c>
    </row>
    <row r="138" spans="1:18" x14ac:dyDescent="0.3">
      <c r="A138">
        <v>-4</v>
      </c>
      <c r="B138">
        <v>-4</v>
      </c>
      <c r="E138">
        <f t="shared" si="20"/>
        <v>-0.21987014421133805</v>
      </c>
      <c r="F138">
        <f t="shared" si="21"/>
        <v>-0.21987014421133805</v>
      </c>
      <c r="H138">
        <f t="shared" si="22"/>
        <v>-0.2204163755412446</v>
      </c>
      <c r="I138">
        <f t="shared" si="23"/>
        <v>-0.22152121952892001</v>
      </c>
      <c r="K138">
        <f t="shared" si="24"/>
        <v>-0.22152121952892001</v>
      </c>
      <c r="L138">
        <f t="shared" si="25"/>
        <v>-0.2204163755412446</v>
      </c>
      <c r="N138">
        <f t="shared" si="26"/>
        <v>-0.22207988052416353</v>
      </c>
      <c r="O138">
        <f t="shared" si="27"/>
        <v>-0.22207988052416353</v>
      </c>
      <c r="Q138">
        <f t="shared" si="28"/>
        <v>-4.883887619805666</v>
      </c>
      <c r="R138">
        <f t="shared" si="29"/>
        <v>-4.883887619805666</v>
      </c>
    </row>
    <row r="139" spans="1:18" x14ac:dyDescent="0.3">
      <c r="A139">
        <v>-4</v>
      </c>
      <c r="B139">
        <v>-3</v>
      </c>
      <c r="E139">
        <f t="shared" si="20"/>
        <v>-0.31812022438150916</v>
      </c>
      <c r="F139">
        <f t="shared" si="21"/>
        <v>-0.23878849760307794</v>
      </c>
      <c r="H139">
        <f t="shared" si="22"/>
        <v>-0.31957958536469921</v>
      </c>
      <c r="I139">
        <f t="shared" si="23"/>
        <v>-0.24108635387161517</v>
      </c>
      <c r="K139">
        <f t="shared" si="24"/>
        <v>-0.32041158272784903</v>
      </c>
      <c r="L139">
        <f t="shared" si="25"/>
        <v>-0.23891038213373283</v>
      </c>
      <c r="N139">
        <f t="shared" si="26"/>
        <v>-0.32189628784467467</v>
      </c>
      <c r="O139">
        <f t="shared" si="27"/>
        <v>-0.24122052648009457</v>
      </c>
      <c r="Q139">
        <f t="shared" si="28"/>
        <v>-5.2800076803187324</v>
      </c>
      <c r="R139">
        <f t="shared" si="29"/>
        <v>-3.9600057600885208</v>
      </c>
    </row>
    <row r="140" spans="1:18" x14ac:dyDescent="0.3">
      <c r="A140">
        <v>-4</v>
      </c>
      <c r="B140">
        <v>-2</v>
      </c>
      <c r="E140">
        <f t="shared" si="20"/>
        <v>-0.44432007172489124</v>
      </c>
      <c r="F140">
        <f t="shared" si="21"/>
        <v>-0.22271405091447166</v>
      </c>
      <c r="H140">
        <f t="shared" si="22"/>
        <v>-0.44743047681291714</v>
      </c>
      <c r="I140">
        <f t="shared" si="23"/>
        <v>-0.22539730786816123</v>
      </c>
      <c r="K140">
        <f t="shared" si="24"/>
        <v>-0.4469832978758439</v>
      </c>
      <c r="L140">
        <f t="shared" si="25"/>
        <v>-0.22181964158925921</v>
      </c>
      <c r="N140">
        <f t="shared" si="26"/>
        <v>-0.4501339524446149</v>
      </c>
      <c r="O140">
        <f t="shared" si="27"/>
        <v>-0.22450289858766506</v>
      </c>
      <c r="Q140">
        <f t="shared" si="28"/>
        <v>-5.7888677988582673</v>
      </c>
      <c r="R140">
        <f t="shared" si="29"/>
        <v>-2.8944338989595573</v>
      </c>
    </row>
    <row r="141" spans="1:18" x14ac:dyDescent="0.3">
      <c r="A141">
        <v>-4</v>
      </c>
      <c r="B141">
        <v>-1</v>
      </c>
      <c r="E141">
        <f t="shared" si="20"/>
        <v>-0.56707772432684733</v>
      </c>
      <c r="F141">
        <f t="shared" si="21"/>
        <v>-0.1428300502668618</v>
      </c>
      <c r="H141">
        <f t="shared" si="22"/>
        <v>-0.57226224671068582</v>
      </c>
      <c r="I141">
        <f t="shared" si="23"/>
        <v>-0.14485836320245429</v>
      </c>
      <c r="K141">
        <f t="shared" si="24"/>
        <v>-0.56907328121105927</v>
      </c>
      <c r="L141">
        <f t="shared" si="25"/>
        <v>-0.14049440109699468</v>
      </c>
      <c r="N141">
        <f t="shared" si="26"/>
        <v>-0.57429512463862409</v>
      </c>
      <c r="O141">
        <f t="shared" si="27"/>
        <v>-0.14249427904567363</v>
      </c>
      <c r="Q141">
        <f t="shared" si="28"/>
        <v>-6.2827083768872161</v>
      </c>
      <c r="R141">
        <f t="shared" si="29"/>
        <v>-1.5706770936119843</v>
      </c>
    </row>
    <row r="142" spans="1:18" x14ac:dyDescent="0.3">
      <c r="A142">
        <v>-4</v>
      </c>
      <c r="B142">
        <v>0</v>
      </c>
      <c r="E142">
        <f t="shared" si="20"/>
        <v>-0.62188087870866293</v>
      </c>
      <c r="F142">
        <f t="shared" si="21"/>
        <v>-1.5508251339368154E-3</v>
      </c>
      <c r="H142">
        <f t="shared" si="22"/>
        <v>-0.62813083964460636</v>
      </c>
      <c r="I142">
        <f t="shared" si="23"/>
        <v>-1.5742627560015197E-3</v>
      </c>
      <c r="K142">
        <f t="shared" si="24"/>
        <v>-0.62188087870866293</v>
      </c>
      <c r="L142">
        <f t="shared" si="25"/>
        <v>1.5508251339368154E-3</v>
      </c>
      <c r="N142">
        <f t="shared" si="26"/>
        <v>-0.62813083964460636</v>
      </c>
      <c r="O142">
        <f t="shared" si="27"/>
        <v>1.5742627560015197E-3</v>
      </c>
      <c r="Q142">
        <f t="shared" si="28"/>
        <v>-6.5000234367065381</v>
      </c>
      <c r="R142">
        <f t="shared" si="29"/>
        <v>0</v>
      </c>
    </row>
    <row r="143" spans="1:18" x14ac:dyDescent="0.3">
      <c r="A143">
        <v>-4</v>
      </c>
      <c r="B143">
        <v>1</v>
      </c>
      <c r="E143">
        <f t="shared" si="20"/>
        <v>-0.56907328121105927</v>
      </c>
      <c r="F143">
        <f t="shared" si="21"/>
        <v>0.14049440109699468</v>
      </c>
      <c r="H143">
        <f t="shared" si="22"/>
        <v>-0.57429512463862409</v>
      </c>
      <c r="I143">
        <f t="shared" si="23"/>
        <v>0.14249427904567363</v>
      </c>
      <c r="K143">
        <f t="shared" si="24"/>
        <v>-0.56707772432684733</v>
      </c>
      <c r="L143">
        <f t="shared" si="25"/>
        <v>0.1428300502668618</v>
      </c>
      <c r="N143">
        <f t="shared" si="26"/>
        <v>-0.57226224671068582</v>
      </c>
      <c r="O143">
        <f t="shared" si="27"/>
        <v>0.14485836320245429</v>
      </c>
      <c r="Q143">
        <f t="shared" si="28"/>
        <v>-6.2827083768872161</v>
      </c>
      <c r="R143">
        <f t="shared" si="29"/>
        <v>1.5706770936119843</v>
      </c>
    </row>
    <row r="144" spans="1:18" x14ac:dyDescent="0.3">
      <c r="A144">
        <v>-4</v>
      </c>
      <c r="B144">
        <v>2</v>
      </c>
      <c r="E144">
        <f t="shared" si="20"/>
        <v>-0.4469832978758439</v>
      </c>
      <c r="F144">
        <f t="shared" si="21"/>
        <v>0.22181964158925921</v>
      </c>
      <c r="H144">
        <f t="shared" si="22"/>
        <v>-0.4501339524446149</v>
      </c>
      <c r="I144">
        <f t="shared" si="23"/>
        <v>0.22450289858766506</v>
      </c>
      <c r="K144">
        <f t="shared" si="24"/>
        <v>-0.44432007172489124</v>
      </c>
      <c r="L144">
        <f t="shared" si="25"/>
        <v>0.22271405091447166</v>
      </c>
      <c r="N144">
        <f t="shared" si="26"/>
        <v>-0.44743047681291714</v>
      </c>
      <c r="O144">
        <f t="shared" si="27"/>
        <v>0.22539730786816123</v>
      </c>
      <c r="Q144">
        <f t="shared" si="28"/>
        <v>-5.7888677988582673</v>
      </c>
      <c r="R144">
        <f t="shared" si="29"/>
        <v>2.8944338989595573</v>
      </c>
    </row>
    <row r="145" spans="1:18" x14ac:dyDescent="0.3">
      <c r="A145">
        <v>-4</v>
      </c>
      <c r="B145">
        <v>3</v>
      </c>
      <c r="E145">
        <f t="shared" si="20"/>
        <v>-0.32041158272784903</v>
      </c>
      <c r="F145">
        <f t="shared" si="21"/>
        <v>0.23891038213373283</v>
      </c>
      <c r="H145">
        <f t="shared" si="22"/>
        <v>-0.32189628784467467</v>
      </c>
      <c r="I145">
        <f t="shared" si="23"/>
        <v>0.24122052648009457</v>
      </c>
      <c r="K145">
        <f t="shared" si="24"/>
        <v>-0.31812022438150916</v>
      </c>
      <c r="L145">
        <f t="shared" si="25"/>
        <v>0.23878849760307794</v>
      </c>
      <c r="N145">
        <f t="shared" si="26"/>
        <v>-0.31957958536469921</v>
      </c>
      <c r="O145">
        <f t="shared" si="27"/>
        <v>0.24108635387161517</v>
      </c>
      <c r="Q145">
        <f t="shared" si="28"/>
        <v>-5.2800076803187324</v>
      </c>
      <c r="R145">
        <f t="shared" si="29"/>
        <v>3.9600057600885203</v>
      </c>
    </row>
    <row r="146" spans="1:18" x14ac:dyDescent="0.3">
      <c r="A146">
        <v>-4</v>
      </c>
      <c r="B146">
        <v>4</v>
      </c>
      <c r="E146">
        <f t="shared" si="20"/>
        <v>-0.22152121952892001</v>
      </c>
      <c r="F146">
        <f t="shared" si="21"/>
        <v>0.2204163755412446</v>
      </c>
      <c r="H146">
        <f t="shared" si="22"/>
        <v>-0.22207988052416353</v>
      </c>
      <c r="I146">
        <f t="shared" si="23"/>
        <v>0.22207988052416353</v>
      </c>
      <c r="K146">
        <f t="shared" si="24"/>
        <v>-0.21987014421133805</v>
      </c>
      <c r="L146">
        <f t="shared" si="25"/>
        <v>0.21987014421133805</v>
      </c>
      <c r="N146">
        <f t="shared" si="26"/>
        <v>-0.2204163755412446</v>
      </c>
      <c r="O146">
        <f t="shared" si="27"/>
        <v>0.22152121952892001</v>
      </c>
      <c r="Q146">
        <f t="shared" si="28"/>
        <v>-4.883887619805666</v>
      </c>
      <c r="R146">
        <f t="shared" si="29"/>
        <v>4.883887619805666</v>
      </c>
    </row>
    <row r="147" spans="1:18" x14ac:dyDescent="0.3">
      <c r="A147">
        <v>-4</v>
      </c>
      <c r="B147">
        <v>5</v>
      </c>
      <c r="E147">
        <f t="shared" si="20"/>
        <v>-0.15285627158178983</v>
      </c>
      <c r="F147">
        <f t="shared" si="21"/>
        <v>0.19021266713045668</v>
      </c>
      <c r="H147">
        <f t="shared" si="22"/>
        <v>-0.15298899909764838</v>
      </c>
      <c r="I147">
        <f t="shared" si="23"/>
        <v>0.19133210664091865</v>
      </c>
      <c r="K147">
        <f t="shared" si="24"/>
        <v>-0.15174405847912861</v>
      </c>
      <c r="L147">
        <f t="shared" si="25"/>
        <v>0.18958546957118064</v>
      </c>
      <c r="N147">
        <f t="shared" si="26"/>
        <v>-0.15187148357692792</v>
      </c>
      <c r="O147">
        <f t="shared" si="27"/>
        <v>0.19069577261163131</v>
      </c>
      <c r="Q147">
        <f t="shared" si="28"/>
        <v>-4.6094608127354952</v>
      </c>
      <c r="R147">
        <f t="shared" si="29"/>
        <v>5.7618260159541874</v>
      </c>
    </row>
    <row r="148" spans="1:18" x14ac:dyDescent="0.3">
      <c r="A148">
        <v>-4</v>
      </c>
      <c r="B148">
        <v>6</v>
      </c>
      <c r="E148">
        <f t="shared" si="20"/>
        <v>-0.10706269012665758</v>
      </c>
      <c r="F148">
        <f t="shared" si="21"/>
        <v>0.15992656205952094</v>
      </c>
      <c r="H148">
        <f t="shared" si="22"/>
        <v>-0.10702265997256534</v>
      </c>
      <c r="I148">
        <f t="shared" si="23"/>
        <v>0.1606681035678362</v>
      </c>
      <c r="K148">
        <f t="shared" si="24"/>
        <v>-0.1063251789139347</v>
      </c>
      <c r="L148">
        <f t="shared" si="25"/>
        <v>0.15935519333484977</v>
      </c>
      <c r="N148">
        <f t="shared" si="26"/>
        <v>-0.10628316046714964</v>
      </c>
      <c r="O148">
        <f t="shared" si="27"/>
        <v>0.16009067529011761</v>
      </c>
      <c r="Q148">
        <f t="shared" si="28"/>
        <v>-4.4266936894803068</v>
      </c>
      <c r="R148">
        <f t="shared" si="29"/>
        <v>6.640040534252325</v>
      </c>
    </row>
    <row r="149" spans="1:18" x14ac:dyDescent="0.3">
      <c r="A149">
        <v>-4</v>
      </c>
      <c r="B149">
        <v>7</v>
      </c>
      <c r="E149">
        <f t="shared" si="20"/>
        <v>-7.6625609124003971E-2</v>
      </c>
      <c r="F149">
        <f t="shared" si="21"/>
        <v>0.13356932862264034</v>
      </c>
      <c r="H149">
        <f t="shared" si="22"/>
        <v>-7.6526080263595295E-2</v>
      </c>
      <c r="I149">
        <f t="shared" si="23"/>
        <v>0.13406448647682484</v>
      </c>
      <c r="K149">
        <f t="shared" si="24"/>
        <v>-7.6132691442978614E-2</v>
      </c>
      <c r="L149">
        <f t="shared" si="25"/>
        <v>0.13308981721079305</v>
      </c>
      <c r="N149">
        <f t="shared" si="26"/>
        <v>-7.6032593499662723E-2</v>
      </c>
      <c r="O149">
        <f t="shared" si="27"/>
        <v>0.13358107279013426</v>
      </c>
      <c r="Q149">
        <f t="shared" si="28"/>
        <v>-4.3053169743302409</v>
      </c>
      <c r="R149">
        <f t="shared" si="29"/>
        <v>7.5343047051003929</v>
      </c>
    </row>
    <row r="150" spans="1:18" x14ac:dyDescent="0.3">
      <c r="A150">
        <v>-4</v>
      </c>
      <c r="B150">
        <v>8</v>
      </c>
      <c r="E150">
        <f t="shared" si="20"/>
        <v>-5.612541038597027E-2</v>
      </c>
      <c r="F150">
        <f t="shared" si="21"/>
        <v>0.11183092992117269</v>
      </c>
      <c r="H150">
        <f t="shared" si="22"/>
        <v>-5.6013607546458573E-2</v>
      </c>
      <c r="I150">
        <f t="shared" si="23"/>
        <v>0.1121676000742366</v>
      </c>
      <c r="K150">
        <f t="shared" si="24"/>
        <v>-5.5790000958344702E-2</v>
      </c>
      <c r="L150">
        <f t="shared" si="25"/>
        <v>0.11144087473225464</v>
      </c>
      <c r="N150">
        <f t="shared" si="26"/>
        <v>-5.5678198118134209E-2</v>
      </c>
      <c r="O150">
        <f t="shared" si="27"/>
        <v>0.1117750293048258</v>
      </c>
      <c r="Q150">
        <f t="shared" si="28"/>
        <v>-4.2236072170089081</v>
      </c>
      <c r="R150">
        <f t="shared" si="29"/>
        <v>8.4472144340324888</v>
      </c>
    </row>
    <row r="151" spans="1:18" x14ac:dyDescent="0.3">
      <c r="A151">
        <v>-4</v>
      </c>
      <c r="B151">
        <v>9</v>
      </c>
      <c r="E151">
        <f t="shared" si="20"/>
        <v>-4.2039482615591754E-2</v>
      </c>
      <c r="F151">
        <f t="shared" si="21"/>
        <v>9.4248116886326672E-2</v>
      </c>
      <c r="H151">
        <f t="shared" si="22"/>
        <v>-4.1933626662007638E-2</v>
      </c>
      <c r="I151">
        <f t="shared" si="23"/>
        <v>9.4482031000363065E-2</v>
      </c>
      <c r="K151">
        <f t="shared" si="24"/>
        <v>-4.1806290612034877E-2</v>
      </c>
      <c r="L151">
        <f t="shared" si="25"/>
        <v>9.3933835016068404E-2</v>
      </c>
      <c r="N151">
        <f t="shared" si="26"/>
        <v>-4.1700638912783528E-2</v>
      </c>
      <c r="O151">
        <f t="shared" si="27"/>
        <v>9.4166104412075069E-2</v>
      </c>
      <c r="Q151">
        <f t="shared" si="28"/>
        <v>-4.1674800388024176</v>
      </c>
      <c r="R151">
        <f t="shared" si="29"/>
        <v>9.3768300873148327</v>
      </c>
    </row>
    <row r="152" spans="1:18" x14ac:dyDescent="0.3">
      <c r="A152">
        <v>-4</v>
      </c>
      <c r="B152">
        <v>10</v>
      </c>
      <c r="E152">
        <f t="shared" si="20"/>
        <v>-3.2146264849193709E-2</v>
      </c>
      <c r="F152">
        <f t="shared" si="21"/>
        <v>8.0085083751482586E-2</v>
      </c>
      <c r="H152">
        <f t="shared" si="22"/>
        <v>-3.2052295082900702E-2</v>
      </c>
      <c r="I152">
        <f t="shared" si="23"/>
        <v>8.0251235057187467E-2</v>
      </c>
      <c r="K152">
        <f t="shared" si="24"/>
        <v>-3.1980534466240898E-2</v>
      </c>
      <c r="L152">
        <f t="shared" si="25"/>
        <v>7.9831708231189874E-2</v>
      </c>
      <c r="N152">
        <f t="shared" si="26"/>
        <v>-3.1886821668998047E-2</v>
      </c>
      <c r="O152">
        <f t="shared" si="27"/>
        <v>7.9996763134503865E-2</v>
      </c>
      <c r="Q152">
        <f t="shared" si="28"/>
        <v>-4.1280659160673334</v>
      </c>
      <c r="R152">
        <f t="shared" si="29"/>
        <v>10.320164790174363</v>
      </c>
    </row>
    <row r="153" spans="1:18" x14ac:dyDescent="0.3">
      <c r="A153">
        <v>-3</v>
      </c>
      <c r="B153">
        <v>-10</v>
      </c>
      <c r="E153">
        <f t="shared" si="20"/>
        <v>-2.6355636487177963E-2</v>
      </c>
      <c r="F153">
        <f t="shared" si="21"/>
        <v>-8.7647814364336024E-2</v>
      </c>
      <c r="H153">
        <f t="shared" si="22"/>
        <v>-2.6223706187415971E-2</v>
      </c>
      <c r="I153">
        <f t="shared" si="23"/>
        <v>-8.7792407670914327E-2</v>
      </c>
      <c r="K153">
        <f t="shared" si="24"/>
        <v>-2.6501033053869444E-2</v>
      </c>
      <c r="L153">
        <f t="shared" si="25"/>
        <v>-8.7955255883108222E-2</v>
      </c>
      <c r="N153">
        <f t="shared" si="26"/>
        <v>-2.6368534727452202E-2</v>
      </c>
      <c r="O153">
        <f t="shared" si="27"/>
        <v>-8.8100890276671395E-2</v>
      </c>
      <c r="Q153">
        <f t="shared" si="28"/>
        <v>-3.1054489104559155</v>
      </c>
      <c r="R153">
        <f t="shared" si="29"/>
        <v>-10.351496368195029</v>
      </c>
    </row>
    <row r="154" spans="1:18" x14ac:dyDescent="0.3">
      <c r="A154">
        <v>-3</v>
      </c>
      <c r="B154">
        <v>-9</v>
      </c>
      <c r="E154">
        <f t="shared" si="20"/>
        <v>-3.5112877539269463E-2</v>
      </c>
      <c r="F154">
        <f t="shared" si="21"/>
        <v>-0.10510532446140128</v>
      </c>
      <c r="H154">
        <f t="shared" si="22"/>
        <v>-3.4949258664601683E-2</v>
      </c>
      <c r="I154">
        <f t="shared" si="23"/>
        <v>-0.10531532460470273</v>
      </c>
      <c r="K154">
        <f t="shared" si="24"/>
        <v>-3.5324046711595516E-2</v>
      </c>
      <c r="L154">
        <f t="shared" si="25"/>
        <v>-0.10550271758712416</v>
      </c>
      <c r="N154">
        <f t="shared" si="26"/>
        <v>-3.5159725108168324E-2</v>
      </c>
      <c r="O154">
        <f t="shared" si="27"/>
        <v>-0.10571435743225191</v>
      </c>
      <c r="Q154">
        <f t="shared" si="28"/>
        <v>-3.1405459080236349</v>
      </c>
      <c r="R154">
        <f t="shared" si="29"/>
        <v>-9.4216377240854801</v>
      </c>
    </row>
    <row r="155" spans="1:18" x14ac:dyDescent="0.3">
      <c r="A155">
        <v>-3</v>
      </c>
      <c r="B155">
        <v>-8</v>
      </c>
      <c r="E155">
        <f t="shared" si="20"/>
        <v>-4.804189496323278E-2</v>
      </c>
      <c r="F155">
        <f t="shared" si="21"/>
        <v>-0.12784570719451649</v>
      </c>
      <c r="H155">
        <f t="shared" si="22"/>
        <v>-4.7840238992074298E-2</v>
      </c>
      <c r="I155">
        <f t="shared" si="23"/>
        <v>-0.12816064024298163</v>
      </c>
      <c r="K155">
        <f t="shared" si="24"/>
        <v>-4.8358566207597042E-2</v>
      </c>
      <c r="L155">
        <f t="shared" si="25"/>
        <v>-0.12836709102946858</v>
      </c>
      <c r="N155">
        <f t="shared" si="26"/>
        <v>-4.8156101514115514E-2</v>
      </c>
      <c r="O155">
        <f t="shared" si="27"/>
        <v>-0.128684699363807</v>
      </c>
      <c r="Q155">
        <f t="shared" si="28"/>
        <v>-3.1923968016770194</v>
      </c>
      <c r="R155">
        <f t="shared" si="29"/>
        <v>-8.5130581378307735</v>
      </c>
    </row>
    <row r="156" spans="1:18" x14ac:dyDescent="0.3">
      <c r="A156">
        <v>-3</v>
      </c>
      <c r="B156">
        <v>-7</v>
      </c>
      <c r="E156">
        <f t="shared" si="20"/>
        <v>-6.7792208129647563E-2</v>
      </c>
      <c r="F156">
        <f t="shared" si="21"/>
        <v>-0.15788152125874733</v>
      </c>
      <c r="H156">
        <f t="shared" si="22"/>
        <v>-6.7550572415545421E-2</v>
      </c>
      <c r="I156">
        <f t="shared" si="23"/>
        <v>-0.15837107445918841</v>
      </c>
      <c r="K156">
        <f t="shared" si="24"/>
        <v>-6.8284387209152572E-2</v>
      </c>
      <c r="L156">
        <f t="shared" si="25"/>
        <v>-0.15857404205713507</v>
      </c>
      <c r="N156">
        <f t="shared" si="26"/>
        <v>-6.8042016601525396E-2</v>
      </c>
      <c r="O156">
        <f t="shared" si="27"/>
        <v>-0.15906812576744567</v>
      </c>
      <c r="Q156">
        <f t="shared" si="28"/>
        <v>-3.2716691843558712</v>
      </c>
      <c r="R156">
        <f t="shared" si="29"/>
        <v>-7.6338947635425161</v>
      </c>
    </row>
    <row r="157" spans="1:18" x14ac:dyDescent="0.3">
      <c r="A157">
        <v>-3</v>
      </c>
      <c r="B157">
        <v>-6</v>
      </c>
      <c r="E157">
        <f t="shared" si="20"/>
        <v>-9.9116115242650543E-2</v>
      </c>
      <c r="F157">
        <f t="shared" si="21"/>
        <v>-0.19790294106589029</v>
      </c>
      <c r="H157">
        <f t="shared" si="22"/>
        <v>-9.8851102132357357E-2</v>
      </c>
      <c r="I157">
        <f t="shared" si="23"/>
        <v>-0.19869402134296577</v>
      </c>
      <c r="K157">
        <f t="shared" si="24"/>
        <v>-9.9911158393597668E-2</v>
      </c>
      <c r="L157">
        <f t="shared" si="25"/>
        <v>-0.1988265245108472</v>
      </c>
      <c r="N157">
        <f t="shared" si="26"/>
        <v>-9.9646145287230356E-2</v>
      </c>
      <c r="O157">
        <f t="shared" si="27"/>
        <v>-0.199625555274418</v>
      </c>
      <c r="Q157">
        <f t="shared" si="28"/>
        <v>-3.397524521055836</v>
      </c>
      <c r="R157">
        <f t="shared" si="29"/>
        <v>-6.7950490421941208</v>
      </c>
    </row>
    <row r="158" spans="1:18" x14ac:dyDescent="0.3">
      <c r="A158">
        <v>-3</v>
      </c>
      <c r="B158">
        <v>-5</v>
      </c>
      <c r="E158">
        <f t="shared" si="20"/>
        <v>-0.15075991659684468</v>
      </c>
      <c r="F158">
        <f t="shared" si="21"/>
        <v>-0.2509326186545488</v>
      </c>
      <c r="H158">
        <f t="shared" si="22"/>
        <v>-0.15055078824545723</v>
      </c>
      <c r="I158">
        <f t="shared" si="23"/>
        <v>-0.2522606853209835</v>
      </c>
      <c r="K158">
        <f t="shared" si="24"/>
        <v>-0.15209366903173813</v>
      </c>
      <c r="L158">
        <f t="shared" si="25"/>
        <v>-0.25214199616889482</v>
      </c>
      <c r="N158">
        <f t="shared" si="26"/>
        <v>-0.15188742053475673</v>
      </c>
      <c r="O158">
        <f t="shared" si="27"/>
        <v>-0.25348435734730307</v>
      </c>
      <c r="Q158">
        <f t="shared" si="28"/>
        <v>-3.6052917944087968</v>
      </c>
      <c r="R158">
        <f t="shared" si="29"/>
        <v>-6.0088196574917303</v>
      </c>
    </row>
    <row r="159" spans="1:18" x14ac:dyDescent="0.3">
      <c r="A159">
        <v>-3</v>
      </c>
      <c r="B159">
        <v>-4</v>
      </c>
      <c r="E159">
        <f t="shared" si="20"/>
        <v>-0.23878849760307794</v>
      </c>
      <c r="F159">
        <f t="shared" si="21"/>
        <v>-0.31812022438150916</v>
      </c>
      <c r="H159">
        <f t="shared" si="22"/>
        <v>-0.23891038213373283</v>
      </c>
      <c r="I159">
        <f t="shared" si="23"/>
        <v>-0.32041158272784903</v>
      </c>
      <c r="K159">
        <f t="shared" si="24"/>
        <v>-0.24108635387161517</v>
      </c>
      <c r="L159">
        <f t="shared" si="25"/>
        <v>-0.31957958536469921</v>
      </c>
      <c r="N159">
        <f t="shared" si="26"/>
        <v>-0.24122052648009457</v>
      </c>
      <c r="O159">
        <f t="shared" si="27"/>
        <v>-0.32189628784467467</v>
      </c>
      <c r="Q159">
        <f t="shared" si="28"/>
        <v>-3.9600057600885208</v>
      </c>
      <c r="R159">
        <f t="shared" si="29"/>
        <v>-5.2800076803187324</v>
      </c>
    </row>
    <row r="160" spans="1:18" x14ac:dyDescent="0.3">
      <c r="A160">
        <v>-3</v>
      </c>
      <c r="B160">
        <v>-3</v>
      </c>
      <c r="E160">
        <f t="shared" si="20"/>
        <v>-0.39023122326825738</v>
      </c>
      <c r="F160">
        <f t="shared" si="21"/>
        <v>-0.39023122326825738</v>
      </c>
      <c r="H160">
        <f t="shared" si="22"/>
        <v>-0.39152111828689834</v>
      </c>
      <c r="I160">
        <f t="shared" si="23"/>
        <v>-0.39413998864333244</v>
      </c>
      <c r="K160">
        <f t="shared" si="24"/>
        <v>-0.39413998864333244</v>
      </c>
      <c r="L160">
        <f t="shared" si="25"/>
        <v>-0.39152111828689834</v>
      </c>
      <c r="N160">
        <f t="shared" si="26"/>
        <v>-0.39546916767516443</v>
      </c>
      <c r="O160">
        <f t="shared" si="27"/>
        <v>-0.39546916767516443</v>
      </c>
      <c r="Q160">
        <f t="shared" si="28"/>
        <v>-4.571361497873653</v>
      </c>
      <c r="R160">
        <f t="shared" si="29"/>
        <v>-4.571361497873653</v>
      </c>
    </row>
    <row r="161" spans="1:18" x14ac:dyDescent="0.3">
      <c r="A161">
        <v>-3</v>
      </c>
      <c r="B161">
        <v>-2</v>
      </c>
      <c r="E161">
        <f t="shared" si="20"/>
        <v>-0.63481854670549187</v>
      </c>
      <c r="F161">
        <f t="shared" si="21"/>
        <v>-0.42391537504253773</v>
      </c>
      <c r="H161">
        <f t="shared" si="22"/>
        <v>-0.63936537329483922</v>
      </c>
      <c r="I161">
        <f t="shared" si="23"/>
        <v>-0.42980749174669786</v>
      </c>
      <c r="K161">
        <f t="shared" si="24"/>
        <v>-0.64067829705467449</v>
      </c>
      <c r="L161">
        <f t="shared" si="25"/>
        <v>-0.42357136582684463</v>
      </c>
      <c r="N161">
        <f t="shared" si="26"/>
        <v>-0.64532207722112711</v>
      </c>
      <c r="O161">
        <f t="shared" si="27"/>
        <v>-0.42949529554182037</v>
      </c>
      <c r="Q161">
        <f t="shared" si="28"/>
        <v>-5.5601842942761328</v>
      </c>
      <c r="R161">
        <f t="shared" si="29"/>
        <v>-3.7067895281579002</v>
      </c>
    </row>
    <row r="162" spans="1:18" x14ac:dyDescent="0.3">
      <c r="A162">
        <v>-3</v>
      </c>
      <c r="B162">
        <v>-1</v>
      </c>
      <c r="E162">
        <f t="shared" si="20"/>
        <v>-0.94050860224879773</v>
      </c>
      <c r="F162">
        <f t="shared" si="21"/>
        <v>-0.31558594294727105</v>
      </c>
      <c r="H162">
        <f t="shared" si="22"/>
        <v>-0.9511939945492035</v>
      </c>
      <c r="I162">
        <f t="shared" si="23"/>
        <v>-0.3213063326069216</v>
      </c>
      <c r="K162">
        <f t="shared" si="24"/>
        <v>-0.94613465386576079</v>
      </c>
      <c r="L162">
        <f t="shared" si="25"/>
        <v>-0.31118714529139641</v>
      </c>
      <c r="N162">
        <f t="shared" si="26"/>
        <v>-0.95695286350385</v>
      </c>
      <c r="O162">
        <f t="shared" si="27"/>
        <v>-0.31685061366849882</v>
      </c>
      <c r="Q162">
        <f t="shared" si="28"/>
        <v>-6.7947901141676121</v>
      </c>
      <c r="R162">
        <f t="shared" si="29"/>
        <v>-2.2649300345140877</v>
      </c>
    </row>
    <row r="163" spans="1:18" x14ac:dyDescent="0.3">
      <c r="A163">
        <v>-3</v>
      </c>
      <c r="B163">
        <v>0</v>
      </c>
      <c r="E163">
        <f t="shared" si="20"/>
        <v>-1.1037223034180261</v>
      </c>
      <c r="F163">
        <f t="shared" si="21"/>
        <v>-3.6668515063721803E-3</v>
      </c>
      <c r="H163">
        <f t="shared" si="22"/>
        <v>-1.1185369536121272</v>
      </c>
      <c r="I163">
        <f t="shared" si="23"/>
        <v>-3.7409262662612946E-3</v>
      </c>
      <c r="K163">
        <f t="shared" si="24"/>
        <v>-1.1037223034180261</v>
      </c>
      <c r="L163">
        <f t="shared" si="25"/>
        <v>3.6668515063721803E-3</v>
      </c>
      <c r="N163">
        <f t="shared" si="26"/>
        <v>-1.1185369536121272</v>
      </c>
      <c r="O163">
        <f t="shared" si="27"/>
        <v>3.7409262662612946E-3</v>
      </c>
      <c r="Q163">
        <f t="shared" si="28"/>
        <v>-7.4445185140603067</v>
      </c>
      <c r="R163">
        <f t="shared" si="29"/>
        <v>0</v>
      </c>
    </row>
    <row r="164" spans="1:18" x14ac:dyDescent="0.3">
      <c r="A164">
        <v>-3</v>
      </c>
      <c r="B164">
        <v>1</v>
      </c>
      <c r="E164">
        <f t="shared" si="20"/>
        <v>-0.94613465386576079</v>
      </c>
      <c r="F164">
        <f t="shared" si="21"/>
        <v>0.31118714529139641</v>
      </c>
      <c r="H164">
        <f t="shared" si="22"/>
        <v>-0.95695286350385</v>
      </c>
      <c r="I164">
        <f t="shared" si="23"/>
        <v>0.31685061366849882</v>
      </c>
      <c r="K164">
        <f t="shared" si="24"/>
        <v>-0.94050860224879773</v>
      </c>
      <c r="L164">
        <f t="shared" si="25"/>
        <v>0.31558594294727105</v>
      </c>
      <c r="N164">
        <f t="shared" si="26"/>
        <v>-0.9511939945492035</v>
      </c>
      <c r="O164">
        <f t="shared" si="27"/>
        <v>0.3213063326069216</v>
      </c>
      <c r="Q164">
        <f t="shared" si="28"/>
        <v>-6.7947901141676121</v>
      </c>
      <c r="R164">
        <f t="shared" si="29"/>
        <v>2.2649300345140881</v>
      </c>
    </row>
    <row r="165" spans="1:18" x14ac:dyDescent="0.3">
      <c r="A165">
        <v>-3</v>
      </c>
      <c r="B165">
        <v>2</v>
      </c>
      <c r="E165">
        <f t="shared" si="20"/>
        <v>-0.64067829705467449</v>
      </c>
      <c r="F165">
        <f t="shared" si="21"/>
        <v>0.42357136582684463</v>
      </c>
      <c r="H165">
        <f t="shared" si="22"/>
        <v>-0.64532207722112711</v>
      </c>
      <c r="I165">
        <f t="shared" si="23"/>
        <v>0.42949529554182037</v>
      </c>
      <c r="K165">
        <f t="shared" si="24"/>
        <v>-0.63481854670549187</v>
      </c>
      <c r="L165">
        <f t="shared" si="25"/>
        <v>0.42391537504253773</v>
      </c>
      <c r="N165">
        <f t="shared" si="26"/>
        <v>-0.63936537329483922</v>
      </c>
      <c r="O165">
        <f t="shared" si="27"/>
        <v>0.42980749174669786</v>
      </c>
      <c r="Q165">
        <f t="shared" si="28"/>
        <v>-5.5601842942761328</v>
      </c>
      <c r="R165">
        <f t="shared" si="29"/>
        <v>3.7067895281579006</v>
      </c>
    </row>
    <row r="166" spans="1:18" x14ac:dyDescent="0.3">
      <c r="A166">
        <v>-3</v>
      </c>
      <c r="B166">
        <v>3</v>
      </c>
      <c r="E166">
        <f t="shared" si="20"/>
        <v>-0.39413998864333244</v>
      </c>
      <c r="F166">
        <f t="shared" si="21"/>
        <v>0.39152111828689834</v>
      </c>
      <c r="H166">
        <f t="shared" si="22"/>
        <v>-0.39546916767516443</v>
      </c>
      <c r="I166">
        <f t="shared" si="23"/>
        <v>0.39546916767516443</v>
      </c>
      <c r="K166">
        <f t="shared" si="24"/>
        <v>-0.39023122326825738</v>
      </c>
      <c r="L166">
        <f t="shared" si="25"/>
        <v>0.39023122326825738</v>
      </c>
      <c r="N166">
        <f t="shared" si="26"/>
        <v>-0.39152111828689834</v>
      </c>
      <c r="O166">
        <f t="shared" si="27"/>
        <v>0.39413998864333244</v>
      </c>
      <c r="Q166">
        <f t="shared" si="28"/>
        <v>-4.571361497873653</v>
      </c>
      <c r="R166">
        <f t="shared" si="29"/>
        <v>4.571361497873653</v>
      </c>
    </row>
    <row r="167" spans="1:18" x14ac:dyDescent="0.3">
      <c r="A167">
        <v>-3</v>
      </c>
      <c r="B167">
        <v>4</v>
      </c>
      <c r="E167">
        <f t="shared" si="20"/>
        <v>-0.24108635387161517</v>
      </c>
      <c r="F167">
        <f t="shared" si="21"/>
        <v>0.31957958536469921</v>
      </c>
      <c r="H167">
        <f t="shared" si="22"/>
        <v>-0.24122052648009457</v>
      </c>
      <c r="I167">
        <f t="shared" si="23"/>
        <v>0.32189628784467467</v>
      </c>
      <c r="K167">
        <f t="shared" si="24"/>
        <v>-0.23878849760307794</v>
      </c>
      <c r="L167">
        <f t="shared" si="25"/>
        <v>0.31812022438150916</v>
      </c>
      <c r="N167">
        <f t="shared" si="26"/>
        <v>-0.23891038213373283</v>
      </c>
      <c r="O167">
        <f t="shared" si="27"/>
        <v>0.32041158272784903</v>
      </c>
      <c r="Q167">
        <f t="shared" si="28"/>
        <v>-3.9600057600885208</v>
      </c>
      <c r="R167">
        <f t="shared" si="29"/>
        <v>5.2800076803187324</v>
      </c>
    </row>
    <row r="168" spans="1:18" x14ac:dyDescent="0.3">
      <c r="A168">
        <v>-3</v>
      </c>
      <c r="B168">
        <v>5</v>
      </c>
      <c r="E168">
        <f t="shared" si="20"/>
        <v>-0.15209366903173813</v>
      </c>
      <c r="F168">
        <f t="shared" si="21"/>
        <v>0.25214199616889482</v>
      </c>
      <c r="H168">
        <f t="shared" si="22"/>
        <v>-0.15188742053475673</v>
      </c>
      <c r="I168">
        <f t="shared" si="23"/>
        <v>0.25348435734730307</v>
      </c>
      <c r="K168">
        <f t="shared" si="24"/>
        <v>-0.15075991659684468</v>
      </c>
      <c r="L168">
        <f t="shared" si="25"/>
        <v>0.2509326186545488</v>
      </c>
      <c r="N168">
        <f t="shared" si="26"/>
        <v>-0.15055078824545723</v>
      </c>
      <c r="O168">
        <f t="shared" si="27"/>
        <v>0.2522606853209835</v>
      </c>
      <c r="Q168">
        <f t="shared" si="28"/>
        <v>-3.6052917944087968</v>
      </c>
      <c r="R168">
        <f t="shared" si="29"/>
        <v>6.0088196574917303</v>
      </c>
    </row>
    <row r="169" spans="1:18" x14ac:dyDescent="0.3">
      <c r="A169">
        <v>-3</v>
      </c>
      <c r="B169">
        <v>6</v>
      </c>
      <c r="E169">
        <f t="shared" si="20"/>
        <v>-9.9911158393597668E-2</v>
      </c>
      <c r="F169">
        <f t="shared" si="21"/>
        <v>0.1988265245108472</v>
      </c>
      <c r="H169">
        <f t="shared" si="22"/>
        <v>-9.9646145287230356E-2</v>
      </c>
      <c r="I169">
        <f t="shared" si="23"/>
        <v>0.199625555274418</v>
      </c>
      <c r="K169">
        <f t="shared" si="24"/>
        <v>-9.9116115242650543E-2</v>
      </c>
      <c r="L169">
        <f t="shared" si="25"/>
        <v>0.19790294106589029</v>
      </c>
      <c r="N169">
        <f t="shared" si="26"/>
        <v>-9.8851102132357357E-2</v>
      </c>
      <c r="O169">
        <f t="shared" si="27"/>
        <v>0.19869402134296577</v>
      </c>
      <c r="Q169">
        <f t="shared" si="28"/>
        <v>-3.397524521055836</v>
      </c>
      <c r="R169">
        <f t="shared" si="29"/>
        <v>6.7950490421941208</v>
      </c>
    </row>
    <row r="170" spans="1:18" x14ac:dyDescent="0.3">
      <c r="A170">
        <v>-3</v>
      </c>
      <c r="B170">
        <v>7</v>
      </c>
      <c r="E170">
        <f t="shared" si="20"/>
        <v>-6.8284387209152572E-2</v>
      </c>
      <c r="F170">
        <f t="shared" si="21"/>
        <v>0.15857404205713507</v>
      </c>
      <c r="H170">
        <f t="shared" si="22"/>
        <v>-6.8042016601525396E-2</v>
      </c>
      <c r="I170">
        <f t="shared" si="23"/>
        <v>0.15906812576744567</v>
      </c>
      <c r="K170">
        <f t="shared" si="24"/>
        <v>-6.7792208129647563E-2</v>
      </c>
      <c r="L170">
        <f t="shared" si="25"/>
        <v>0.15788152125874733</v>
      </c>
      <c r="N170">
        <f t="shared" si="26"/>
        <v>-6.7550572415545421E-2</v>
      </c>
      <c r="O170">
        <f t="shared" si="27"/>
        <v>0.15837107445918841</v>
      </c>
      <c r="Q170">
        <f t="shared" si="28"/>
        <v>-3.2716691843558712</v>
      </c>
      <c r="R170">
        <f t="shared" si="29"/>
        <v>7.6338947635425161</v>
      </c>
    </row>
    <row r="171" spans="1:18" x14ac:dyDescent="0.3">
      <c r="A171">
        <v>-3</v>
      </c>
      <c r="B171">
        <v>8</v>
      </c>
      <c r="E171">
        <f t="shared" si="20"/>
        <v>-4.8358566207597042E-2</v>
      </c>
      <c r="F171">
        <f t="shared" si="21"/>
        <v>0.12836709102946858</v>
      </c>
      <c r="H171">
        <f t="shared" si="22"/>
        <v>-4.8156101514115514E-2</v>
      </c>
      <c r="I171">
        <f t="shared" si="23"/>
        <v>0.128684699363807</v>
      </c>
      <c r="K171">
        <f t="shared" si="24"/>
        <v>-4.804189496323278E-2</v>
      </c>
      <c r="L171">
        <f t="shared" si="25"/>
        <v>0.12784570719451649</v>
      </c>
      <c r="N171">
        <f t="shared" si="26"/>
        <v>-4.7840238992074298E-2</v>
      </c>
      <c r="O171">
        <f t="shared" si="27"/>
        <v>0.12816064024298163</v>
      </c>
      <c r="Q171">
        <f t="shared" si="28"/>
        <v>-3.1923968016770194</v>
      </c>
      <c r="R171">
        <f t="shared" si="29"/>
        <v>8.5130581378307735</v>
      </c>
    </row>
    <row r="172" spans="1:18" x14ac:dyDescent="0.3">
      <c r="A172">
        <v>-3</v>
      </c>
      <c r="B172">
        <v>9</v>
      </c>
      <c r="E172">
        <f t="shared" si="20"/>
        <v>-3.5324046711595516E-2</v>
      </c>
      <c r="F172">
        <f t="shared" si="21"/>
        <v>0.10550271758712416</v>
      </c>
      <c r="H172">
        <f t="shared" si="22"/>
        <v>-3.5159725108168324E-2</v>
      </c>
      <c r="I172">
        <f t="shared" si="23"/>
        <v>0.10571435743225191</v>
      </c>
      <c r="K172">
        <f t="shared" si="24"/>
        <v>-3.5112877539269463E-2</v>
      </c>
      <c r="L172">
        <f t="shared" si="25"/>
        <v>0.10510532446140128</v>
      </c>
      <c r="N172">
        <f t="shared" si="26"/>
        <v>-3.4949258664601683E-2</v>
      </c>
      <c r="O172">
        <f t="shared" si="27"/>
        <v>0.10531532460470273</v>
      </c>
      <c r="Q172">
        <f t="shared" si="28"/>
        <v>-3.1405459080236349</v>
      </c>
      <c r="R172">
        <f t="shared" si="29"/>
        <v>9.4216377240854801</v>
      </c>
    </row>
    <row r="173" spans="1:18" x14ac:dyDescent="0.3">
      <c r="A173">
        <v>-3</v>
      </c>
      <c r="B173">
        <v>10</v>
      </c>
      <c r="E173">
        <f t="shared" si="20"/>
        <v>-2.6501033053869444E-2</v>
      </c>
      <c r="F173">
        <f t="shared" si="21"/>
        <v>8.7955255883108222E-2</v>
      </c>
      <c r="H173">
        <f t="shared" si="22"/>
        <v>-2.6368534727452202E-2</v>
      </c>
      <c r="I173">
        <f t="shared" si="23"/>
        <v>8.8100890276671395E-2</v>
      </c>
      <c r="K173">
        <f t="shared" si="24"/>
        <v>-2.6355636487177963E-2</v>
      </c>
      <c r="L173">
        <f t="shared" si="25"/>
        <v>8.7647814364336024E-2</v>
      </c>
      <c r="N173">
        <f t="shared" si="26"/>
        <v>-2.6223706187415971E-2</v>
      </c>
      <c r="O173">
        <f t="shared" si="27"/>
        <v>8.7792407670914327E-2</v>
      </c>
      <c r="Q173">
        <f t="shared" si="28"/>
        <v>-3.1054489104559155</v>
      </c>
      <c r="R173">
        <f t="shared" si="29"/>
        <v>10.351496368195029</v>
      </c>
    </row>
    <row r="174" spans="1:18" x14ac:dyDescent="0.3">
      <c r="A174">
        <v>-2</v>
      </c>
      <c r="B174">
        <v>-10</v>
      </c>
      <c r="E174">
        <f t="shared" si="20"/>
        <v>-1.8886139945972259E-2</v>
      </c>
      <c r="F174">
        <f t="shared" si="21"/>
        <v>-9.4054856148846927E-2</v>
      </c>
      <c r="H174">
        <f t="shared" si="22"/>
        <v>-1.8719763975818874E-2</v>
      </c>
      <c r="I174">
        <f t="shared" si="23"/>
        <v>-9.4163234873340176E-2</v>
      </c>
      <c r="K174">
        <f t="shared" si="24"/>
        <v>-1.8995371145346666E-2</v>
      </c>
      <c r="L174">
        <f t="shared" si="25"/>
        <v>-9.4409829722394645E-2</v>
      </c>
      <c r="N174">
        <f t="shared" si="26"/>
        <v>-1.8828116468044928E-2</v>
      </c>
      <c r="O174">
        <f t="shared" si="27"/>
        <v>-9.4519036942597404E-2</v>
      </c>
      <c r="Q174">
        <f t="shared" si="28"/>
        <v>-2.0754293915351827</v>
      </c>
      <c r="R174">
        <f t="shared" si="29"/>
        <v>-10.377146957687179</v>
      </c>
    </row>
    <row r="175" spans="1:18" x14ac:dyDescent="0.3">
      <c r="A175">
        <v>-2</v>
      </c>
      <c r="B175">
        <v>-9</v>
      </c>
      <c r="E175">
        <f t="shared" si="20"/>
        <v>-2.5549489899176967E-2</v>
      </c>
      <c r="F175">
        <f t="shared" si="21"/>
        <v>-0.11452781293113656</v>
      </c>
      <c r="H175">
        <f t="shared" si="22"/>
        <v>-2.5330926651546706E-2</v>
      </c>
      <c r="I175">
        <f t="shared" si="23"/>
        <v>-0.11468927091981698</v>
      </c>
      <c r="K175">
        <f t="shared" si="24"/>
        <v>-2.5712244012162142E-2</v>
      </c>
      <c r="L175">
        <f t="shared" si="25"/>
        <v>-0.11500152918872522</v>
      </c>
      <c r="N175">
        <f t="shared" si="26"/>
        <v>-2.5492440908539117E-2</v>
      </c>
      <c r="O175">
        <f t="shared" si="27"/>
        <v>-0.1151643436018928</v>
      </c>
      <c r="Q175">
        <f t="shared" si="28"/>
        <v>-2.1020851014714248</v>
      </c>
      <c r="R175">
        <f t="shared" si="29"/>
        <v>-9.459382956641571</v>
      </c>
    </row>
    <row r="176" spans="1:18" x14ac:dyDescent="0.3">
      <c r="A176">
        <v>-2</v>
      </c>
      <c r="B176">
        <v>-8</v>
      </c>
      <c r="E176">
        <f t="shared" si="20"/>
        <v>-3.5687619929340157E-2</v>
      </c>
      <c r="F176">
        <f t="shared" si="21"/>
        <v>-0.14221782867363916</v>
      </c>
      <c r="H176">
        <f t="shared" si="22"/>
        <v>-3.5394778987521663E-2</v>
      </c>
      <c r="I176">
        <f t="shared" si="23"/>
        <v>-0.14246843200504949</v>
      </c>
      <c r="K176">
        <f t="shared" si="24"/>
        <v>-3.5940274316162195E-2</v>
      </c>
      <c r="L176">
        <f t="shared" si="25"/>
        <v>-0.14286706059011742</v>
      </c>
      <c r="N176">
        <f t="shared" si="26"/>
        <v>-3.5645656193106577E-2</v>
      </c>
      <c r="O176">
        <f t="shared" si="27"/>
        <v>-0.14311999647382992</v>
      </c>
      <c r="Q176">
        <f t="shared" si="28"/>
        <v>-2.1426683294261304</v>
      </c>
      <c r="R176">
        <f t="shared" si="29"/>
        <v>-8.5706733177426351</v>
      </c>
    </row>
    <row r="177" spans="1:18" x14ac:dyDescent="0.3">
      <c r="A177">
        <v>-2</v>
      </c>
      <c r="B177">
        <v>-7</v>
      </c>
      <c r="E177">
        <f t="shared" si="20"/>
        <v>-5.1828794547490703E-2</v>
      </c>
      <c r="F177">
        <f t="shared" si="21"/>
        <v>-0.18075614416811436</v>
      </c>
      <c r="H177">
        <f t="shared" si="22"/>
        <v>-5.1429090152051687E-2</v>
      </c>
      <c r="I177">
        <f t="shared" si="23"/>
        <v>-0.18116478490747856</v>
      </c>
      <c r="K177">
        <f t="shared" si="24"/>
        <v>-5.2240832174982918E-2</v>
      </c>
      <c r="L177">
        <f t="shared" si="25"/>
        <v>-0.18167334174285107</v>
      </c>
      <c r="N177">
        <f t="shared" si="26"/>
        <v>-5.1838570205594778E-2</v>
      </c>
      <c r="O177">
        <f t="shared" si="27"/>
        <v>-0.18208623403874749</v>
      </c>
      <c r="Q177">
        <f t="shared" si="28"/>
        <v>-2.20733728708012</v>
      </c>
      <c r="R177">
        <f t="shared" si="29"/>
        <v>-7.7256805048571913</v>
      </c>
    </row>
    <row r="178" spans="1:18" x14ac:dyDescent="0.3">
      <c r="A178">
        <v>-2</v>
      </c>
      <c r="B178">
        <v>-6</v>
      </c>
      <c r="E178">
        <f t="shared" si="20"/>
        <v>-7.8977295377199927E-2</v>
      </c>
      <c r="F178">
        <f t="shared" si="21"/>
        <v>-0.2361460423965033</v>
      </c>
      <c r="H178">
        <f t="shared" si="22"/>
        <v>-7.8425673395990117E-2</v>
      </c>
      <c r="I178">
        <f t="shared" si="23"/>
        <v>-0.23685341563311588</v>
      </c>
      <c r="K178">
        <f t="shared" si="24"/>
        <v>-7.9690581297747531E-2</v>
      </c>
      <c r="L178">
        <f t="shared" si="25"/>
        <v>-0.23748586167836205</v>
      </c>
      <c r="N178">
        <f t="shared" si="26"/>
        <v>-7.9135401749722847E-2</v>
      </c>
      <c r="O178">
        <f t="shared" si="27"/>
        <v>-0.23820153592002005</v>
      </c>
      <c r="Q178">
        <f t="shared" si="28"/>
        <v>-2.3162289518206602</v>
      </c>
      <c r="R178">
        <f t="shared" si="29"/>
        <v>-6.9486868556280008</v>
      </c>
    </row>
    <row r="179" spans="1:18" x14ac:dyDescent="0.3">
      <c r="A179">
        <v>-2</v>
      </c>
      <c r="B179">
        <v>-5</v>
      </c>
      <c r="E179">
        <f t="shared" si="20"/>
        <v>-0.12777834687364931</v>
      </c>
      <c r="F179">
        <f t="shared" si="21"/>
        <v>-0.31849229743133489</v>
      </c>
      <c r="H179">
        <f t="shared" si="22"/>
        <v>-0.12702967239397109</v>
      </c>
      <c r="I179">
        <f t="shared" si="23"/>
        <v>-0.31980837120291211</v>
      </c>
      <c r="K179">
        <f t="shared" si="24"/>
        <v>-0.12910520905129486</v>
      </c>
      <c r="L179">
        <f t="shared" si="25"/>
        <v>-0.3205149219731151</v>
      </c>
      <c r="N179">
        <f t="shared" si="26"/>
        <v>-0.12835242306582886</v>
      </c>
      <c r="O179">
        <f t="shared" si="27"/>
        <v>-0.32184853824044524</v>
      </c>
      <c r="Q179">
        <f t="shared" si="28"/>
        <v>-2.5122656513847441</v>
      </c>
      <c r="R179">
        <f t="shared" si="29"/>
        <v>-6.2806641288478069</v>
      </c>
    </row>
    <row r="180" spans="1:18" x14ac:dyDescent="0.3">
      <c r="A180">
        <v>-2</v>
      </c>
      <c r="B180">
        <v>-4</v>
      </c>
      <c r="E180">
        <f t="shared" si="20"/>
        <v>-0.22271405091447166</v>
      </c>
      <c r="F180">
        <f t="shared" si="21"/>
        <v>-0.44432007172489124</v>
      </c>
      <c r="H180">
        <f t="shared" si="22"/>
        <v>-0.22181964158925921</v>
      </c>
      <c r="I180">
        <f t="shared" si="23"/>
        <v>-0.4469832978758439</v>
      </c>
      <c r="K180">
        <f t="shared" si="24"/>
        <v>-0.22539730786816123</v>
      </c>
      <c r="L180">
        <f t="shared" si="25"/>
        <v>-0.44743047681291714</v>
      </c>
      <c r="N180">
        <f t="shared" si="26"/>
        <v>-0.22450289858766506</v>
      </c>
      <c r="O180">
        <f t="shared" si="27"/>
        <v>-0.4501339524446149</v>
      </c>
      <c r="Q180">
        <f t="shared" si="28"/>
        <v>-2.8944338989595573</v>
      </c>
      <c r="R180">
        <f t="shared" si="29"/>
        <v>-5.7888677988582673</v>
      </c>
    </row>
    <row r="181" spans="1:18" x14ac:dyDescent="0.3">
      <c r="A181">
        <v>-2</v>
      </c>
      <c r="B181">
        <v>-3</v>
      </c>
      <c r="E181">
        <f t="shared" si="20"/>
        <v>-0.42391537504253773</v>
      </c>
      <c r="F181">
        <f t="shared" si="21"/>
        <v>-0.63481854670549187</v>
      </c>
      <c r="H181">
        <f t="shared" si="22"/>
        <v>-0.42357136582684463</v>
      </c>
      <c r="I181">
        <f t="shared" si="23"/>
        <v>-0.64067829705467449</v>
      </c>
      <c r="K181">
        <f t="shared" si="24"/>
        <v>-0.42980749174669786</v>
      </c>
      <c r="L181">
        <f t="shared" si="25"/>
        <v>-0.63936537329483922</v>
      </c>
      <c r="N181">
        <f t="shared" si="26"/>
        <v>-0.42949529554182037</v>
      </c>
      <c r="O181">
        <f t="shared" si="27"/>
        <v>-0.64532207722112711</v>
      </c>
      <c r="Q181">
        <f t="shared" si="28"/>
        <v>-3.7067895281579002</v>
      </c>
      <c r="R181">
        <f t="shared" si="29"/>
        <v>-5.5601842942761328</v>
      </c>
    </row>
    <row r="182" spans="1:18" x14ac:dyDescent="0.3">
      <c r="A182">
        <v>-2</v>
      </c>
      <c r="B182">
        <v>-2</v>
      </c>
      <c r="E182">
        <f t="shared" si="20"/>
        <v>-0.87511049378300998</v>
      </c>
      <c r="F182">
        <f t="shared" si="21"/>
        <v>-0.87511049378300998</v>
      </c>
      <c r="H182">
        <f t="shared" si="22"/>
        <v>-0.87943108022914407</v>
      </c>
      <c r="I182">
        <f t="shared" si="23"/>
        <v>-0.88826958354802976</v>
      </c>
      <c r="K182">
        <f t="shared" si="24"/>
        <v>-0.88826958354802976</v>
      </c>
      <c r="L182">
        <f t="shared" si="25"/>
        <v>-0.87943108022914407</v>
      </c>
      <c r="N182">
        <f t="shared" si="26"/>
        <v>-0.89278904722929686</v>
      </c>
      <c r="O182">
        <f t="shared" si="27"/>
        <v>-0.89278904722929686</v>
      </c>
      <c r="Q182">
        <f t="shared" si="28"/>
        <v>-5.5356002047894801</v>
      </c>
      <c r="R182">
        <f t="shared" si="29"/>
        <v>-5.5356002047894801</v>
      </c>
    </row>
    <row r="183" spans="1:18" x14ac:dyDescent="0.3">
      <c r="A183">
        <v>-2</v>
      </c>
      <c r="B183">
        <v>-1</v>
      </c>
      <c r="E183">
        <f t="shared" si="20"/>
        <v>-1.7658122851808384</v>
      </c>
      <c r="F183">
        <f t="shared" si="21"/>
        <v>-0.88729871046400344</v>
      </c>
      <c r="H183">
        <f t="shared" si="22"/>
        <v>-1.7905353537089028</v>
      </c>
      <c r="I183">
        <f t="shared" si="23"/>
        <v>-0.90876417449547331</v>
      </c>
      <c r="K183">
        <f t="shared" si="24"/>
        <v>-1.786958753954405</v>
      </c>
      <c r="L183">
        <f t="shared" si="25"/>
        <v>-0.8801438638879906</v>
      </c>
      <c r="N183">
        <f t="shared" si="26"/>
        <v>-1.8123258265181039</v>
      </c>
      <c r="O183">
        <f t="shared" si="27"/>
        <v>-0.90160933078036332</v>
      </c>
      <c r="Q183">
        <f t="shared" si="28"/>
        <v>-9.1556322193622499</v>
      </c>
      <c r="R183">
        <f t="shared" si="29"/>
        <v>-4.57781607962783</v>
      </c>
    </row>
    <row r="184" spans="1:18" x14ac:dyDescent="0.3">
      <c r="A184">
        <v>-2</v>
      </c>
      <c r="B184">
        <v>0</v>
      </c>
      <c r="E184">
        <f t="shared" si="20"/>
        <v>-2.4750943624039712</v>
      </c>
      <c r="F184">
        <f t="shared" si="21"/>
        <v>-1.2313902300517271E-2</v>
      </c>
      <c r="H184">
        <f t="shared" si="22"/>
        <v>-2.5250931122047549</v>
      </c>
      <c r="I184">
        <f t="shared" si="23"/>
        <v>-1.2688910111581684E-2</v>
      </c>
      <c r="K184">
        <f t="shared" si="24"/>
        <v>-2.4750943624039712</v>
      </c>
      <c r="L184">
        <f t="shared" si="25"/>
        <v>1.2313902300517271E-2</v>
      </c>
      <c r="N184">
        <f t="shared" si="26"/>
        <v>-2.5250931122047549</v>
      </c>
      <c r="O184">
        <f t="shared" si="27"/>
        <v>1.2688910111581684E-2</v>
      </c>
      <c r="Q184">
        <f t="shared" si="28"/>
        <v>-12.000374949217452</v>
      </c>
      <c r="R184">
        <f t="shared" si="29"/>
        <v>0</v>
      </c>
    </row>
    <row r="185" spans="1:18" x14ac:dyDescent="0.3">
      <c r="A185">
        <v>-2</v>
      </c>
      <c r="B185">
        <v>1</v>
      </c>
      <c r="E185">
        <f t="shared" si="20"/>
        <v>-1.786958753954405</v>
      </c>
      <c r="F185">
        <f t="shared" si="21"/>
        <v>0.8801438638879906</v>
      </c>
      <c r="H185">
        <f t="shared" si="22"/>
        <v>-1.8123258265181039</v>
      </c>
      <c r="I185">
        <f t="shared" si="23"/>
        <v>0.90160933078036332</v>
      </c>
      <c r="K185">
        <f t="shared" si="24"/>
        <v>-1.7658122851808384</v>
      </c>
      <c r="L185">
        <f t="shared" si="25"/>
        <v>0.88729871046400344</v>
      </c>
      <c r="N185">
        <f t="shared" si="26"/>
        <v>-1.7905353537089028</v>
      </c>
      <c r="O185">
        <f t="shared" si="27"/>
        <v>0.90876417449547331</v>
      </c>
      <c r="Q185">
        <f t="shared" si="28"/>
        <v>-9.1556322193622499</v>
      </c>
      <c r="R185">
        <f t="shared" si="29"/>
        <v>4.5778160796278309</v>
      </c>
    </row>
    <row r="186" spans="1:18" x14ac:dyDescent="0.3">
      <c r="A186">
        <v>-2</v>
      </c>
      <c r="B186">
        <v>2</v>
      </c>
      <c r="E186">
        <f t="shared" si="20"/>
        <v>-0.88826958354802976</v>
      </c>
      <c r="F186">
        <f t="shared" si="21"/>
        <v>0.87943108022914407</v>
      </c>
      <c r="H186">
        <f t="shared" si="22"/>
        <v>-0.89278904722929686</v>
      </c>
      <c r="I186">
        <f t="shared" si="23"/>
        <v>0.89278904722929686</v>
      </c>
      <c r="K186">
        <f t="shared" si="24"/>
        <v>-0.87511049378300998</v>
      </c>
      <c r="L186">
        <f t="shared" si="25"/>
        <v>0.87511049378300998</v>
      </c>
      <c r="N186">
        <f t="shared" si="26"/>
        <v>-0.87943108022914407</v>
      </c>
      <c r="O186">
        <f t="shared" si="27"/>
        <v>0.88826958354802976</v>
      </c>
      <c r="Q186">
        <f t="shared" si="28"/>
        <v>-5.5356002047894801</v>
      </c>
      <c r="R186">
        <f t="shared" si="29"/>
        <v>5.5356002047894801</v>
      </c>
    </row>
    <row r="187" spans="1:18" x14ac:dyDescent="0.3">
      <c r="A187">
        <v>-2</v>
      </c>
      <c r="B187">
        <v>3</v>
      </c>
      <c r="E187">
        <f t="shared" si="20"/>
        <v>-0.42980749174669786</v>
      </c>
      <c r="F187">
        <f t="shared" si="21"/>
        <v>0.63936537329483922</v>
      </c>
      <c r="H187">
        <f t="shared" si="22"/>
        <v>-0.42949529554182037</v>
      </c>
      <c r="I187">
        <f t="shared" si="23"/>
        <v>0.64532207722112711</v>
      </c>
      <c r="K187">
        <f t="shared" si="24"/>
        <v>-0.42391537504253773</v>
      </c>
      <c r="L187">
        <f t="shared" si="25"/>
        <v>0.63481854670549187</v>
      </c>
      <c r="N187">
        <f t="shared" si="26"/>
        <v>-0.42357136582684463</v>
      </c>
      <c r="O187">
        <f t="shared" si="27"/>
        <v>0.64067829705467449</v>
      </c>
      <c r="Q187">
        <f t="shared" si="28"/>
        <v>-3.7067895281579006</v>
      </c>
      <c r="R187">
        <f t="shared" si="29"/>
        <v>5.5601842942761328</v>
      </c>
    </row>
    <row r="188" spans="1:18" x14ac:dyDescent="0.3">
      <c r="A188">
        <v>-2</v>
      </c>
      <c r="B188">
        <v>4</v>
      </c>
      <c r="E188">
        <f t="shared" si="20"/>
        <v>-0.22539730786816123</v>
      </c>
      <c r="F188">
        <f t="shared" si="21"/>
        <v>0.44743047681291714</v>
      </c>
      <c r="H188">
        <f t="shared" si="22"/>
        <v>-0.22450289858766506</v>
      </c>
      <c r="I188">
        <f t="shared" si="23"/>
        <v>0.4501339524446149</v>
      </c>
      <c r="K188">
        <f t="shared" si="24"/>
        <v>-0.22271405091447166</v>
      </c>
      <c r="L188">
        <f t="shared" si="25"/>
        <v>0.44432007172489124</v>
      </c>
      <c r="N188">
        <f t="shared" si="26"/>
        <v>-0.22181964158925921</v>
      </c>
      <c r="O188">
        <f t="shared" si="27"/>
        <v>0.4469832978758439</v>
      </c>
      <c r="Q188">
        <f t="shared" si="28"/>
        <v>-2.8944338989595573</v>
      </c>
      <c r="R188">
        <f t="shared" si="29"/>
        <v>5.7888677988582673</v>
      </c>
    </row>
    <row r="189" spans="1:18" x14ac:dyDescent="0.3">
      <c r="A189">
        <v>-2</v>
      </c>
      <c r="B189">
        <v>5</v>
      </c>
      <c r="E189">
        <f t="shared" si="20"/>
        <v>-0.12910520905129486</v>
      </c>
      <c r="F189">
        <f t="shared" si="21"/>
        <v>0.3205149219731151</v>
      </c>
      <c r="H189">
        <f t="shared" si="22"/>
        <v>-0.12835242306582886</v>
      </c>
      <c r="I189">
        <f t="shared" si="23"/>
        <v>0.32184853824044524</v>
      </c>
      <c r="K189">
        <f t="shared" si="24"/>
        <v>-0.12777834687364931</v>
      </c>
      <c r="L189">
        <f t="shared" si="25"/>
        <v>0.31849229743133489</v>
      </c>
      <c r="N189">
        <f t="shared" si="26"/>
        <v>-0.12702967239397109</v>
      </c>
      <c r="O189">
        <f t="shared" si="27"/>
        <v>0.31980837120291211</v>
      </c>
      <c r="Q189">
        <f t="shared" si="28"/>
        <v>-2.5122656513847441</v>
      </c>
      <c r="R189">
        <f t="shared" si="29"/>
        <v>6.2806641288478069</v>
      </c>
    </row>
    <row r="190" spans="1:18" x14ac:dyDescent="0.3">
      <c r="A190">
        <v>-2</v>
      </c>
      <c r="B190">
        <v>6</v>
      </c>
      <c r="E190">
        <f t="shared" si="20"/>
        <v>-7.9690581297747531E-2</v>
      </c>
      <c r="F190">
        <f t="shared" si="21"/>
        <v>0.23748586167836205</v>
      </c>
      <c r="H190">
        <f t="shared" si="22"/>
        <v>-7.9135401749722847E-2</v>
      </c>
      <c r="I190">
        <f t="shared" si="23"/>
        <v>0.23820153592002005</v>
      </c>
      <c r="K190">
        <f t="shared" si="24"/>
        <v>-7.8977295377199927E-2</v>
      </c>
      <c r="L190">
        <f t="shared" si="25"/>
        <v>0.2361460423965033</v>
      </c>
      <c r="N190">
        <f t="shared" si="26"/>
        <v>-7.8425673395990117E-2</v>
      </c>
      <c r="O190">
        <f t="shared" si="27"/>
        <v>0.23685341563311588</v>
      </c>
      <c r="Q190">
        <f t="shared" si="28"/>
        <v>-2.3162289518206602</v>
      </c>
      <c r="R190">
        <f t="shared" si="29"/>
        <v>6.9486868556280008</v>
      </c>
    </row>
    <row r="191" spans="1:18" x14ac:dyDescent="0.3">
      <c r="A191">
        <v>-2</v>
      </c>
      <c r="B191">
        <v>7</v>
      </c>
      <c r="E191">
        <f t="shared" si="20"/>
        <v>-5.2240832174982918E-2</v>
      </c>
      <c r="F191">
        <f t="shared" si="21"/>
        <v>0.18167334174285107</v>
      </c>
      <c r="H191">
        <f t="shared" si="22"/>
        <v>-5.1838570205594778E-2</v>
      </c>
      <c r="I191">
        <f t="shared" si="23"/>
        <v>0.18208623403874749</v>
      </c>
      <c r="K191">
        <f t="shared" si="24"/>
        <v>-5.1828794547490703E-2</v>
      </c>
      <c r="L191">
        <f t="shared" si="25"/>
        <v>0.18075614416811436</v>
      </c>
      <c r="N191">
        <f t="shared" si="26"/>
        <v>-5.1429090152051687E-2</v>
      </c>
      <c r="O191">
        <f t="shared" si="27"/>
        <v>0.18116478490747856</v>
      </c>
      <c r="Q191">
        <f t="shared" si="28"/>
        <v>-2.20733728708012</v>
      </c>
      <c r="R191">
        <f t="shared" si="29"/>
        <v>7.7256805048571913</v>
      </c>
    </row>
    <row r="192" spans="1:18" x14ac:dyDescent="0.3">
      <c r="A192">
        <v>-2</v>
      </c>
      <c r="B192">
        <v>8</v>
      </c>
      <c r="E192">
        <f t="shared" si="20"/>
        <v>-3.5940274316162195E-2</v>
      </c>
      <c r="F192">
        <f t="shared" si="21"/>
        <v>0.14286706059011742</v>
      </c>
      <c r="H192">
        <f t="shared" si="22"/>
        <v>-3.5645656193106577E-2</v>
      </c>
      <c r="I192">
        <f t="shared" si="23"/>
        <v>0.14311999647382992</v>
      </c>
      <c r="K192">
        <f t="shared" si="24"/>
        <v>-3.5687619929340157E-2</v>
      </c>
      <c r="L192">
        <f t="shared" si="25"/>
        <v>0.14221782867363916</v>
      </c>
      <c r="N192">
        <f t="shared" si="26"/>
        <v>-3.5394778987521663E-2</v>
      </c>
      <c r="O192">
        <f t="shared" si="27"/>
        <v>0.14246843200504949</v>
      </c>
      <c r="Q192">
        <f t="shared" si="28"/>
        <v>-2.1426683294261304</v>
      </c>
      <c r="R192">
        <f t="shared" si="29"/>
        <v>8.5706733177426351</v>
      </c>
    </row>
    <row r="193" spans="1:18" x14ac:dyDescent="0.3">
      <c r="A193">
        <v>-2</v>
      </c>
      <c r="B193">
        <v>9</v>
      </c>
      <c r="E193">
        <f t="shared" si="20"/>
        <v>-2.5712244012162142E-2</v>
      </c>
      <c r="F193">
        <f t="shared" si="21"/>
        <v>0.11500152918872522</v>
      </c>
      <c r="H193">
        <f t="shared" si="22"/>
        <v>-2.5492440908539117E-2</v>
      </c>
      <c r="I193">
        <f t="shared" si="23"/>
        <v>0.1151643436018928</v>
      </c>
      <c r="K193">
        <f t="shared" si="24"/>
        <v>-2.5549489899176967E-2</v>
      </c>
      <c r="L193">
        <f t="shared" si="25"/>
        <v>0.11452781293113656</v>
      </c>
      <c r="N193">
        <f t="shared" si="26"/>
        <v>-2.5330926651546706E-2</v>
      </c>
      <c r="O193">
        <f t="shared" si="27"/>
        <v>0.11468927091981698</v>
      </c>
      <c r="Q193">
        <f t="shared" si="28"/>
        <v>-2.1020851014714248</v>
      </c>
      <c r="R193">
        <f t="shared" si="29"/>
        <v>9.459382956641571</v>
      </c>
    </row>
    <row r="194" spans="1:18" x14ac:dyDescent="0.3">
      <c r="A194">
        <v>-2</v>
      </c>
      <c r="B194">
        <v>10</v>
      </c>
      <c r="E194">
        <f t="shared" si="20"/>
        <v>-1.8995371145346666E-2</v>
      </c>
      <c r="F194">
        <f t="shared" si="21"/>
        <v>9.4409829722394645E-2</v>
      </c>
      <c r="H194">
        <f t="shared" si="22"/>
        <v>-1.8828116468044928E-2</v>
      </c>
      <c r="I194">
        <f t="shared" si="23"/>
        <v>9.4519036942597404E-2</v>
      </c>
      <c r="K194">
        <f t="shared" si="24"/>
        <v>-1.8886139945972259E-2</v>
      </c>
      <c r="L194">
        <f t="shared" si="25"/>
        <v>9.4054856148846927E-2</v>
      </c>
      <c r="N194">
        <f t="shared" si="26"/>
        <v>-1.8719763975818874E-2</v>
      </c>
      <c r="O194">
        <f t="shared" si="27"/>
        <v>9.4163234873340176E-2</v>
      </c>
      <c r="Q194">
        <f t="shared" si="28"/>
        <v>-2.0754293915351827</v>
      </c>
      <c r="R194">
        <f t="shared" si="29"/>
        <v>10.377146957687179</v>
      </c>
    </row>
    <row r="195" spans="1:18" x14ac:dyDescent="0.3">
      <c r="A195">
        <v>-1</v>
      </c>
      <c r="B195">
        <v>-10</v>
      </c>
      <c r="E195">
        <f t="shared" si="20"/>
        <v>-9.9179196867940824E-3</v>
      </c>
      <c r="F195">
        <f t="shared" si="21"/>
        <v>-9.8295421846345307E-2</v>
      </c>
      <c r="H195">
        <f t="shared" si="22"/>
        <v>-9.7272906853283041E-3</v>
      </c>
      <c r="I195">
        <f t="shared" si="23"/>
        <v>-9.8353716929430637E-2</v>
      </c>
      <c r="K195">
        <f t="shared" si="24"/>
        <v>-9.9770015995040411E-3</v>
      </c>
      <c r="L195">
        <f t="shared" si="25"/>
        <v>-9.8683411860440967E-2</v>
      </c>
      <c r="N195">
        <f t="shared" si="26"/>
        <v>-9.7852600263051773E-3</v>
      </c>
      <c r="O195">
        <f t="shared" si="27"/>
        <v>-9.8742169356352244E-2</v>
      </c>
      <c r="Q195">
        <f t="shared" si="28"/>
        <v>-1.0394074719979316</v>
      </c>
      <c r="R195">
        <f t="shared" si="29"/>
        <v>-10.394074719992568</v>
      </c>
    </row>
    <row r="196" spans="1:18" x14ac:dyDescent="0.3">
      <c r="A196">
        <v>-1</v>
      </c>
      <c r="B196">
        <v>-9</v>
      </c>
      <c r="E196">
        <f t="shared" si="20"/>
        <v>-1.3552270530378394E-2</v>
      </c>
      <c r="F196">
        <f t="shared" si="21"/>
        <v>-0.1208969876026825</v>
      </c>
      <c r="H196">
        <f t="shared" si="22"/>
        <v>-1.3293610899160249E-2</v>
      </c>
      <c r="I196">
        <f t="shared" si="23"/>
        <v>-0.12098528707215539</v>
      </c>
      <c r="K196">
        <f t="shared" si="24"/>
        <v>-1.3641789716289997E-2</v>
      </c>
      <c r="L196">
        <f t="shared" si="25"/>
        <v>-0.12142543519747236</v>
      </c>
      <c r="N196">
        <f t="shared" si="26"/>
        <v>-1.3381464501505375E-2</v>
      </c>
      <c r="O196">
        <f t="shared" si="27"/>
        <v>-0.12151451097831649</v>
      </c>
      <c r="Q196">
        <f t="shared" si="28"/>
        <v>-1.053869135647334</v>
      </c>
      <c r="R196">
        <f t="shared" si="29"/>
        <v>-9.4848222208506261</v>
      </c>
    </row>
    <row r="197" spans="1:18" x14ac:dyDescent="0.3">
      <c r="A197">
        <v>-1</v>
      </c>
      <c r="B197">
        <v>-8</v>
      </c>
      <c r="E197">
        <f t="shared" si="20"/>
        <v>-1.9193219969540768E-2</v>
      </c>
      <c r="F197">
        <f t="shared" si="21"/>
        <v>-0.15221553659012035</v>
      </c>
      <c r="H197">
        <f t="shared" si="22"/>
        <v>-1.883048748155676E-2</v>
      </c>
      <c r="I197">
        <f t="shared" si="23"/>
        <v>-0.15235576235077741</v>
      </c>
      <c r="K197">
        <f t="shared" si="24"/>
        <v>-1.9335435063886762E-2</v>
      </c>
      <c r="L197">
        <f t="shared" si="25"/>
        <v>-0.15296052095094578</v>
      </c>
      <c r="N197">
        <f t="shared" si="26"/>
        <v>-1.897010106126773E-2</v>
      </c>
      <c r="O197">
        <f t="shared" si="27"/>
        <v>-0.15310212876720117</v>
      </c>
      <c r="Q197">
        <f t="shared" si="28"/>
        <v>-1.0763292435762519</v>
      </c>
      <c r="R197">
        <f t="shared" si="29"/>
        <v>-8.6106339486590446</v>
      </c>
    </row>
    <row r="198" spans="1:18" x14ac:dyDescent="0.3">
      <c r="A198">
        <v>-1</v>
      </c>
      <c r="B198">
        <v>-7</v>
      </c>
      <c r="E198">
        <f t="shared" si="20"/>
        <v>-2.8430368222915003E-2</v>
      </c>
      <c r="F198">
        <f t="shared" si="21"/>
        <v>-0.19732364479468731</v>
      </c>
      <c r="H198">
        <f t="shared" si="22"/>
        <v>-2.7900757959301171E-2</v>
      </c>
      <c r="I198">
        <f t="shared" si="23"/>
        <v>-0.19755991241889012</v>
      </c>
      <c r="K198">
        <f t="shared" si="24"/>
        <v>-2.8670092526660643E-2</v>
      </c>
      <c r="L198">
        <f t="shared" si="25"/>
        <v>-0.19841974926867118</v>
      </c>
      <c r="N198">
        <f t="shared" si="26"/>
        <v>-2.8136205674423372E-2</v>
      </c>
      <c r="O198">
        <f t="shared" si="27"/>
        <v>-0.19865866430729232</v>
      </c>
      <c r="Q198">
        <f t="shared" si="28"/>
        <v>-1.1131374243833001</v>
      </c>
      <c r="R198">
        <f t="shared" si="29"/>
        <v>-7.7919619707895409</v>
      </c>
    </row>
    <row r="199" spans="1:18" x14ac:dyDescent="0.3">
      <c r="A199">
        <v>-1</v>
      </c>
      <c r="B199">
        <v>-6</v>
      </c>
      <c r="E199">
        <f t="shared" ref="E199:E262" si="30">$D$2*G$3/(($A199-E$3)^2+($B199-F$3)^2)^(3/2)*($A199-E$3)</f>
        <v>-4.4622614916396713E-2</v>
      </c>
      <c r="F199">
        <f t="shared" ref="F199:F262" si="31">$D$2*G$3/(($A199-E$3)^2+($B199-F$3)^2)^(3/2)*($B199-F$3)</f>
        <v>-0.2655266491559844</v>
      </c>
      <c r="H199">
        <f t="shared" ref="H199:H262" si="32">$D$2*J$3/(($A199-H$3)^2+($B199-I$3)^2)^(3/2)*($A199-H$3)</f>
        <v>-4.3809754386285434E-2</v>
      </c>
      <c r="I199">
        <f t="shared" ref="I199:I262" si="33">$D$2*J$3/(($A199-H$3)^2+($B199-I$3)^2)^(3/2)*($B199-I$3)</f>
        <v>-0.26595618571876306</v>
      </c>
      <c r="K199">
        <f t="shared" ref="K199:K262" si="34">$D$2*M$3/(($A199-K$3)^2+($B199-L$3)^2)^(3/2)*($A199-K$3)</f>
        <v>-4.5058662242361866E-2</v>
      </c>
      <c r="L199">
        <f t="shared" ref="L199:L262" si="35">$D$2*M$3/(($A199-K$3)^2+($B199-L$3)^2)^(3/2)*($B199-L$3)</f>
        <v>-0.26722909587301741</v>
      </c>
      <c r="N199">
        <f t="shared" ref="N199:N262" si="36">$D$2*P$3/(($A199-N$3)^2+($B199-O$3)^2)^(3/2)*($A199-N$3)</f>
        <v>-4.4238323851777846E-2</v>
      </c>
      <c r="O199">
        <f t="shared" ref="O199:O262" si="37">$D$2*P$3/(($A199-N$3)^2+($B199-O$3)^2)^(3/2)*($B199-O$3)</f>
        <v>-0.26766420189105994</v>
      </c>
      <c r="Q199">
        <f t="shared" ref="Q199:Q262" si="38">SUM(E199,H199,K199,N199)+A199</f>
        <v>-1.1777293553968218</v>
      </c>
      <c r="R199">
        <f t="shared" ref="R199:R262" si="39">SUM(F199,I199,L199,O199)+B199</f>
        <v>-7.0663761326388244</v>
      </c>
    </row>
    <row r="200" spans="1:18" x14ac:dyDescent="0.3">
      <c r="A200">
        <v>-1</v>
      </c>
      <c r="B200">
        <v>-5</v>
      </c>
      <c r="E200">
        <f t="shared" si="30"/>
        <v>-7.5658308382694855E-2</v>
      </c>
      <c r="F200">
        <f t="shared" si="31"/>
        <v>-0.37529517326465467</v>
      </c>
      <c r="H200">
        <f t="shared" si="32"/>
        <v>-7.4330801933928825E-2</v>
      </c>
      <c r="I200">
        <f t="shared" si="33"/>
        <v>-0.37615890675654884</v>
      </c>
      <c r="K200">
        <f t="shared" si="34"/>
        <v>-7.6535663487098282E-2</v>
      </c>
      <c r="L200">
        <f t="shared" si="35"/>
        <v>-0.37813164435704993</v>
      </c>
      <c r="N200">
        <f t="shared" si="36"/>
        <v>-7.5194097693381728E-2</v>
      </c>
      <c r="O200">
        <f t="shared" si="37"/>
        <v>-0.37900863382825745</v>
      </c>
      <c r="Q200">
        <f t="shared" si="38"/>
        <v>-1.3017188714971037</v>
      </c>
      <c r="R200">
        <f t="shared" si="39"/>
        <v>-6.5085943582065111</v>
      </c>
    </row>
    <row r="201" spans="1:18" x14ac:dyDescent="0.3">
      <c r="A201">
        <v>-1</v>
      </c>
      <c r="B201">
        <v>-4</v>
      </c>
      <c r="E201">
        <f t="shared" si="30"/>
        <v>-0.1428300502668618</v>
      </c>
      <c r="F201">
        <f t="shared" si="31"/>
        <v>-0.56707772432684733</v>
      </c>
      <c r="H201">
        <f t="shared" si="32"/>
        <v>-0.14049440109699468</v>
      </c>
      <c r="I201">
        <f t="shared" si="33"/>
        <v>-0.56907328121105927</v>
      </c>
      <c r="K201">
        <f t="shared" si="34"/>
        <v>-0.14485836320245429</v>
      </c>
      <c r="L201">
        <f t="shared" si="35"/>
        <v>-0.57226224671068582</v>
      </c>
      <c r="N201">
        <f t="shared" si="36"/>
        <v>-0.14249427904567363</v>
      </c>
      <c r="O201">
        <f t="shared" si="37"/>
        <v>-0.57429512463862409</v>
      </c>
      <c r="Q201">
        <f t="shared" si="38"/>
        <v>-1.5706770936119845</v>
      </c>
      <c r="R201">
        <f t="shared" si="39"/>
        <v>-6.2827083768872161</v>
      </c>
    </row>
    <row r="202" spans="1:18" x14ac:dyDescent="0.3">
      <c r="A202">
        <v>-1</v>
      </c>
      <c r="B202">
        <v>-3</v>
      </c>
      <c r="E202">
        <f t="shared" si="30"/>
        <v>-0.31558594294727105</v>
      </c>
      <c r="F202">
        <f t="shared" si="31"/>
        <v>-0.94050860224879773</v>
      </c>
      <c r="H202">
        <f t="shared" si="32"/>
        <v>-0.31118714529139641</v>
      </c>
      <c r="I202">
        <f t="shared" si="33"/>
        <v>-0.94613465386576079</v>
      </c>
      <c r="K202">
        <f t="shared" si="34"/>
        <v>-0.3213063326069216</v>
      </c>
      <c r="L202">
        <f t="shared" si="35"/>
        <v>-0.9511939945492035</v>
      </c>
      <c r="N202">
        <f t="shared" si="36"/>
        <v>-0.31685061366849882</v>
      </c>
      <c r="O202">
        <f t="shared" si="37"/>
        <v>-0.95695286350385</v>
      </c>
      <c r="Q202">
        <f t="shared" si="38"/>
        <v>-2.2649300345140881</v>
      </c>
      <c r="R202">
        <f t="shared" si="39"/>
        <v>-6.7947901141676121</v>
      </c>
    </row>
    <row r="203" spans="1:18" x14ac:dyDescent="0.3">
      <c r="A203">
        <v>-1</v>
      </c>
      <c r="B203">
        <v>-2</v>
      </c>
      <c r="E203">
        <f t="shared" si="30"/>
        <v>-0.88729871046400344</v>
      </c>
      <c r="F203">
        <f t="shared" si="31"/>
        <v>-1.7658122851808384</v>
      </c>
      <c r="H203">
        <f t="shared" si="32"/>
        <v>-0.8801438638879906</v>
      </c>
      <c r="I203">
        <f t="shared" si="33"/>
        <v>-1.786958753954405</v>
      </c>
      <c r="K203">
        <f t="shared" si="34"/>
        <v>-0.90876417449547331</v>
      </c>
      <c r="L203">
        <f t="shared" si="35"/>
        <v>-1.7905353537089028</v>
      </c>
      <c r="N203">
        <f t="shared" si="36"/>
        <v>-0.90160933078036332</v>
      </c>
      <c r="O203">
        <f t="shared" si="37"/>
        <v>-1.8123258265181039</v>
      </c>
      <c r="Q203">
        <f t="shared" si="38"/>
        <v>-4.57781607962783</v>
      </c>
      <c r="R203">
        <f t="shared" si="39"/>
        <v>-9.1556322193622499</v>
      </c>
    </row>
    <row r="204" spans="1:18" x14ac:dyDescent="0.3">
      <c r="A204">
        <v>-1</v>
      </c>
      <c r="B204">
        <v>-1</v>
      </c>
      <c r="E204">
        <f t="shared" si="30"/>
        <v>-3.4658699205300829</v>
      </c>
      <c r="F204">
        <f t="shared" si="31"/>
        <v>-3.4658699205300829</v>
      </c>
      <c r="H204">
        <f t="shared" si="32"/>
        <v>-3.4996536057090712</v>
      </c>
      <c r="I204">
        <f t="shared" si="33"/>
        <v>-3.5703536785516792</v>
      </c>
      <c r="K204">
        <f t="shared" si="34"/>
        <v>-3.5703536785516792</v>
      </c>
      <c r="L204">
        <f t="shared" si="35"/>
        <v>-3.4996536057090712</v>
      </c>
      <c r="N204">
        <f t="shared" si="36"/>
        <v>-3.6073195652818466</v>
      </c>
      <c r="O204">
        <f t="shared" si="37"/>
        <v>-3.6073195652818466</v>
      </c>
      <c r="Q204">
        <f t="shared" si="38"/>
        <v>-15.143196770072681</v>
      </c>
      <c r="R204">
        <f t="shared" si="39"/>
        <v>-15.143196770072679</v>
      </c>
    </row>
    <row r="205" spans="1:18" x14ac:dyDescent="0.3">
      <c r="A205">
        <v>-1</v>
      </c>
      <c r="B205">
        <v>0</v>
      </c>
      <c r="E205">
        <f t="shared" si="30"/>
        <v>-9.8015192001657674</v>
      </c>
      <c r="F205">
        <f t="shared" si="31"/>
        <v>-9.7044744556096699E-2</v>
      </c>
      <c r="H205">
        <f t="shared" si="32"/>
        <v>-10.201479174668069</v>
      </c>
      <c r="I205">
        <f t="shared" si="33"/>
        <v>-0.10304524418856635</v>
      </c>
      <c r="K205">
        <f t="shared" si="34"/>
        <v>-9.8015192001657674</v>
      </c>
      <c r="L205">
        <f t="shared" si="35"/>
        <v>9.7044744556096699E-2</v>
      </c>
      <c r="N205">
        <f t="shared" si="36"/>
        <v>-10.201479174668069</v>
      </c>
      <c r="O205">
        <f t="shared" si="37"/>
        <v>0.10304524418856635</v>
      </c>
      <c r="Q205">
        <f t="shared" si="38"/>
        <v>-41.005996749667673</v>
      </c>
      <c r="R205">
        <f t="shared" si="39"/>
        <v>0</v>
      </c>
    </row>
    <row r="206" spans="1:18" x14ac:dyDescent="0.3">
      <c r="A206">
        <v>-1</v>
      </c>
      <c r="B206">
        <v>1</v>
      </c>
      <c r="E206">
        <f t="shared" si="30"/>
        <v>-3.5703536785516792</v>
      </c>
      <c r="F206">
        <f t="shared" si="31"/>
        <v>3.4996536057090712</v>
      </c>
      <c r="H206">
        <f t="shared" si="32"/>
        <v>-3.6073195652818466</v>
      </c>
      <c r="I206">
        <f t="shared" si="33"/>
        <v>3.6073195652818466</v>
      </c>
      <c r="K206">
        <f t="shared" si="34"/>
        <v>-3.4658699205300829</v>
      </c>
      <c r="L206">
        <f t="shared" si="35"/>
        <v>3.4658699205300829</v>
      </c>
      <c r="N206">
        <f t="shared" si="36"/>
        <v>-3.4996536057090712</v>
      </c>
      <c r="O206">
        <f t="shared" si="37"/>
        <v>3.5703536785516792</v>
      </c>
      <c r="Q206">
        <f t="shared" si="38"/>
        <v>-15.143196770072681</v>
      </c>
      <c r="R206">
        <f t="shared" si="39"/>
        <v>15.143196770072681</v>
      </c>
    </row>
    <row r="207" spans="1:18" x14ac:dyDescent="0.3">
      <c r="A207">
        <v>-1</v>
      </c>
      <c r="B207">
        <v>2</v>
      </c>
      <c r="E207">
        <f t="shared" si="30"/>
        <v>-0.90876417449547331</v>
      </c>
      <c r="F207">
        <f t="shared" si="31"/>
        <v>1.7905353537089028</v>
      </c>
      <c r="H207">
        <f t="shared" si="32"/>
        <v>-0.90160933078036332</v>
      </c>
      <c r="I207">
        <f t="shared" si="33"/>
        <v>1.8123258265181039</v>
      </c>
      <c r="K207">
        <f t="shared" si="34"/>
        <v>-0.88729871046400344</v>
      </c>
      <c r="L207">
        <f t="shared" si="35"/>
        <v>1.7658122851808384</v>
      </c>
      <c r="N207">
        <f t="shared" si="36"/>
        <v>-0.8801438638879906</v>
      </c>
      <c r="O207">
        <f t="shared" si="37"/>
        <v>1.786958753954405</v>
      </c>
      <c r="Q207">
        <f t="shared" si="38"/>
        <v>-4.5778160796278309</v>
      </c>
      <c r="R207">
        <f t="shared" si="39"/>
        <v>9.1556322193622499</v>
      </c>
    </row>
    <row r="208" spans="1:18" x14ac:dyDescent="0.3">
      <c r="A208">
        <v>-1</v>
      </c>
      <c r="B208">
        <v>3</v>
      </c>
      <c r="E208">
        <f t="shared" si="30"/>
        <v>-0.3213063326069216</v>
      </c>
      <c r="F208">
        <f t="shared" si="31"/>
        <v>0.9511939945492035</v>
      </c>
      <c r="H208">
        <f t="shared" si="32"/>
        <v>-0.31685061366849882</v>
      </c>
      <c r="I208">
        <f t="shared" si="33"/>
        <v>0.95695286350385</v>
      </c>
      <c r="K208">
        <f t="shared" si="34"/>
        <v>-0.31558594294727105</v>
      </c>
      <c r="L208">
        <f t="shared" si="35"/>
        <v>0.94050860224879773</v>
      </c>
      <c r="N208">
        <f t="shared" si="36"/>
        <v>-0.31118714529139641</v>
      </c>
      <c r="O208">
        <f t="shared" si="37"/>
        <v>0.94613465386576079</v>
      </c>
      <c r="Q208">
        <f t="shared" si="38"/>
        <v>-2.2649300345140881</v>
      </c>
      <c r="R208">
        <f t="shared" si="39"/>
        <v>6.7947901141676121</v>
      </c>
    </row>
    <row r="209" spans="1:18" x14ac:dyDescent="0.3">
      <c r="A209">
        <v>-1</v>
      </c>
      <c r="B209">
        <v>4</v>
      </c>
      <c r="E209">
        <f t="shared" si="30"/>
        <v>-0.14485836320245429</v>
      </c>
      <c r="F209">
        <f t="shared" si="31"/>
        <v>0.57226224671068582</v>
      </c>
      <c r="H209">
        <f t="shared" si="32"/>
        <v>-0.14249427904567363</v>
      </c>
      <c r="I209">
        <f t="shared" si="33"/>
        <v>0.57429512463862409</v>
      </c>
      <c r="K209">
        <f t="shared" si="34"/>
        <v>-0.1428300502668618</v>
      </c>
      <c r="L209">
        <f t="shared" si="35"/>
        <v>0.56707772432684733</v>
      </c>
      <c r="N209">
        <f t="shared" si="36"/>
        <v>-0.14049440109699468</v>
      </c>
      <c r="O209">
        <f t="shared" si="37"/>
        <v>0.56907328121105927</v>
      </c>
      <c r="Q209">
        <f t="shared" si="38"/>
        <v>-1.5706770936119845</v>
      </c>
      <c r="R209">
        <f t="shared" si="39"/>
        <v>6.2827083768872161</v>
      </c>
    </row>
    <row r="210" spans="1:18" x14ac:dyDescent="0.3">
      <c r="A210">
        <v>-1</v>
      </c>
      <c r="B210">
        <v>5</v>
      </c>
      <c r="E210">
        <f t="shared" si="30"/>
        <v>-7.6535663487098282E-2</v>
      </c>
      <c r="F210">
        <f t="shared" si="31"/>
        <v>0.37813164435704993</v>
      </c>
      <c r="H210">
        <f t="shared" si="32"/>
        <v>-7.5194097693381728E-2</v>
      </c>
      <c r="I210">
        <f t="shared" si="33"/>
        <v>0.37900863382825745</v>
      </c>
      <c r="K210">
        <f t="shared" si="34"/>
        <v>-7.5658308382694855E-2</v>
      </c>
      <c r="L210">
        <f t="shared" si="35"/>
        <v>0.37529517326465467</v>
      </c>
      <c r="N210">
        <f t="shared" si="36"/>
        <v>-7.4330801933928825E-2</v>
      </c>
      <c r="O210">
        <f t="shared" si="37"/>
        <v>0.37615890675654884</v>
      </c>
      <c r="Q210">
        <f t="shared" si="38"/>
        <v>-1.3017188714971037</v>
      </c>
      <c r="R210">
        <f t="shared" si="39"/>
        <v>6.5085943582065102</v>
      </c>
    </row>
    <row r="211" spans="1:18" x14ac:dyDescent="0.3">
      <c r="A211">
        <v>-1</v>
      </c>
      <c r="B211">
        <v>6</v>
      </c>
      <c r="E211">
        <f t="shared" si="30"/>
        <v>-4.5058662242361866E-2</v>
      </c>
      <c r="F211">
        <f t="shared" si="31"/>
        <v>0.26722909587301741</v>
      </c>
      <c r="H211">
        <f t="shared" si="32"/>
        <v>-4.4238323851777846E-2</v>
      </c>
      <c r="I211">
        <f t="shared" si="33"/>
        <v>0.26766420189105994</v>
      </c>
      <c r="K211">
        <f t="shared" si="34"/>
        <v>-4.4622614916396713E-2</v>
      </c>
      <c r="L211">
        <f t="shared" si="35"/>
        <v>0.2655266491559844</v>
      </c>
      <c r="N211">
        <f t="shared" si="36"/>
        <v>-4.3809754386285434E-2</v>
      </c>
      <c r="O211">
        <f t="shared" si="37"/>
        <v>0.26595618571876306</v>
      </c>
      <c r="Q211">
        <f t="shared" si="38"/>
        <v>-1.1777293553968218</v>
      </c>
      <c r="R211">
        <f t="shared" si="39"/>
        <v>7.0663761326388244</v>
      </c>
    </row>
    <row r="212" spans="1:18" x14ac:dyDescent="0.3">
      <c r="A212">
        <v>-1</v>
      </c>
      <c r="B212">
        <v>7</v>
      </c>
      <c r="E212">
        <f t="shared" si="30"/>
        <v>-2.8670092526660643E-2</v>
      </c>
      <c r="F212">
        <f t="shared" si="31"/>
        <v>0.19841974926867118</v>
      </c>
      <c r="H212">
        <f t="shared" si="32"/>
        <v>-2.8136205674423372E-2</v>
      </c>
      <c r="I212">
        <f t="shared" si="33"/>
        <v>0.19865866430729232</v>
      </c>
      <c r="K212">
        <f t="shared" si="34"/>
        <v>-2.8430368222915003E-2</v>
      </c>
      <c r="L212">
        <f t="shared" si="35"/>
        <v>0.19732364479468731</v>
      </c>
      <c r="N212">
        <f t="shared" si="36"/>
        <v>-2.7900757959301171E-2</v>
      </c>
      <c r="O212">
        <f t="shared" si="37"/>
        <v>0.19755991241889012</v>
      </c>
      <c r="Q212">
        <f t="shared" si="38"/>
        <v>-1.1131374243833001</v>
      </c>
      <c r="R212">
        <f t="shared" si="39"/>
        <v>7.7919619707895409</v>
      </c>
    </row>
    <row r="213" spans="1:18" x14ac:dyDescent="0.3">
      <c r="A213">
        <v>-1</v>
      </c>
      <c r="B213">
        <v>8</v>
      </c>
      <c r="E213">
        <f t="shared" si="30"/>
        <v>-1.9335435063886762E-2</v>
      </c>
      <c r="F213">
        <f t="shared" si="31"/>
        <v>0.15296052095094578</v>
      </c>
      <c r="H213">
        <f t="shared" si="32"/>
        <v>-1.897010106126773E-2</v>
      </c>
      <c r="I213">
        <f t="shared" si="33"/>
        <v>0.15310212876720117</v>
      </c>
      <c r="K213">
        <f t="shared" si="34"/>
        <v>-1.9193219969540768E-2</v>
      </c>
      <c r="L213">
        <f t="shared" si="35"/>
        <v>0.15221553659012035</v>
      </c>
      <c r="N213">
        <f t="shared" si="36"/>
        <v>-1.883048748155676E-2</v>
      </c>
      <c r="O213">
        <f t="shared" si="37"/>
        <v>0.15235576235077741</v>
      </c>
      <c r="Q213">
        <f t="shared" si="38"/>
        <v>-1.0763292435762519</v>
      </c>
      <c r="R213">
        <f t="shared" si="39"/>
        <v>8.6106339486590446</v>
      </c>
    </row>
    <row r="214" spans="1:18" x14ac:dyDescent="0.3">
      <c r="A214">
        <v>-1</v>
      </c>
      <c r="B214">
        <v>9</v>
      </c>
      <c r="E214">
        <f t="shared" si="30"/>
        <v>-1.3641789716289997E-2</v>
      </c>
      <c r="F214">
        <f t="shared" si="31"/>
        <v>0.12142543519747236</v>
      </c>
      <c r="H214">
        <f t="shared" si="32"/>
        <v>-1.3381464501505375E-2</v>
      </c>
      <c r="I214">
        <f t="shared" si="33"/>
        <v>0.12151451097831649</v>
      </c>
      <c r="K214">
        <f t="shared" si="34"/>
        <v>-1.3552270530378394E-2</v>
      </c>
      <c r="L214">
        <f t="shared" si="35"/>
        <v>0.1208969876026825</v>
      </c>
      <c r="N214">
        <f t="shared" si="36"/>
        <v>-1.3293610899160249E-2</v>
      </c>
      <c r="O214">
        <f t="shared" si="37"/>
        <v>0.12098528707215539</v>
      </c>
      <c r="Q214">
        <f t="shared" si="38"/>
        <v>-1.053869135647334</v>
      </c>
      <c r="R214">
        <f t="shared" si="39"/>
        <v>9.4848222208506261</v>
      </c>
    </row>
    <row r="215" spans="1:18" x14ac:dyDescent="0.3">
      <c r="A215">
        <v>-1</v>
      </c>
      <c r="B215">
        <v>10</v>
      </c>
      <c r="E215">
        <f t="shared" si="30"/>
        <v>-9.9770015995040411E-3</v>
      </c>
      <c r="F215">
        <f t="shared" si="31"/>
        <v>9.8683411860440967E-2</v>
      </c>
      <c r="H215">
        <f t="shared" si="32"/>
        <v>-9.7852600263051773E-3</v>
      </c>
      <c r="I215">
        <f t="shared" si="33"/>
        <v>9.8742169356352244E-2</v>
      </c>
      <c r="K215">
        <f t="shared" si="34"/>
        <v>-9.9179196867940824E-3</v>
      </c>
      <c r="L215">
        <f t="shared" si="35"/>
        <v>9.8295421846345307E-2</v>
      </c>
      <c r="N215">
        <f t="shared" si="36"/>
        <v>-9.7272906853283041E-3</v>
      </c>
      <c r="O215">
        <f t="shared" si="37"/>
        <v>9.8353716929430637E-2</v>
      </c>
      <c r="Q215">
        <f t="shared" si="38"/>
        <v>-1.0394074719979316</v>
      </c>
      <c r="R215">
        <f t="shared" si="39"/>
        <v>10.394074719992568</v>
      </c>
    </row>
    <row r="216" spans="1:18" x14ac:dyDescent="0.3">
      <c r="A216">
        <v>0</v>
      </c>
      <c r="B216">
        <v>-10</v>
      </c>
      <c r="E216">
        <f t="shared" si="30"/>
        <v>-9.9700449749439267E-5</v>
      </c>
      <c r="F216">
        <f t="shared" si="31"/>
        <v>-9.9800150199188711E-2</v>
      </c>
      <c r="H216">
        <f t="shared" si="32"/>
        <v>9.9700449749439267E-5</v>
      </c>
      <c r="I216">
        <f t="shared" si="33"/>
        <v>-9.9800150199188711E-2</v>
      </c>
      <c r="K216">
        <f t="shared" si="34"/>
        <v>-1.0030045024943562E-4</v>
      </c>
      <c r="L216">
        <f t="shared" si="35"/>
        <v>-0.10020014979918619</v>
      </c>
      <c r="N216">
        <f t="shared" si="36"/>
        <v>1.0030045024943562E-4</v>
      </c>
      <c r="O216">
        <f t="shared" si="37"/>
        <v>-0.10020014979918619</v>
      </c>
      <c r="Q216">
        <f t="shared" si="38"/>
        <v>0</v>
      </c>
      <c r="R216">
        <f t="shared" si="39"/>
        <v>-10.40000059999675</v>
      </c>
    </row>
    <row r="217" spans="1:18" x14ac:dyDescent="0.3">
      <c r="A217">
        <v>0</v>
      </c>
      <c r="B217">
        <v>-9</v>
      </c>
      <c r="E217">
        <f t="shared" si="30"/>
        <v>-1.367177254848182E-4</v>
      </c>
      <c r="F217">
        <f t="shared" si="31"/>
        <v>-0.1231826706618212</v>
      </c>
      <c r="H217">
        <f t="shared" si="32"/>
        <v>1.367177254848182E-4</v>
      </c>
      <c r="I217">
        <f t="shared" si="33"/>
        <v>-0.1231826706618212</v>
      </c>
      <c r="K217">
        <f t="shared" si="34"/>
        <v>-1.3763222116730309E-4</v>
      </c>
      <c r="L217">
        <f t="shared" si="35"/>
        <v>-0.12373136682940547</v>
      </c>
      <c r="N217">
        <f t="shared" si="36"/>
        <v>1.3763222116730309E-4</v>
      </c>
      <c r="O217">
        <f t="shared" si="37"/>
        <v>-0.12373136682940547</v>
      </c>
      <c r="Q217">
        <f t="shared" si="38"/>
        <v>0</v>
      </c>
      <c r="R217">
        <f t="shared" si="39"/>
        <v>-9.4938280749824528</v>
      </c>
    </row>
    <row r="218" spans="1:18" x14ac:dyDescent="0.3">
      <c r="A218">
        <v>0</v>
      </c>
      <c r="B218">
        <v>-8</v>
      </c>
      <c r="E218">
        <f t="shared" si="30"/>
        <v>-1.9458145045967012E-4</v>
      </c>
      <c r="F218">
        <f t="shared" si="31"/>
        <v>-0.15585974181819576</v>
      </c>
      <c r="H218">
        <f t="shared" si="32"/>
        <v>1.9458145045967012E-4</v>
      </c>
      <c r="I218">
        <f t="shared" si="33"/>
        <v>-0.15585974181819576</v>
      </c>
      <c r="K218">
        <f t="shared" si="34"/>
        <v>-1.9604629611699682E-4</v>
      </c>
      <c r="L218">
        <f t="shared" si="35"/>
        <v>-0.15664099059748046</v>
      </c>
      <c r="N218">
        <f t="shared" si="36"/>
        <v>1.9604629611699682E-4</v>
      </c>
      <c r="O218">
        <f t="shared" si="37"/>
        <v>-0.15664099059748046</v>
      </c>
      <c r="Q218">
        <f t="shared" si="38"/>
        <v>0</v>
      </c>
      <c r="R218">
        <f t="shared" si="39"/>
        <v>-8.6250014648313531</v>
      </c>
    </row>
    <row r="219" spans="1:18" x14ac:dyDescent="0.3">
      <c r="A219">
        <v>0</v>
      </c>
      <c r="B219">
        <v>-7</v>
      </c>
      <c r="E219">
        <f t="shared" si="30"/>
        <v>-2.9029838544484166E-4</v>
      </c>
      <c r="F219">
        <f t="shared" si="31"/>
        <v>-0.203499168196834</v>
      </c>
      <c r="H219">
        <f t="shared" si="32"/>
        <v>2.9029838544484166E-4</v>
      </c>
      <c r="I219">
        <f t="shared" si="33"/>
        <v>-0.203499168196834</v>
      </c>
      <c r="K219">
        <f t="shared" si="34"/>
        <v>-2.92797348461888E-4</v>
      </c>
      <c r="L219">
        <f t="shared" si="35"/>
        <v>-0.20466534657485971</v>
      </c>
      <c r="N219">
        <f t="shared" si="36"/>
        <v>2.92797348461888E-4</v>
      </c>
      <c r="O219">
        <f t="shared" si="37"/>
        <v>-0.20466534657485971</v>
      </c>
      <c r="Q219">
        <f t="shared" si="38"/>
        <v>0</v>
      </c>
      <c r="R219">
        <f t="shared" si="39"/>
        <v>-7.8163290295433878</v>
      </c>
    </row>
    <row r="220" spans="1:18" x14ac:dyDescent="0.3">
      <c r="A220">
        <v>0</v>
      </c>
      <c r="B220">
        <v>-6</v>
      </c>
      <c r="E220">
        <f t="shared" si="30"/>
        <v>-4.606539298068326E-4</v>
      </c>
      <c r="F220">
        <f t="shared" si="31"/>
        <v>-0.27685301181390637</v>
      </c>
      <c r="H220">
        <f t="shared" si="32"/>
        <v>4.606539298068326E-4</v>
      </c>
      <c r="I220">
        <f t="shared" si="33"/>
        <v>-0.27685301181390637</v>
      </c>
      <c r="K220">
        <f t="shared" si="34"/>
        <v>-4.652835701529788E-4</v>
      </c>
      <c r="L220">
        <f t="shared" si="35"/>
        <v>-0.27870485852163429</v>
      </c>
      <c r="N220">
        <f t="shared" si="36"/>
        <v>4.652835701529788E-4</v>
      </c>
      <c r="O220">
        <f t="shared" si="37"/>
        <v>-0.27870485852163429</v>
      </c>
      <c r="Q220">
        <f t="shared" si="38"/>
        <v>0</v>
      </c>
      <c r="R220">
        <f t="shared" si="39"/>
        <v>-7.1111157406710817</v>
      </c>
    </row>
    <row r="221" spans="1:18" x14ac:dyDescent="0.3">
      <c r="A221">
        <v>0</v>
      </c>
      <c r="B221">
        <v>-5</v>
      </c>
      <c r="E221">
        <f t="shared" si="30"/>
        <v>-7.9521438392846956E-4</v>
      </c>
      <c r="F221">
        <f t="shared" si="31"/>
        <v>-0.39840240634816321</v>
      </c>
      <c r="H221">
        <f t="shared" si="32"/>
        <v>7.9521438392846956E-4</v>
      </c>
      <c r="I221">
        <f t="shared" si="33"/>
        <v>-0.39840240634816321</v>
      </c>
      <c r="K221">
        <f t="shared" si="34"/>
        <v>-8.0481441592752825E-4</v>
      </c>
      <c r="L221">
        <f t="shared" si="35"/>
        <v>-0.40160239354783661</v>
      </c>
      <c r="N221">
        <f t="shared" si="36"/>
        <v>8.0481441592752825E-4</v>
      </c>
      <c r="O221">
        <f t="shared" si="37"/>
        <v>-0.40160239354783661</v>
      </c>
      <c r="Q221">
        <f t="shared" si="38"/>
        <v>0</v>
      </c>
      <c r="R221">
        <f t="shared" si="39"/>
        <v>-6.6000095997919992</v>
      </c>
    </row>
    <row r="222" spans="1:18" x14ac:dyDescent="0.3">
      <c r="A222">
        <v>0</v>
      </c>
      <c r="B222">
        <v>-4</v>
      </c>
      <c r="E222">
        <f t="shared" si="30"/>
        <v>-1.5508251339368154E-3</v>
      </c>
      <c r="F222">
        <f t="shared" si="31"/>
        <v>-0.62188087870866293</v>
      </c>
      <c r="H222">
        <f t="shared" si="32"/>
        <v>1.5508251339368154E-3</v>
      </c>
      <c r="I222">
        <f t="shared" si="33"/>
        <v>-0.62188087870866293</v>
      </c>
      <c r="K222">
        <f t="shared" si="34"/>
        <v>-1.5742627560015197E-3</v>
      </c>
      <c r="L222">
        <f t="shared" si="35"/>
        <v>-0.62813083964460636</v>
      </c>
      <c r="N222">
        <f t="shared" si="36"/>
        <v>1.5742627560015197E-3</v>
      </c>
      <c r="O222">
        <f t="shared" si="37"/>
        <v>-0.62813083964460636</v>
      </c>
      <c r="Q222">
        <f t="shared" si="38"/>
        <v>0</v>
      </c>
      <c r="R222">
        <f t="shared" si="39"/>
        <v>-6.5000234367065381</v>
      </c>
    </row>
    <row r="223" spans="1:18" x14ac:dyDescent="0.3">
      <c r="A223">
        <v>0</v>
      </c>
      <c r="B223">
        <v>-3</v>
      </c>
      <c r="E223">
        <f t="shared" si="30"/>
        <v>-3.6668515063721803E-3</v>
      </c>
      <c r="F223">
        <f t="shared" si="31"/>
        <v>-1.1037223034180261</v>
      </c>
      <c r="H223">
        <f t="shared" si="32"/>
        <v>3.6668515063721803E-3</v>
      </c>
      <c r="I223">
        <f t="shared" si="33"/>
        <v>-1.1037223034180261</v>
      </c>
      <c r="K223">
        <f t="shared" si="34"/>
        <v>-3.7409262662612946E-3</v>
      </c>
      <c r="L223">
        <f t="shared" si="35"/>
        <v>-1.1185369536121272</v>
      </c>
      <c r="N223">
        <f t="shared" si="36"/>
        <v>3.7409262662612946E-3</v>
      </c>
      <c r="O223">
        <f t="shared" si="37"/>
        <v>-1.1185369536121272</v>
      </c>
      <c r="Q223">
        <f t="shared" si="38"/>
        <v>0</v>
      </c>
      <c r="R223">
        <f t="shared" si="39"/>
        <v>-7.4445185140603067</v>
      </c>
    </row>
    <row r="224" spans="1:18" x14ac:dyDescent="0.3">
      <c r="A224">
        <v>0</v>
      </c>
      <c r="B224">
        <v>-2</v>
      </c>
      <c r="E224">
        <f t="shared" si="30"/>
        <v>-1.2313902300517271E-2</v>
      </c>
      <c r="F224">
        <f t="shared" si="31"/>
        <v>-2.4750943624039712</v>
      </c>
      <c r="H224">
        <f t="shared" si="32"/>
        <v>1.2313902300517271E-2</v>
      </c>
      <c r="I224">
        <f t="shared" si="33"/>
        <v>-2.4750943624039712</v>
      </c>
      <c r="K224">
        <f t="shared" si="34"/>
        <v>-1.2688910111581684E-2</v>
      </c>
      <c r="L224">
        <f t="shared" si="35"/>
        <v>-2.5250931122047549</v>
      </c>
      <c r="N224">
        <f t="shared" si="36"/>
        <v>1.2688910111581684E-2</v>
      </c>
      <c r="O224">
        <f t="shared" si="37"/>
        <v>-2.5250931122047549</v>
      </c>
      <c r="Q224">
        <f t="shared" si="38"/>
        <v>0</v>
      </c>
      <c r="R224">
        <f t="shared" si="39"/>
        <v>-12.000374949217452</v>
      </c>
    </row>
    <row r="225" spans="1:18" x14ac:dyDescent="0.3">
      <c r="A225">
        <v>0</v>
      </c>
      <c r="B225">
        <v>-1</v>
      </c>
      <c r="E225">
        <f t="shared" si="30"/>
        <v>-9.7044744556096699E-2</v>
      </c>
      <c r="F225">
        <f t="shared" si="31"/>
        <v>-9.8015192001657674</v>
      </c>
      <c r="H225">
        <f t="shared" si="32"/>
        <v>9.7044744556096699E-2</v>
      </c>
      <c r="I225">
        <f t="shared" si="33"/>
        <v>-9.8015192001657674</v>
      </c>
      <c r="K225">
        <f t="shared" si="34"/>
        <v>-0.10304524418856635</v>
      </c>
      <c r="L225">
        <f t="shared" si="35"/>
        <v>-10.201479174668069</v>
      </c>
      <c r="N225">
        <f t="shared" si="36"/>
        <v>0.10304524418856635</v>
      </c>
      <c r="O225">
        <f t="shared" si="37"/>
        <v>-10.201479174668069</v>
      </c>
      <c r="Q225">
        <f t="shared" si="38"/>
        <v>0</v>
      </c>
      <c r="R225">
        <f t="shared" si="39"/>
        <v>-41.005996749667673</v>
      </c>
    </row>
    <row r="226" spans="1:18" x14ac:dyDescent="0.3">
      <c r="A226">
        <v>0</v>
      </c>
      <c r="B226">
        <v>0</v>
      </c>
      <c r="E226">
        <f t="shared" si="30"/>
        <v>-35355.339059327387</v>
      </c>
      <c r="F226">
        <f t="shared" si="31"/>
        <v>-35355.339059327387</v>
      </c>
      <c r="H226">
        <f t="shared" si="32"/>
        <v>35355.339059327387</v>
      </c>
      <c r="I226">
        <f t="shared" si="33"/>
        <v>-35355.339059327387</v>
      </c>
      <c r="K226">
        <f t="shared" si="34"/>
        <v>-35355.339059327387</v>
      </c>
      <c r="L226">
        <f t="shared" si="35"/>
        <v>35355.339059327387</v>
      </c>
      <c r="N226">
        <f t="shared" si="36"/>
        <v>35355.339059327387</v>
      </c>
      <c r="O226">
        <f t="shared" si="37"/>
        <v>35355.339059327387</v>
      </c>
      <c r="Q226">
        <f t="shared" si="38"/>
        <v>0</v>
      </c>
      <c r="R226">
        <f t="shared" si="39"/>
        <v>0</v>
      </c>
    </row>
    <row r="227" spans="1:18" x14ac:dyDescent="0.3">
      <c r="A227">
        <v>0</v>
      </c>
      <c r="B227">
        <v>1</v>
      </c>
      <c r="E227">
        <f t="shared" si="30"/>
        <v>-0.10304524418856635</v>
      </c>
      <c r="F227">
        <f t="shared" si="31"/>
        <v>10.201479174668069</v>
      </c>
      <c r="H227">
        <f t="shared" si="32"/>
        <v>0.10304524418856635</v>
      </c>
      <c r="I227">
        <f t="shared" si="33"/>
        <v>10.201479174668069</v>
      </c>
      <c r="K227">
        <f t="shared" si="34"/>
        <v>-9.7044744556096699E-2</v>
      </c>
      <c r="L227">
        <f t="shared" si="35"/>
        <v>9.8015192001657674</v>
      </c>
      <c r="N227">
        <f t="shared" si="36"/>
        <v>9.7044744556096699E-2</v>
      </c>
      <c r="O227">
        <f t="shared" si="37"/>
        <v>9.8015192001657674</v>
      </c>
      <c r="Q227">
        <f t="shared" si="38"/>
        <v>0</v>
      </c>
      <c r="R227">
        <f t="shared" si="39"/>
        <v>41.005996749667673</v>
      </c>
    </row>
    <row r="228" spans="1:18" x14ac:dyDescent="0.3">
      <c r="A228">
        <v>0</v>
      </c>
      <c r="B228">
        <v>2</v>
      </c>
      <c r="E228">
        <f t="shared" si="30"/>
        <v>-1.2688910111581684E-2</v>
      </c>
      <c r="F228">
        <f t="shared" si="31"/>
        <v>2.5250931122047549</v>
      </c>
      <c r="H228">
        <f t="shared" si="32"/>
        <v>1.2688910111581684E-2</v>
      </c>
      <c r="I228">
        <f t="shared" si="33"/>
        <v>2.5250931122047549</v>
      </c>
      <c r="K228">
        <f t="shared" si="34"/>
        <v>-1.2313902300517271E-2</v>
      </c>
      <c r="L228">
        <f t="shared" si="35"/>
        <v>2.4750943624039712</v>
      </c>
      <c r="N228">
        <f t="shared" si="36"/>
        <v>1.2313902300517271E-2</v>
      </c>
      <c r="O228">
        <f t="shared" si="37"/>
        <v>2.4750943624039712</v>
      </c>
      <c r="Q228">
        <f t="shared" si="38"/>
        <v>0</v>
      </c>
      <c r="R228">
        <f t="shared" si="39"/>
        <v>12.000374949217452</v>
      </c>
    </row>
    <row r="229" spans="1:18" x14ac:dyDescent="0.3">
      <c r="A229">
        <v>0</v>
      </c>
      <c r="B229">
        <v>3</v>
      </c>
      <c r="E229">
        <f t="shared" si="30"/>
        <v>-3.7409262662612946E-3</v>
      </c>
      <c r="F229">
        <f t="shared" si="31"/>
        <v>1.1185369536121272</v>
      </c>
      <c r="H229">
        <f t="shared" si="32"/>
        <v>3.7409262662612946E-3</v>
      </c>
      <c r="I229">
        <f t="shared" si="33"/>
        <v>1.1185369536121272</v>
      </c>
      <c r="K229">
        <f t="shared" si="34"/>
        <v>-3.6668515063721803E-3</v>
      </c>
      <c r="L229">
        <f t="shared" si="35"/>
        <v>1.1037223034180261</v>
      </c>
      <c r="N229">
        <f t="shared" si="36"/>
        <v>3.6668515063721803E-3</v>
      </c>
      <c r="O229">
        <f t="shared" si="37"/>
        <v>1.1037223034180261</v>
      </c>
      <c r="Q229">
        <f t="shared" si="38"/>
        <v>0</v>
      </c>
      <c r="R229">
        <f t="shared" si="39"/>
        <v>7.4445185140603067</v>
      </c>
    </row>
    <row r="230" spans="1:18" x14ac:dyDescent="0.3">
      <c r="A230">
        <v>0</v>
      </c>
      <c r="B230">
        <v>4</v>
      </c>
      <c r="E230">
        <f t="shared" si="30"/>
        <v>-1.5742627560015197E-3</v>
      </c>
      <c r="F230">
        <f t="shared" si="31"/>
        <v>0.62813083964460636</v>
      </c>
      <c r="H230">
        <f t="shared" si="32"/>
        <v>1.5742627560015197E-3</v>
      </c>
      <c r="I230">
        <f t="shared" si="33"/>
        <v>0.62813083964460636</v>
      </c>
      <c r="K230">
        <f t="shared" si="34"/>
        <v>-1.5508251339368154E-3</v>
      </c>
      <c r="L230">
        <f t="shared" si="35"/>
        <v>0.62188087870866293</v>
      </c>
      <c r="N230">
        <f t="shared" si="36"/>
        <v>1.5508251339368154E-3</v>
      </c>
      <c r="O230">
        <f t="shared" si="37"/>
        <v>0.62188087870866293</v>
      </c>
      <c r="Q230">
        <f t="shared" si="38"/>
        <v>0</v>
      </c>
      <c r="R230">
        <f t="shared" si="39"/>
        <v>6.5000234367065381</v>
      </c>
    </row>
    <row r="231" spans="1:18" x14ac:dyDescent="0.3">
      <c r="A231">
        <v>0</v>
      </c>
      <c r="B231">
        <v>5</v>
      </c>
      <c r="E231">
        <f t="shared" si="30"/>
        <v>-8.0481441592752825E-4</v>
      </c>
      <c r="F231">
        <f t="shared" si="31"/>
        <v>0.40160239354783661</v>
      </c>
      <c r="H231">
        <f t="shared" si="32"/>
        <v>8.0481441592752825E-4</v>
      </c>
      <c r="I231">
        <f t="shared" si="33"/>
        <v>0.40160239354783661</v>
      </c>
      <c r="K231">
        <f t="shared" si="34"/>
        <v>-7.9521438392846956E-4</v>
      </c>
      <c r="L231">
        <f t="shared" si="35"/>
        <v>0.39840240634816321</v>
      </c>
      <c r="N231">
        <f t="shared" si="36"/>
        <v>7.9521438392846956E-4</v>
      </c>
      <c r="O231">
        <f t="shared" si="37"/>
        <v>0.39840240634816321</v>
      </c>
      <c r="Q231">
        <f t="shared" si="38"/>
        <v>0</v>
      </c>
      <c r="R231">
        <f t="shared" si="39"/>
        <v>6.6000095997919992</v>
      </c>
    </row>
    <row r="232" spans="1:18" x14ac:dyDescent="0.3">
      <c r="A232">
        <v>0</v>
      </c>
      <c r="B232">
        <v>6</v>
      </c>
      <c r="E232">
        <f t="shared" si="30"/>
        <v>-4.652835701529788E-4</v>
      </c>
      <c r="F232">
        <f t="shared" si="31"/>
        <v>0.27870485852163429</v>
      </c>
      <c r="H232">
        <f t="shared" si="32"/>
        <v>4.652835701529788E-4</v>
      </c>
      <c r="I232">
        <f t="shared" si="33"/>
        <v>0.27870485852163429</v>
      </c>
      <c r="K232">
        <f t="shared" si="34"/>
        <v>-4.606539298068326E-4</v>
      </c>
      <c r="L232">
        <f t="shared" si="35"/>
        <v>0.27685301181390637</v>
      </c>
      <c r="N232">
        <f t="shared" si="36"/>
        <v>4.606539298068326E-4</v>
      </c>
      <c r="O232">
        <f t="shared" si="37"/>
        <v>0.27685301181390637</v>
      </c>
      <c r="Q232">
        <f t="shared" si="38"/>
        <v>0</v>
      </c>
      <c r="R232">
        <f t="shared" si="39"/>
        <v>7.1111157406710817</v>
      </c>
    </row>
    <row r="233" spans="1:18" x14ac:dyDescent="0.3">
      <c r="A233">
        <v>0</v>
      </c>
      <c r="B233">
        <v>7</v>
      </c>
      <c r="E233">
        <f t="shared" si="30"/>
        <v>-2.92797348461888E-4</v>
      </c>
      <c r="F233">
        <f t="shared" si="31"/>
        <v>0.20466534657485971</v>
      </c>
      <c r="H233">
        <f t="shared" si="32"/>
        <v>2.92797348461888E-4</v>
      </c>
      <c r="I233">
        <f t="shared" si="33"/>
        <v>0.20466534657485971</v>
      </c>
      <c r="K233">
        <f t="shared" si="34"/>
        <v>-2.9029838544484166E-4</v>
      </c>
      <c r="L233">
        <f t="shared" si="35"/>
        <v>0.203499168196834</v>
      </c>
      <c r="N233">
        <f t="shared" si="36"/>
        <v>2.9029838544484166E-4</v>
      </c>
      <c r="O233">
        <f t="shared" si="37"/>
        <v>0.203499168196834</v>
      </c>
      <c r="Q233">
        <f t="shared" si="38"/>
        <v>0</v>
      </c>
      <c r="R233">
        <f t="shared" si="39"/>
        <v>7.8163290295433878</v>
      </c>
    </row>
    <row r="234" spans="1:18" x14ac:dyDescent="0.3">
      <c r="A234">
        <v>0</v>
      </c>
      <c r="B234">
        <v>8</v>
      </c>
      <c r="E234">
        <f t="shared" si="30"/>
        <v>-1.9604629611699682E-4</v>
      </c>
      <c r="F234">
        <f t="shared" si="31"/>
        <v>0.15664099059748046</v>
      </c>
      <c r="H234">
        <f t="shared" si="32"/>
        <v>1.9604629611699682E-4</v>
      </c>
      <c r="I234">
        <f t="shared" si="33"/>
        <v>0.15664099059748046</v>
      </c>
      <c r="K234">
        <f t="shared" si="34"/>
        <v>-1.9458145045967012E-4</v>
      </c>
      <c r="L234">
        <f t="shared" si="35"/>
        <v>0.15585974181819576</v>
      </c>
      <c r="N234">
        <f t="shared" si="36"/>
        <v>1.9458145045967012E-4</v>
      </c>
      <c r="O234">
        <f t="shared" si="37"/>
        <v>0.15585974181819576</v>
      </c>
      <c r="Q234">
        <f t="shared" si="38"/>
        <v>0</v>
      </c>
      <c r="R234">
        <f t="shared" si="39"/>
        <v>8.6250014648313531</v>
      </c>
    </row>
    <row r="235" spans="1:18" x14ac:dyDescent="0.3">
      <c r="A235">
        <v>0</v>
      </c>
      <c r="B235">
        <v>9</v>
      </c>
      <c r="E235">
        <f t="shared" si="30"/>
        <v>-1.3763222116730309E-4</v>
      </c>
      <c r="F235">
        <f t="shared" si="31"/>
        <v>0.12373136682940547</v>
      </c>
      <c r="H235">
        <f t="shared" si="32"/>
        <v>1.3763222116730309E-4</v>
      </c>
      <c r="I235">
        <f t="shared" si="33"/>
        <v>0.12373136682940547</v>
      </c>
      <c r="K235">
        <f t="shared" si="34"/>
        <v>-1.367177254848182E-4</v>
      </c>
      <c r="L235">
        <f t="shared" si="35"/>
        <v>0.1231826706618212</v>
      </c>
      <c r="N235">
        <f t="shared" si="36"/>
        <v>1.367177254848182E-4</v>
      </c>
      <c r="O235">
        <f t="shared" si="37"/>
        <v>0.1231826706618212</v>
      </c>
      <c r="Q235">
        <f t="shared" si="38"/>
        <v>0</v>
      </c>
      <c r="R235">
        <f t="shared" si="39"/>
        <v>9.4938280749824528</v>
      </c>
    </row>
    <row r="236" spans="1:18" x14ac:dyDescent="0.3">
      <c r="A236">
        <v>0</v>
      </c>
      <c r="B236">
        <v>10</v>
      </c>
      <c r="E236">
        <f t="shared" si="30"/>
        <v>-1.0030045024943562E-4</v>
      </c>
      <c r="F236">
        <f t="shared" si="31"/>
        <v>0.10020014979918619</v>
      </c>
      <c r="H236">
        <f t="shared" si="32"/>
        <v>1.0030045024943562E-4</v>
      </c>
      <c r="I236">
        <f t="shared" si="33"/>
        <v>0.10020014979918619</v>
      </c>
      <c r="K236">
        <f t="shared" si="34"/>
        <v>-9.9700449749439267E-5</v>
      </c>
      <c r="L236">
        <f t="shared" si="35"/>
        <v>9.9800150199188711E-2</v>
      </c>
      <c r="N236">
        <f t="shared" si="36"/>
        <v>9.9700449749439267E-5</v>
      </c>
      <c r="O236">
        <f t="shared" si="37"/>
        <v>9.9800150199188711E-2</v>
      </c>
      <c r="Q236">
        <f t="shared" si="38"/>
        <v>0</v>
      </c>
      <c r="R236">
        <f t="shared" si="39"/>
        <v>10.40000059999675</v>
      </c>
    </row>
    <row r="237" spans="1:18" x14ac:dyDescent="0.3">
      <c r="A237">
        <v>1</v>
      </c>
      <c r="B237">
        <v>-10</v>
      </c>
      <c r="E237">
        <f t="shared" si="30"/>
        <v>9.7272906853283041E-3</v>
      </c>
      <c r="F237">
        <f t="shared" si="31"/>
        <v>-9.8353716929430637E-2</v>
      </c>
      <c r="H237">
        <f t="shared" si="32"/>
        <v>9.9179196867940824E-3</v>
      </c>
      <c r="I237">
        <f t="shared" si="33"/>
        <v>-9.8295421846345307E-2</v>
      </c>
      <c r="K237">
        <f t="shared" si="34"/>
        <v>9.7852600263051773E-3</v>
      </c>
      <c r="L237">
        <f t="shared" si="35"/>
        <v>-9.8742169356352244E-2</v>
      </c>
      <c r="N237">
        <f t="shared" si="36"/>
        <v>9.9770015995040411E-3</v>
      </c>
      <c r="O237">
        <f t="shared" si="37"/>
        <v>-9.8683411860440967E-2</v>
      </c>
      <c r="Q237">
        <f t="shared" si="38"/>
        <v>1.0394074719979316</v>
      </c>
      <c r="R237">
        <f t="shared" si="39"/>
        <v>-10.394074719992568</v>
      </c>
    </row>
    <row r="238" spans="1:18" x14ac:dyDescent="0.3">
      <c r="A238">
        <v>1</v>
      </c>
      <c r="B238">
        <v>-9</v>
      </c>
      <c r="E238">
        <f t="shared" si="30"/>
        <v>1.3293610899160249E-2</v>
      </c>
      <c r="F238">
        <f t="shared" si="31"/>
        <v>-0.12098528707215539</v>
      </c>
      <c r="H238">
        <f t="shared" si="32"/>
        <v>1.3552270530378394E-2</v>
      </c>
      <c r="I238">
        <f t="shared" si="33"/>
        <v>-0.1208969876026825</v>
      </c>
      <c r="K238">
        <f t="shared" si="34"/>
        <v>1.3381464501505375E-2</v>
      </c>
      <c r="L238">
        <f t="shared" si="35"/>
        <v>-0.12151451097831649</v>
      </c>
      <c r="N238">
        <f t="shared" si="36"/>
        <v>1.3641789716289997E-2</v>
      </c>
      <c r="O238">
        <f t="shared" si="37"/>
        <v>-0.12142543519747236</v>
      </c>
      <c r="Q238">
        <f t="shared" si="38"/>
        <v>1.053869135647334</v>
      </c>
      <c r="R238">
        <f t="shared" si="39"/>
        <v>-9.4848222208506261</v>
      </c>
    </row>
    <row r="239" spans="1:18" x14ac:dyDescent="0.3">
      <c r="A239">
        <v>1</v>
      </c>
      <c r="B239">
        <v>-8</v>
      </c>
      <c r="E239">
        <f t="shared" si="30"/>
        <v>1.883048748155676E-2</v>
      </c>
      <c r="F239">
        <f t="shared" si="31"/>
        <v>-0.15235576235077741</v>
      </c>
      <c r="H239">
        <f t="shared" si="32"/>
        <v>1.9193219969540768E-2</v>
      </c>
      <c r="I239">
        <f t="shared" si="33"/>
        <v>-0.15221553659012035</v>
      </c>
      <c r="K239">
        <f t="shared" si="34"/>
        <v>1.897010106126773E-2</v>
      </c>
      <c r="L239">
        <f t="shared" si="35"/>
        <v>-0.15310212876720117</v>
      </c>
      <c r="N239">
        <f t="shared" si="36"/>
        <v>1.9335435063886762E-2</v>
      </c>
      <c r="O239">
        <f t="shared" si="37"/>
        <v>-0.15296052095094578</v>
      </c>
      <c r="Q239">
        <f t="shared" si="38"/>
        <v>1.0763292435762519</v>
      </c>
      <c r="R239">
        <f t="shared" si="39"/>
        <v>-8.6106339486590446</v>
      </c>
    </row>
    <row r="240" spans="1:18" x14ac:dyDescent="0.3">
      <c r="A240">
        <v>1</v>
      </c>
      <c r="B240">
        <v>-7</v>
      </c>
      <c r="E240">
        <f t="shared" si="30"/>
        <v>2.7900757959301171E-2</v>
      </c>
      <c r="F240">
        <f t="shared" si="31"/>
        <v>-0.19755991241889012</v>
      </c>
      <c r="H240">
        <f t="shared" si="32"/>
        <v>2.8430368222915003E-2</v>
      </c>
      <c r="I240">
        <f t="shared" si="33"/>
        <v>-0.19732364479468731</v>
      </c>
      <c r="K240">
        <f t="shared" si="34"/>
        <v>2.8136205674423372E-2</v>
      </c>
      <c r="L240">
        <f t="shared" si="35"/>
        <v>-0.19865866430729232</v>
      </c>
      <c r="N240">
        <f t="shared" si="36"/>
        <v>2.8670092526660643E-2</v>
      </c>
      <c r="O240">
        <f t="shared" si="37"/>
        <v>-0.19841974926867118</v>
      </c>
      <c r="Q240">
        <f t="shared" si="38"/>
        <v>1.1131374243833001</v>
      </c>
      <c r="R240">
        <f t="shared" si="39"/>
        <v>-7.7919619707895409</v>
      </c>
    </row>
    <row r="241" spans="1:18" x14ac:dyDescent="0.3">
      <c r="A241">
        <v>1</v>
      </c>
      <c r="B241">
        <v>-6</v>
      </c>
      <c r="E241">
        <f t="shared" si="30"/>
        <v>4.3809754386285434E-2</v>
      </c>
      <c r="F241">
        <f t="shared" si="31"/>
        <v>-0.26595618571876306</v>
      </c>
      <c r="H241">
        <f t="shared" si="32"/>
        <v>4.4622614916396713E-2</v>
      </c>
      <c r="I241">
        <f t="shared" si="33"/>
        <v>-0.2655266491559844</v>
      </c>
      <c r="K241">
        <f t="shared" si="34"/>
        <v>4.4238323851777846E-2</v>
      </c>
      <c r="L241">
        <f t="shared" si="35"/>
        <v>-0.26766420189105994</v>
      </c>
      <c r="N241">
        <f t="shared" si="36"/>
        <v>4.5058662242361866E-2</v>
      </c>
      <c r="O241">
        <f t="shared" si="37"/>
        <v>-0.26722909587301741</v>
      </c>
      <c r="Q241">
        <f t="shared" si="38"/>
        <v>1.1777293553968218</v>
      </c>
      <c r="R241">
        <f t="shared" si="39"/>
        <v>-7.0663761326388244</v>
      </c>
    </row>
    <row r="242" spans="1:18" x14ac:dyDescent="0.3">
      <c r="A242">
        <v>1</v>
      </c>
      <c r="B242">
        <v>-5</v>
      </c>
      <c r="E242">
        <f t="shared" si="30"/>
        <v>7.4330801933928825E-2</v>
      </c>
      <c r="F242">
        <f t="shared" si="31"/>
        <v>-0.37615890675654884</v>
      </c>
      <c r="H242">
        <f t="shared" si="32"/>
        <v>7.5658308382694855E-2</v>
      </c>
      <c r="I242">
        <f t="shared" si="33"/>
        <v>-0.37529517326465467</v>
      </c>
      <c r="K242">
        <f t="shared" si="34"/>
        <v>7.5194097693381728E-2</v>
      </c>
      <c r="L242">
        <f t="shared" si="35"/>
        <v>-0.37900863382825745</v>
      </c>
      <c r="N242">
        <f t="shared" si="36"/>
        <v>7.6535663487098282E-2</v>
      </c>
      <c r="O242">
        <f t="shared" si="37"/>
        <v>-0.37813164435704993</v>
      </c>
      <c r="Q242">
        <f t="shared" si="38"/>
        <v>1.3017188714971037</v>
      </c>
      <c r="R242">
        <f t="shared" si="39"/>
        <v>-6.5085943582065111</v>
      </c>
    </row>
    <row r="243" spans="1:18" x14ac:dyDescent="0.3">
      <c r="A243">
        <v>1</v>
      </c>
      <c r="B243">
        <v>-4</v>
      </c>
      <c r="E243">
        <f t="shared" si="30"/>
        <v>0.14049440109699468</v>
      </c>
      <c r="F243">
        <f t="shared" si="31"/>
        <v>-0.56907328121105927</v>
      </c>
      <c r="H243">
        <f t="shared" si="32"/>
        <v>0.1428300502668618</v>
      </c>
      <c r="I243">
        <f t="shared" si="33"/>
        <v>-0.56707772432684733</v>
      </c>
      <c r="K243">
        <f t="shared" si="34"/>
        <v>0.14249427904567363</v>
      </c>
      <c r="L243">
        <f t="shared" si="35"/>
        <v>-0.57429512463862409</v>
      </c>
      <c r="N243">
        <f t="shared" si="36"/>
        <v>0.14485836320245429</v>
      </c>
      <c r="O243">
        <f t="shared" si="37"/>
        <v>-0.57226224671068582</v>
      </c>
      <c r="Q243">
        <f t="shared" si="38"/>
        <v>1.5706770936119843</v>
      </c>
      <c r="R243">
        <f t="shared" si="39"/>
        <v>-6.2827083768872161</v>
      </c>
    </row>
    <row r="244" spans="1:18" x14ac:dyDescent="0.3">
      <c r="A244">
        <v>1</v>
      </c>
      <c r="B244">
        <v>-3</v>
      </c>
      <c r="E244">
        <f t="shared" si="30"/>
        <v>0.31118714529139641</v>
      </c>
      <c r="F244">
        <f t="shared" si="31"/>
        <v>-0.94613465386576079</v>
      </c>
      <c r="H244">
        <f t="shared" si="32"/>
        <v>0.31558594294727105</v>
      </c>
      <c r="I244">
        <f t="shared" si="33"/>
        <v>-0.94050860224879773</v>
      </c>
      <c r="K244">
        <f t="shared" si="34"/>
        <v>0.31685061366849882</v>
      </c>
      <c r="L244">
        <f t="shared" si="35"/>
        <v>-0.95695286350385</v>
      </c>
      <c r="N244">
        <f t="shared" si="36"/>
        <v>0.3213063326069216</v>
      </c>
      <c r="O244">
        <f t="shared" si="37"/>
        <v>-0.9511939945492035</v>
      </c>
      <c r="Q244">
        <f t="shared" si="38"/>
        <v>2.2649300345140881</v>
      </c>
      <c r="R244">
        <f t="shared" si="39"/>
        <v>-6.7947901141676113</v>
      </c>
    </row>
    <row r="245" spans="1:18" x14ac:dyDescent="0.3">
      <c r="A245">
        <v>1</v>
      </c>
      <c r="B245">
        <v>-2</v>
      </c>
      <c r="E245">
        <f t="shared" si="30"/>
        <v>0.8801438638879906</v>
      </c>
      <c r="F245">
        <f t="shared" si="31"/>
        <v>-1.786958753954405</v>
      </c>
      <c r="H245">
        <f t="shared" si="32"/>
        <v>0.88729871046400344</v>
      </c>
      <c r="I245">
        <f t="shared" si="33"/>
        <v>-1.7658122851808384</v>
      </c>
      <c r="K245">
        <f t="shared" si="34"/>
        <v>0.90160933078036332</v>
      </c>
      <c r="L245">
        <f t="shared" si="35"/>
        <v>-1.8123258265181039</v>
      </c>
      <c r="N245">
        <f t="shared" si="36"/>
        <v>0.90876417449547331</v>
      </c>
      <c r="O245">
        <f t="shared" si="37"/>
        <v>-1.7905353537089028</v>
      </c>
      <c r="Q245">
        <f t="shared" si="38"/>
        <v>4.57781607962783</v>
      </c>
      <c r="R245">
        <f t="shared" si="39"/>
        <v>-9.1556322193622499</v>
      </c>
    </row>
    <row r="246" spans="1:18" x14ac:dyDescent="0.3">
      <c r="A246">
        <v>1</v>
      </c>
      <c r="B246">
        <v>-1</v>
      </c>
      <c r="E246">
        <f t="shared" si="30"/>
        <v>3.4996536057090712</v>
      </c>
      <c r="F246">
        <f t="shared" si="31"/>
        <v>-3.5703536785516792</v>
      </c>
      <c r="H246">
        <f t="shared" si="32"/>
        <v>3.4658699205300829</v>
      </c>
      <c r="I246">
        <f t="shared" si="33"/>
        <v>-3.4658699205300829</v>
      </c>
      <c r="K246">
        <f t="shared" si="34"/>
        <v>3.6073195652818466</v>
      </c>
      <c r="L246">
        <f t="shared" si="35"/>
        <v>-3.6073195652818466</v>
      </c>
      <c r="N246">
        <f t="shared" si="36"/>
        <v>3.5703536785516792</v>
      </c>
      <c r="O246">
        <f t="shared" si="37"/>
        <v>-3.4996536057090712</v>
      </c>
      <c r="Q246">
        <f t="shared" si="38"/>
        <v>15.143196770072681</v>
      </c>
      <c r="R246">
        <f t="shared" si="39"/>
        <v>-15.143196770072679</v>
      </c>
    </row>
    <row r="247" spans="1:18" x14ac:dyDescent="0.3">
      <c r="A247">
        <v>1</v>
      </c>
      <c r="B247">
        <v>0</v>
      </c>
      <c r="E247">
        <f t="shared" si="30"/>
        <v>10.201479174668069</v>
      </c>
      <c r="F247">
        <f t="shared" si="31"/>
        <v>-0.10304524418856635</v>
      </c>
      <c r="H247">
        <f t="shared" si="32"/>
        <v>9.8015192001657674</v>
      </c>
      <c r="I247">
        <f t="shared" si="33"/>
        <v>-9.7044744556096699E-2</v>
      </c>
      <c r="K247">
        <f t="shared" si="34"/>
        <v>10.201479174668069</v>
      </c>
      <c r="L247">
        <f t="shared" si="35"/>
        <v>0.10304524418856635</v>
      </c>
      <c r="N247">
        <f t="shared" si="36"/>
        <v>9.8015192001657674</v>
      </c>
      <c r="O247">
        <f t="shared" si="37"/>
        <v>9.7044744556096699E-2</v>
      </c>
      <c r="Q247">
        <f t="shared" si="38"/>
        <v>41.005996749667673</v>
      </c>
      <c r="R247">
        <f t="shared" si="39"/>
        <v>0</v>
      </c>
    </row>
    <row r="248" spans="1:18" x14ac:dyDescent="0.3">
      <c r="A248">
        <v>1</v>
      </c>
      <c r="B248">
        <v>1</v>
      </c>
      <c r="E248">
        <f t="shared" si="30"/>
        <v>3.6073195652818466</v>
      </c>
      <c r="F248">
        <f t="shared" si="31"/>
        <v>3.6073195652818466</v>
      </c>
      <c r="H248">
        <f t="shared" si="32"/>
        <v>3.5703536785516792</v>
      </c>
      <c r="I248">
        <f t="shared" si="33"/>
        <v>3.4996536057090712</v>
      </c>
      <c r="K248">
        <f t="shared" si="34"/>
        <v>3.4996536057090712</v>
      </c>
      <c r="L248">
        <f t="shared" si="35"/>
        <v>3.5703536785516792</v>
      </c>
      <c r="N248">
        <f t="shared" si="36"/>
        <v>3.4658699205300829</v>
      </c>
      <c r="O248">
        <f t="shared" si="37"/>
        <v>3.4658699205300829</v>
      </c>
      <c r="Q248">
        <f t="shared" si="38"/>
        <v>15.143196770072681</v>
      </c>
      <c r="R248">
        <f t="shared" si="39"/>
        <v>15.143196770072681</v>
      </c>
    </row>
    <row r="249" spans="1:18" x14ac:dyDescent="0.3">
      <c r="A249">
        <v>1</v>
      </c>
      <c r="B249">
        <v>2</v>
      </c>
      <c r="E249">
        <f t="shared" si="30"/>
        <v>0.90160933078036332</v>
      </c>
      <c r="F249">
        <f t="shared" si="31"/>
        <v>1.8123258265181039</v>
      </c>
      <c r="H249">
        <f t="shared" si="32"/>
        <v>0.90876417449547331</v>
      </c>
      <c r="I249">
        <f t="shared" si="33"/>
        <v>1.7905353537089028</v>
      </c>
      <c r="K249">
        <f t="shared" si="34"/>
        <v>0.8801438638879906</v>
      </c>
      <c r="L249">
        <f t="shared" si="35"/>
        <v>1.786958753954405</v>
      </c>
      <c r="N249">
        <f t="shared" si="36"/>
        <v>0.88729871046400344</v>
      </c>
      <c r="O249">
        <f t="shared" si="37"/>
        <v>1.7658122851808384</v>
      </c>
      <c r="Q249">
        <f t="shared" si="38"/>
        <v>4.5778160796278309</v>
      </c>
      <c r="R249">
        <f t="shared" si="39"/>
        <v>9.1556322193622499</v>
      </c>
    </row>
    <row r="250" spans="1:18" x14ac:dyDescent="0.3">
      <c r="A250">
        <v>1</v>
      </c>
      <c r="B250">
        <v>3</v>
      </c>
      <c r="E250">
        <f t="shared" si="30"/>
        <v>0.31685061366849882</v>
      </c>
      <c r="F250">
        <f t="shared" si="31"/>
        <v>0.95695286350385</v>
      </c>
      <c r="H250">
        <f t="shared" si="32"/>
        <v>0.3213063326069216</v>
      </c>
      <c r="I250">
        <f t="shared" si="33"/>
        <v>0.9511939945492035</v>
      </c>
      <c r="K250">
        <f t="shared" si="34"/>
        <v>0.31118714529139641</v>
      </c>
      <c r="L250">
        <f t="shared" si="35"/>
        <v>0.94613465386576079</v>
      </c>
      <c r="N250">
        <f t="shared" si="36"/>
        <v>0.31558594294727105</v>
      </c>
      <c r="O250">
        <f t="shared" si="37"/>
        <v>0.94050860224879773</v>
      </c>
      <c r="Q250">
        <f t="shared" si="38"/>
        <v>2.2649300345140877</v>
      </c>
      <c r="R250">
        <f t="shared" si="39"/>
        <v>6.7947901141676121</v>
      </c>
    </row>
    <row r="251" spans="1:18" x14ac:dyDescent="0.3">
      <c r="A251">
        <v>1</v>
      </c>
      <c r="B251">
        <v>4</v>
      </c>
      <c r="E251">
        <f t="shared" si="30"/>
        <v>0.14249427904567363</v>
      </c>
      <c r="F251">
        <f t="shared" si="31"/>
        <v>0.57429512463862409</v>
      </c>
      <c r="H251">
        <f t="shared" si="32"/>
        <v>0.14485836320245429</v>
      </c>
      <c r="I251">
        <f t="shared" si="33"/>
        <v>0.57226224671068582</v>
      </c>
      <c r="K251">
        <f t="shared" si="34"/>
        <v>0.14049440109699468</v>
      </c>
      <c r="L251">
        <f t="shared" si="35"/>
        <v>0.56907328121105927</v>
      </c>
      <c r="N251">
        <f t="shared" si="36"/>
        <v>0.1428300502668618</v>
      </c>
      <c r="O251">
        <f t="shared" si="37"/>
        <v>0.56707772432684733</v>
      </c>
      <c r="Q251">
        <f t="shared" si="38"/>
        <v>1.5706770936119845</v>
      </c>
      <c r="R251">
        <f t="shared" si="39"/>
        <v>6.2827083768872161</v>
      </c>
    </row>
    <row r="252" spans="1:18" x14ac:dyDescent="0.3">
      <c r="A252">
        <v>1</v>
      </c>
      <c r="B252">
        <v>5</v>
      </c>
      <c r="E252">
        <f t="shared" si="30"/>
        <v>7.5194097693381728E-2</v>
      </c>
      <c r="F252">
        <f t="shared" si="31"/>
        <v>0.37900863382825745</v>
      </c>
      <c r="H252">
        <f t="shared" si="32"/>
        <v>7.6535663487098282E-2</v>
      </c>
      <c r="I252">
        <f t="shared" si="33"/>
        <v>0.37813164435704993</v>
      </c>
      <c r="K252">
        <f t="shared" si="34"/>
        <v>7.4330801933928825E-2</v>
      </c>
      <c r="L252">
        <f t="shared" si="35"/>
        <v>0.37615890675654884</v>
      </c>
      <c r="N252">
        <f t="shared" si="36"/>
        <v>7.5658308382694855E-2</v>
      </c>
      <c r="O252">
        <f t="shared" si="37"/>
        <v>0.37529517326465467</v>
      </c>
      <c r="Q252">
        <f t="shared" si="38"/>
        <v>1.3017188714971037</v>
      </c>
      <c r="R252">
        <f t="shared" si="39"/>
        <v>6.5085943582065102</v>
      </c>
    </row>
    <row r="253" spans="1:18" x14ac:dyDescent="0.3">
      <c r="A253">
        <v>1</v>
      </c>
      <c r="B253">
        <v>6</v>
      </c>
      <c r="E253">
        <f t="shared" si="30"/>
        <v>4.4238323851777846E-2</v>
      </c>
      <c r="F253">
        <f t="shared" si="31"/>
        <v>0.26766420189105994</v>
      </c>
      <c r="H253">
        <f t="shared" si="32"/>
        <v>4.5058662242361866E-2</v>
      </c>
      <c r="I253">
        <f t="shared" si="33"/>
        <v>0.26722909587301741</v>
      </c>
      <c r="K253">
        <f t="shared" si="34"/>
        <v>4.3809754386285434E-2</v>
      </c>
      <c r="L253">
        <f t="shared" si="35"/>
        <v>0.26595618571876306</v>
      </c>
      <c r="N253">
        <f t="shared" si="36"/>
        <v>4.4622614916396713E-2</v>
      </c>
      <c r="O253">
        <f t="shared" si="37"/>
        <v>0.2655266491559844</v>
      </c>
      <c r="Q253">
        <f t="shared" si="38"/>
        <v>1.1777293553968218</v>
      </c>
      <c r="R253">
        <f t="shared" si="39"/>
        <v>7.0663761326388244</v>
      </c>
    </row>
    <row r="254" spans="1:18" x14ac:dyDescent="0.3">
      <c r="A254">
        <v>1</v>
      </c>
      <c r="B254">
        <v>7</v>
      </c>
      <c r="E254">
        <f t="shared" si="30"/>
        <v>2.8136205674423372E-2</v>
      </c>
      <c r="F254">
        <f t="shared" si="31"/>
        <v>0.19865866430729232</v>
      </c>
      <c r="H254">
        <f t="shared" si="32"/>
        <v>2.8670092526660643E-2</v>
      </c>
      <c r="I254">
        <f t="shared" si="33"/>
        <v>0.19841974926867118</v>
      </c>
      <c r="K254">
        <f t="shared" si="34"/>
        <v>2.7900757959301171E-2</v>
      </c>
      <c r="L254">
        <f t="shared" si="35"/>
        <v>0.19755991241889012</v>
      </c>
      <c r="N254">
        <f t="shared" si="36"/>
        <v>2.8430368222915003E-2</v>
      </c>
      <c r="O254">
        <f t="shared" si="37"/>
        <v>0.19732364479468731</v>
      </c>
      <c r="Q254">
        <f t="shared" si="38"/>
        <v>1.1131374243833001</v>
      </c>
      <c r="R254">
        <f t="shared" si="39"/>
        <v>7.7919619707895409</v>
      </c>
    </row>
    <row r="255" spans="1:18" x14ac:dyDescent="0.3">
      <c r="A255">
        <v>1</v>
      </c>
      <c r="B255">
        <v>8</v>
      </c>
      <c r="E255">
        <f t="shared" si="30"/>
        <v>1.897010106126773E-2</v>
      </c>
      <c r="F255">
        <f t="shared" si="31"/>
        <v>0.15310212876720117</v>
      </c>
      <c r="H255">
        <f t="shared" si="32"/>
        <v>1.9335435063886762E-2</v>
      </c>
      <c r="I255">
        <f t="shared" si="33"/>
        <v>0.15296052095094578</v>
      </c>
      <c r="K255">
        <f t="shared" si="34"/>
        <v>1.883048748155676E-2</v>
      </c>
      <c r="L255">
        <f t="shared" si="35"/>
        <v>0.15235576235077741</v>
      </c>
      <c r="N255">
        <f t="shared" si="36"/>
        <v>1.9193219969540768E-2</v>
      </c>
      <c r="O255">
        <f t="shared" si="37"/>
        <v>0.15221553659012035</v>
      </c>
      <c r="Q255">
        <f t="shared" si="38"/>
        <v>1.0763292435762519</v>
      </c>
      <c r="R255">
        <f t="shared" si="39"/>
        <v>8.6106339486590446</v>
      </c>
    </row>
    <row r="256" spans="1:18" x14ac:dyDescent="0.3">
      <c r="A256">
        <v>1</v>
      </c>
      <c r="B256">
        <v>9</v>
      </c>
      <c r="E256">
        <f t="shared" si="30"/>
        <v>1.3381464501505375E-2</v>
      </c>
      <c r="F256">
        <f t="shared" si="31"/>
        <v>0.12151451097831649</v>
      </c>
      <c r="H256">
        <f t="shared" si="32"/>
        <v>1.3641789716289997E-2</v>
      </c>
      <c r="I256">
        <f t="shared" si="33"/>
        <v>0.12142543519747236</v>
      </c>
      <c r="K256">
        <f t="shared" si="34"/>
        <v>1.3293610899160249E-2</v>
      </c>
      <c r="L256">
        <f t="shared" si="35"/>
        <v>0.12098528707215539</v>
      </c>
      <c r="N256">
        <f t="shared" si="36"/>
        <v>1.3552270530378394E-2</v>
      </c>
      <c r="O256">
        <f t="shared" si="37"/>
        <v>0.1208969876026825</v>
      </c>
      <c r="Q256">
        <f t="shared" si="38"/>
        <v>1.053869135647334</v>
      </c>
      <c r="R256">
        <f t="shared" si="39"/>
        <v>9.4848222208506261</v>
      </c>
    </row>
    <row r="257" spans="1:18" x14ac:dyDescent="0.3">
      <c r="A257">
        <v>1</v>
      </c>
      <c r="B257">
        <v>10</v>
      </c>
      <c r="E257">
        <f t="shared" si="30"/>
        <v>9.7852600263051773E-3</v>
      </c>
      <c r="F257">
        <f t="shared" si="31"/>
        <v>9.8742169356352244E-2</v>
      </c>
      <c r="H257">
        <f t="shared" si="32"/>
        <v>9.9770015995040411E-3</v>
      </c>
      <c r="I257">
        <f t="shared" si="33"/>
        <v>9.8683411860440967E-2</v>
      </c>
      <c r="K257">
        <f t="shared" si="34"/>
        <v>9.7272906853283041E-3</v>
      </c>
      <c r="L257">
        <f t="shared" si="35"/>
        <v>9.8353716929430637E-2</v>
      </c>
      <c r="N257">
        <f t="shared" si="36"/>
        <v>9.9179196867940824E-3</v>
      </c>
      <c r="O257">
        <f t="shared" si="37"/>
        <v>9.8295421846345307E-2</v>
      </c>
      <c r="Q257">
        <f t="shared" si="38"/>
        <v>1.0394074719979316</v>
      </c>
      <c r="R257">
        <f t="shared" si="39"/>
        <v>10.394074719992568</v>
      </c>
    </row>
    <row r="258" spans="1:18" x14ac:dyDescent="0.3">
      <c r="A258">
        <v>0</v>
      </c>
      <c r="B258">
        <v>-10</v>
      </c>
      <c r="E258">
        <f t="shared" si="30"/>
        <v>-9.9700449749439267E-5</v>
      </c>
      <c r="F258">
        <f t="shared" si="31"/>
        <v>-9.9800150199188711E-2</v>
      </c>
      <c r="H258">
        <f t="shared" si="32"/>
        <v>9.9700449749439267E-5</v>
      </c>
      <c r="I258">
        <f t="shared" si="33"/>
        <v>-9.9800150199188711E-2</v>
      </c>
      <c r="K258">
        <f t="shared" si="34"/>
        <v>-1.0030045024943562E-4</v>
      </c>
      <c r="L258">
        <f t="shared" si="35"/>
        <v>-0.10020014979918619</v>
      </c>
      <c r="N258">
        <f t="shared" si="36"/>
        <v>1.0030045024943562E-4</v>
      </c>
      <c r="O258">
        <f t="shared" si="37"/>
        <v>-0.10020014979918619</v>
      </c>
      <c r="Q258">
        <f t="shared" si="38"/>
        <v>0</v>
      </c>
      <c r="R258">
        <f t="shared" si="39"/>
        <v>-10.40000059999675</v>
      </c>
    </row>
    <row r="259" spans="1:18" x14ac:dyDescent="0.3">
      <c r="A259">
        <v>0</v>
      </c>
      <c r="B259">
        <v>-9</v>
      </c>
      <c r="E259">
        <f t="shared" si="30"/>
        <v>-1.367177254848182E-4</v>
      </c>
      <c r="F259">
        <f t="shared" si="31"/>
        <v>-0.1231826706618212</v>
      </c>
      <c r="H259">
        <f t="shared" si="32"/>
        <v>1.367177254848182E-4</v>
      </c>
      <c r="I259">
        <f t="shared" si="33"/>
        <v>-0.1231826706618212</v>
      </c>
      <c r="K259">
        <f t="shared" si="34"/>
        <v>-1.3763222116730309E-4</v>
      </c>
      <c r="L259">
        <f t="shared" si="35"/>
        <v>-0.12373136682940547</v>
      </c>
      <c r="N259">
        <f t="shared" si="36"/>
        <v>1.3763222116730309E-4</v>
      </c>
      <c r="O259">
        <f t="shared" si="37"/>
        <v>-0.12373136682940547</v>
      </c>
      <c r="Q259">
        <f t="shared" si="38"/>
        <v>0</v>
      </c>
      <c r="R259">
        <f t="shared" si="39"/>
        <v>-9.4938280749824528</v>
      </c>
    </row>
    <row r="260" spans="1:18" x14ac:dyDescent="0.3">
      <c r="A260">
        <v>0</v>
      </c>
      <c r="B260">
        <v>-8</v>
      </c>
      <c r="E260">
        <f t="shared" si="30"/>
        <v>-1.9458145045967012E-4</v>
      </c>
      <c r="F260">
        <f t="shared" si="31"/>
        <v>-0.15585974181819576</v>
      </c>
      <c r="H260">
        <f t="shared" si="32"/>
        <v>1.9458145045967012E-4</v>
      </c>
      <c r="I260">
        <f t="shared" si="33"/>
        <v>-0.15585974181819576</v>
      </c>
      <c r="K260">
        <f t="shared" si="34"/>
        <v>-1.9604629611699682E-4</v>
      </c>
      <c r="L260">
        <f t="shared" si="35"/>
        <v>-0.15664099059748046</v>
      </c>
      <c r="N260">
        <f t="shared" si="36"/>
        <v>1.9604629611699682E-4</v>
      </c>
      <c r="O260">
        <f t="shared" si="37"/>
        <v>-0.15664099059748046</v>
      </c>
      <c r="Q260">
        <f t="shared" si="38"/>
        <v>0</v>
      </c>
      <c r="R260">
        <f t="shared" si="39"/>
        <v>-8.6250014648313531</v>
      </c>
    </row>
    <row r="261" spans="1:18" x14ac:dyDescent="0.3">
      <c r="A261">
        <v>0</v>
      </c>
      <c r="B261">
        <v>-7</v>
      </c>
      <c r="E261">
        <f t="shared" si="30"/>
        <v>-2.9029838544484166E-4</v>
      </c>
      <c r="F261">
        <f t="shared" si="31"/>
        <v>-0.203499168196834</v>
      </c>
      <c r="H261">
        <f t="shared" si="32"/>
        <v>2.9029838544484166E-4</v>
      </c>
      <c r="I261">
        <f t="shared" si="33"/>
        <v>-0.203499168196834</v>
      </c>
      <c r="K261">
        <f t="shared" si="34"/>
        <v>-2.92797348461888E-4</v>
      </c>
      <c r="L261">
        <f t="shared" si="35"/>
        <v>-0.20466534657485971</v>
      </c>
      <c r="N261">
        <f t="shared" si="36"/>
        <v>2.92797348461888E-4</v>
      </c>
      <c r="O261">
        <f t="shared" si="37"/>
        <v>-0.20466534657485971</v>
      </c>
      <c r="Q261">
        <f t="shared" si="38"/>
        <v>0</v>
      </c>
      <c r="R261">
        <f t="shared" si="39"/>
        <v>-7.8163290295433878</v>
      </c>
    </row>
    <row r="262" spans="1:18" x14ac:dyDescent="0.3">
      <c r="A262">
        <v>0</v>
      </c>
      <c r="B262">
        <v>-6</v>
      </c>
      <c r="E262">
        <f t="shared" si="30"/>
        <v>-4.606539298068326E-4</v>
      </c>
      <c r="F262">
        <f t="shared" si="31"/>
        <v>-0.27685301181390637</v>
      </c>
      <c r="H262">
        <f t="shared" si="32"/>
        <v>4.606539298068326E-4</v>
      </c>
      <c r="I262">
        <f t="shared" si="33"/>
        <v>-0.27685301181390637</v>
      </c>
      <c r="K262">
        <f t="shared" si="34"/>
        <v>-4.652835701529788E-4</v>
      </c>
      <c r="L262">
        <f t="shared" si="35"/>
        <v>-0.27870485852163429</v>
      </c>
      <c r="N262">
        <f t="shared" si="36"/>
        <v>4.652835701529788E-4</v>
      </c>
      <c r="O262">
        <f t="shared" si="37"/>
        <v>-0.27870485852163429</v>
      </c>
      <c r="Q262">
        <f t="shared" si="38"/>
        <v>0</v>
      </c>
      <c r="R262">
        <f t="shared" si="39"/>
        <v>-7.1111157406710817</v>
      </c>
    </row>
    <row r="263" spans="1:18" x14ac:dyDescent="0.3">
      <c r="A263">
        <v>0</v>
      </c>
      <c r="B263">
        <v>-5</v>
      </c>
      <c r="E263">
        <f t="shared" ref="E263:E326" si="40">$D$2*G$3/(($A263-E$3)^2+($B263-F$3)^2)^(3/2)*($A263-E$3)</f>
        <v>-7.9521438392846956E-4</v>
      </c>
      <c r="F263">
        <f t="shared" ref="F263:F326" si="41">$D$2*G$3/(($A263-E$3)^2+($B263-F$3)^2)^(3/2)*($B263-F$3)</f>
        <v>-0.39840240634816321</v>
      </c>
      <c r="H263">
        <f t="shared" ref="H263:H326" si="42">$D$2*J$3/(($A263-H$3)^2+($B263-I$3)^2)^(3/2)*($A263-H$3)</f>
        <v>7.9521438392846956E-4</v>
      </c>
      <c r="I263">
        <f t="shared" ref="I263:I326" si="43">$D$2*J$3/(($A263-H$3)^2+($B263-I$3)^2)^(3/2)*($B263-I$3)</f>
        <v>-0.39840240634816321</v>
      </c>
      <c r="K263">
        <f t="shared" ref="K263:K326" si="44">$D$2*M$3/(($A263-K$3)^2+($B263-L$3)^2)^(3/2)*($A263-K$3)</f>
        <v>-8.0481441592752825E-4</v>
      </c>
      <c r="L263">
        <f t="shared" ref="L263:L326" si="45">$D$2*M$3/(($A263-K$3)^2+($B263-L$3)^2)^(3/2)*($B263-L$3)</f>
        <v>-0.40160239354783661</v>
      </c>
      <c r="N263">
        <f t="shared" ref="N263:N326" si="46">$D$2*P$3/(($A263-N$3)^2+($B263-O$3)^2)^(3/2)*($A263-N$3)</f>
        <v>8.0481441592752825E-4</v>
      </c>
      <c r="O263">
        <f t="shared" ref="O263:O326" si="47">$D$2*P$3/(($A263-N$3)^2+($B263-O$3)^2)^(3/2)*($B263-O$3)</f>
        <v>-0.40160239354783661</v>
      </c>
      <c r="Q263">
        <f t="shared" ref="Q263:Q326" si="48">SUM(E263,H263,K263,N263)+A263</f>
        <v>0</v>
      </c>
      <c r="R263">
        <f t="shared" ref="R263:R326" si="49">SUM(F263,I263,L263,O263)+B263</f>
        <v>-6.6000095997919992</v>
      </c>
    </row>
    <row r="264" spans="1:18" x14ac:dyDescent="0.3">
      <c r="A264">
        <v>0</v>
      </c>
      <c r="B264">
        <v>-4</v>
      </c>
      <c r="E264">
        <f t="shared" si="40"/>
        <v>-1.5508251339368154E-3</v>
      </c>
      <c r="F264">
        <f t="shared" si="41"/>
        <v>-0.62188087870866293</v>
      </c>
      <c r="H264">
        <f t="shared" si="42"/>
        <v>1.5508251339368154E-3</v>
      </c>
      <c r="I264">
        <f t="shared" si="43"/>
        <v>-0.62188087870866293</v>
      </c>
      <c r="K264">
        <f t="shared" si="44"/>
        <v>-1.5742627560015197E-3</v>
      </c>
      <c r="L264">
        <f t="shared" si="45"/>
        <v>-0.62813083964460636</v>
      </c>
      <c r="N264">
        <f t="shared" si="46"/>
        <v>1.5742627560015197E-3</v>
      </c>
      <c r="O264">
        <f t="shared" si="47"/>
        <v>-0.62813083964460636</v>
      </c>
      <c r="Q264">
        <f t="shared" si="48"/>
        <v>0</v>
      </c>
      <c r="R264">
        <f t="shared" si="49"/>
        <v>-6.5000234367065381</v>
      </c>
    </row>
    <row r="265" spans="1:18" x14ac:dyDescent="0.3">
      <c r="A265">
        <v>0</v>
      </c>
      <c r="B265">
        <v>-3</v>
      </c>
      <c r="E265">
        <f t="shared" si="40"/>
        <v>-3.6668515063721803E-3</v>
      </c>
      <c r="F265">
        <f t="shared" si="41"/>
        <v>-1.1037223034180261</v>
      </c>
      <c r="H265">
        <f t="shared" si="42"/>
        <v>3.6668515063721803E-3</v>
      </c>
      <c r="I265">
        <f t="shared" si="43"/>
        <v>-1.1037223034180261</v>
      </c>
      <c r="K265">
        <f t="shared" si="44"/>
        <v>-3.7409262662612946E-3</v>
      </c>
      <c r="L265">
        <f t="shared" si="45"/>
        <v>-1.1185369536121272</v>
      </c>
      <c r="N265">
        <f t="shared" si="46"/>
        <v>3.7409262662612946E-3</v>
      </c>
      <c r="O265">
        <f t="shared" si="47"/>
        <v>-1.1185369536121272</v>
      </c>
      <c r="Q265">
        <f t="shared" si="48"/>
        <v>0</v>
      </c>
      <c r="R265">
        <f t="shared" si="49"/>
        <v>-7.4445185140603067</v>
      </c>
    </row>
    <row r="266" spans="1:18" x14ac:dyDescent="0.3">
      <c r="A266">
        <v>0</v>
      </c>
      <c r="B266">
        <v>-2</v>
      </c>
      <c r="E266">
        <f t="shared" si="40"/>
        <v>-1.2313902300517271E-2</v>
      </c>
      <c r="F266">
        <f t="shared" si="41"/>
        <v>-2.4750943624039712</v>
      </c>
      <c r="H266">
        <f t="shared" si="42"/>
        <v>1.2313902300517271E-2</v>
      </c>
      <c r="I266">
        <f t="shared" si="43"/>
        <v>-2.4750943624039712</v>
      </c>
      <c r="K266">
        <f t="shared" si="44"/>
        <v>-1.2688910111581684E-2</v>
      </c>
      <c r="L266">
        <f t="shared" si="45"/>
        <v>-2.5250931122047549</v>
      </c>
      <c r="N266">
        <f t="shared" si="46"/>
        <v>1.2688910111581684E-2</v>
      </c>
      <c r="O266">
        <f t="shared" si="47"/>
        <v>-2.5250931122047549</v>
      </c>
      <c r="Q266">
        <f t="shared" si="48"/>
        <v>0</v>
      </c>
      <c r="R266">
        <f t="shared" si="49"/>
        <v>-12.000374949217452</v>
      </c>
    </row>
    <row r="267" spans="1:18" x14ac:dyDescent="0.3">
      <c r="A267">
        <v>0</v>
      </c>
      <c r="B267">
        <v>-1</v>
      </c>
      <c r="E267">
        <f t="shared" si="40"/>
        <v>-9.7044744556096699E-2</v>
      </c>
      <c r="F267">
        <f t="shared" si="41"/>
        <v>-9.8015192001657674</v>
      </c>
      <c r="H267">
        <f t="shared" si="42"/>
        <v>9.7044744556096699E-2</v>
      </c>
      <c r="I267">
        <f t="shared" si="43"/>
        <v>-9.8015192001657674</v>
      </c>
      <c r="K267">
        <f t="shared" si="44"/>
        <v>-0.10304524418856635</v>
      </c>
      <c r="L267">
        <f t="shared" si="45"/>
        <v>-10.201479174668069</v>
      </c>
      <c r="N267">
        <f t="shared" si="46"/>
        <v>0.10304524418856635</v>
      </c>
      <c r="O267">
        <f t="shared" si="47"/>
        <v>-10.201479174668069</v>
      </c>
      <c r="Q267">
        <f t="shared" si="48"/>
        <v>0</v>
      </c>
      <c r="R267">
        <f t="shared" si="49"/>
        <v>-41.005996749667673</v>
      </c>
    </row>
    <row r="268" spans="1:18" x14ac:dyDescent="0.3">
      <c r="A268">
        <v>0</v>
      </c>
      <c r="B268">
        <v>0</v>
      </c>
      <c r="E268">
        <f t="shared" si="40"/>
        <v>-35355.339059327387</v>
      </c>
      <c r="F268">
        <f t="shared" si="41"/>
        <v>-35355.339059327387</v>
      </c>
      <c r="H268">
        <f t="shared" si="42"/>
        <v>35355.339059327387</v>
      </c>
      <c r="I268">
        <f t="shared" si="43"/>
        <v>-35355.339059327387</v>
      </c>
      <c r="K268">
        <f t="shared" si="44"/>
        <v>-35355.339059327387</v>
      </c>
      <c r="L268">
        <f t="shared" si="45"/>
        <v>35355.339059327387</v>
      </c>
      <c r="N268">
        <f t="shared" si="46"/>
        <v>35355.339059327387</v>
      </c>
      <c r="O268">
        <f t="shared" si="47"/>
        <v>35355.339059327387</v>
      </c>
      <c r="Q268">
        <f t="shared" si="48"/>
        <v>0</v>
      </c>
      <c r="R268">
        <f t="shared" si="49"/>
        <v>0</v>
      </c>
    </row>
    <row r="269" spans="1:18" x14ac:dyDescent="0.3">
      <c r="A269">
        <v>0</v>
      </c>
      <c r="B269">
        <v>1</v>
      </c>
      <c r="E269">
        <f t="shared" si="40"/>
        <v>-0.10304524418856635</v>
      </c>
      <c r="F269">
        <f t="shared" si="41"/>
        <v>10.201479174668069</v>
      </c>
      <c r="H269">
        <f t="shared" si="42"/>
        <v>0.10304524418856635</v>
      </c>
      <c r="I269">
        <f t="shared" si="43"/>
        <v>10.201479174668069</v>
      </c>
      <c r="K269">
        <f t="shared" si="44"/>
        <v>-9.7044744556096699E-2</v>
      </c>
      <c r="L269">
        <f t="shared" si="45"/>
        <v>9.8015192001657674</v>
      </c>
      <c r="N269">
        <f t="shared" si="46"/>
        <v>9.7044744556096699E-2</v>
      </c>
      <c r="O269">
        <f t="shared" si="47"/>
        <v>9.8015192001657674</v>
      </c>
      <c r="Q269">
        <f t="shared" si="48"/>
        <v>0</v>
      </c>
      <c r="R269">
        <f t="shared" si="49"/>
        <v>41.005996749667673</v>
      </c>
    </row>
    <row r="270" spans="1:18" x14ac:dyDescent="0.3">
      <c r="A270">
        <v>0</v>
      </c>
      <c r="B270">
        <v>2</v>
      </c>
      <c r="E270">
        <f t="shared" si="40"/>
        <v>-1.2688910111581684E-2</v>
      </c>
      <c r="F270">
        <f t="shared" si="41"/>
        <v>2.5250931122047549</v>
      </c>
      <c r="H270">
        <f t="shared" si="42"/>
        <v>1.2688910111581684E-2</v>
      </c>
      <c r="I270">
        <f t="shared" si="43"/>
        <v>2.5250931122047549</v>
      </c>
      <c r="K270">
        <f t="shared" si="44"/>
        <v>-1.2313902300517271E-2</v>
      </c>
      <c r="L270">
        <f t="shared" si="45"/>
        <v>2.4750943624039712</v>
      </c>
      <c r="N270">
        <f t="shared" si="46"/>
        <v>1.2313902300517271E-2</v>
      </c>
      <c r="O270">
        <f t="shared" si="47"/>
        <v>2.4750943624039712</v>
      </c>
      <c r="Q270">
        <f t="shared" si="48"/>
        <v>0</v>
      </c>
      <c r="R270">
        <f t="shared" si="49"/>
        <v>12.000374949217452</v>
      </c>
    </row>
    <row r="271" spans="1:18" x14ac:dyDescent="0.3">
      <c r="A271">
        <v>0</v>
      </c>
      <c r="B271">
        <v>3</v>
      </c>
      <c r="E271">
        <f t="shared" si="40"/>
        <v>-3.7409262662612946E-3</v>
      </c>
      <c r="F271">
        <f t="shared" si="41"/>
        <v>1.1185369536121272</v>
      </c>
      <c r="H271">
        <f t="shared" si="42"/>
        <v>3.7409262662612946E-3</v>
      </c>
      <c r="I271">
        <f t="shared" si="43"/>
        <v>1.1185369536121272</v>
      </c>
      <c r="K271">
        <f t="shared" si="44"/>
        <v>-3.6668515063721803E-3</v>
      </c>
      <c r="L271">
        <f t="shared" si="45"/>
        <v>1.1037223034180261</v>
      </c>
      <c r="N271">
        <f t="shared" si="46"/>
        <v>3.6668515063721803E-3</v>
      </c>
      <c r="O271">
        <f t="shared" si="47"/>
        <v>1.1037223034180261</v>
      </c>
      <c r="Q271">
        <f t="shared" si="48"/>
        <v>0</v>
      </c>
      <c r="R271">
        <f t="shared" si="49"/>
        <v>7.4445185140603067</v>
      </c>
    </row>
    <row r="272" spans="1:18" x14ac:dyDescent="0.3">
      <c r="A272">
        <v>0</v>
      </c>
      <c r="B272">
        <v>4</v>
      </c>
      <c r="E272">
        <f t="shared" si="40"/>
        <v>-1.5742627560015197E-3</v>
      </c>
      <c r="F272">
        <f t="shared" si="41"/>
        <v>0.62813083964460636</v>
      </c>
      <c r="H272">
        <f t="shared" si="42"/>
        <v>1.5742627560015197E-3</v>
      </c>
      <c r="I272">
        <f t="shared" si="43"/>
        <v>0.62813083964460636</v>
      </c>
      <c r="K272">
        <f t="shared" si="44"/>
        <v>-1.5508251339368154E-3</v>
      </c>
      <c r="L272">
        <f t="shared" si="45"/>
        <v>0.62188087870866293</v>
      </c>
      <c r="N272">
        <f t="shared" si="46"/>
        <v>1.5508251339368154E-3</v>
      </c>
      <c r="O272">
        <f t="shared" si="47"/>
        <v>0.62188087870866293</v>
      </c>
      <c r="Q272">
        <f t="shared" si="48"/>
        <v>0</v>
      </c>
      <c r="R272">
        <f t="shared" si="49"/>
        <v>6.5000234367065381</v>
      </c>
    </row>
    <row r="273" spans="1:18" x14ac:dyDescent="0.3">
      <c r="A273">
        <v>0</v>
      </c>
      <c r="B273">
        <v>5</v>
      </c>
      <c r="E273">
        <f t="shared" si="40"/>
        <v>-8.0481441592752825E-4</v>
      </c>
      <c r="F273">
        <f t="shared" si="41"/>
        <v>0.40160239354783661</v>
      </c>
      <c r="H273">
        <f t="shared" si="42"/>
        <v>8.0481441592752825E-4</v>
      </c>
      <c r="I273">
        <f t="shared" si="43"/>
        <v>0.40160239354783661</v>
      </c>
      <c r="K273">
        <f t="shared" si="44"/>
        <v>-7.9521438392846956E-4</v>
      </c>
      <c r="L273">
        <f t="shared" si="45"/>
        <v>0.39840240634816321</v>
      </c>
      <c r="N273">
        <f t="shared" si="46"/>
        <v>7.9521438392846956E-4</v>
      </c>
      <c r="O273">
        <f t="shared" si="47"/>
        <v>0.39840240634816321</v>
      </c>
      <c r="Q273">
        <f t="shared" si="48"/>
        <v>0</v>
      </c>
      <c r="R273">
        <f t="shared" si="49"/>
        <v>6.6000095997919992</v>
      </c>
    </row>
    <row r="274" spans="1:18" x14ac:dyDescent="0.3">
      <c r="A274">
        <v>0</v>
      </c>
      <c r="B274">
        <v>6</v>
      </c>
      <c r="E274">
        <f t="shared" si="40"/>
        <v>-4.652835701529788E-4</v>
      </c>
      <c r="F274">
        <f t="shared" si="41"/>
        <v>0.27870485852163429</v>
      </c>
      <c r="H274">
        <f t="shared" si="42"/>
        <v>4.652835701529788E-4</v>
      </c>
      <c r="I274">
        <f t="shared" si="43"/>
        <v>0.27870485852163429</v>
      </c>
      <c r="K274">
        <f t="shared" si="44"/>
        <v>-4.606539298068326E-4</v>
      </c>
      <c r="L274">
        <f t="shared" si="45"/>
        <v>0.27685301181390637</v>
      </c>
      <c r="N274">
        <f t="shared" si="46"/>
        <v>4.606539298068326E-4</v>
      </c>
      <c r="O274">
        <f t="shared" si="47"/>
        <v>0.27685301181390637</v>
      </c>
      <c r="Q274">
        <f t="shared" si="48"/>
        <v>0</v>
      </c>
      <c r="R274">
        <f t="shared" si="49"/>
        <v>7.1111157406710817</v>
      </c>
    </row>
    <row r="275" spans="1:18" x14ac:dyDescent="0.3">
      <c r="A275">
        <v>0</v>
      </c>
      <c r="B275">
        <v>7</v>
      </c>
      <c r="E275">
        <f t="shared" si="40"/>
        <v>-2.92797348461888E-4</v>
      </c>
      <c r="F275">
        <f t="shared" si="41"/>
        <v>0.20466534657485971</v>
      </c>
      <c r="H275">
        <f t="shared" si="42"/>
        <v>2.92797348461888E-4</v>
      </c>
      <c r="I275">
        <f t="shared" si="43"/>
        <v>0.20466534657485971</v>
      </c>
      <c r="K275">
        <f t="shared" si="44"/>
        <v>-2.9029838544484166E-4</v>
      </c>
      <c r="L275">
        <f t="shared" si="45"/>
        <v>0.203499168196834</v>
      </c>
      <c r="N275">
        <f t="shared" si="46"/>
        <v>2.9029838544484166E-4</v>
      </c>
      <c r="O275">
        <f t="shared" si="47"/>
        <v>0.203499168196834</v>
      </c>
      <c r="Q275">
        <f t="shared" si="48"/>
        <v>0</v>
      </c>
      <c r="R275">
        <f t="shared" si="49"/>
        <v>7.8163290295433878</v>
      </c>
    </row>
    <row r="276" spans="1:18" x14ac:dyDescent="0.3">
      <c r="A276">
        <v>0</v>
      </c>
      <c r="B276">
        <v>8</v>
      </c>
      <c r="E276">
        <f t="shared" si="40"/>
        <v>-1.9604629611699682E-4</v>
      </c>
      <c r="F276">
        <f t="shared" si="41"/>
        <v>0.15664099059748046</v>
      </c>
      <c r="H276">
        <f t="shared" si="42"/>
        <v>1.9604629611699682E-4</v>
      </c>
      <c r="I276">
        <f t="shared" si="43"/>
        <v>0.15664099059748046</v>
      </c>
      <c r="K276">
        <f t="shared" si="44"/>
        <v>-1.9458145045967012E-4</v>
      </c>
      <c r="L276">
        <f t="shared" si="45"/>
        <v>0.15585974181819576</v>
      </c>
      <c r="N276">
        <f t="shared" si="46"/>
        <v>1.9458145045967012E-4</v>
      </c>
      <c r="O276">
        <f t="shared" si="47"/>
        <v>0.15585974181819576</v>
      </c>
      <c r="Q276">
        <f t="shared" si="48"/>
        <v>0</v>
      </c>
      <c r="R276">
        <f t="shared" si="49"/>
        <v>8.6250014648313531</v>
      </c>
    </row>
    <row r="277" spans="1:18" x14ac:dyDescent="0.3">
      <c r="A277">
        <v>0</v>
      </c>
      <c r="B277">
        <v>9</v>
      </c>
      <c r="E277">
        <f t="shared" si="40"/>
        <v>-1.3763222116730309E-4</v>
      </c>
      <c r="F277">
        <f t="shared" si="41"/>
        <v>0.12373136682940547</v>
      </c>
      <c r="H277">
        <f t="shared" si="42"/>
        <v>1.3763222116730309E-4</v>
      </c>
      <c r="I277">
        <f t="shared" si="43"/>
        <v>0.12373136682940547</v>
      </c>
      <c r="K277">
        <f t="shared" si="44"/>
        <v>-1.367177254848182E-4</v>
      </c>
      <c r="L277">
        <f t="shared" si="45"/>
        <v>0.1231826706618212</v>
      </c>
      <c r="N277">
        <f t="shared" si="46"/>
        <v>1.367177254848182E-4</v>
      </c>
      <c r="O277">
        <f t="shared" si="47"/>
        <v>0.1231826706618212</v>
      </c>
      <c r="Q277">
        <f t="shared" si="48"/>
        <v>0</v>
      </c>
      <c r="R277">
        <f t="shared" si="49"/>
        <v>9.4938280749824528</v>
      </c>
    </row>
    <row r="278" spans="1:18" x14ac:dyDescent="0.3">
      <c r="A278">
        <v>0</v>
      </c>
      <c r="B278">
        <v>10</v>
      </c>
      <c r="E278">
        <f t="shared" si="40"/>
        <v>-1.0030045024943562E-4</v>
      </c>
      <c r="F278">
        <f t="shared" si="41"/>
        <v>0.10020014979918619</v>
      </c>
      <c r="H278">
        <f t="shared" si="42"/>
        <v>1.0030045024943562E-4</v>
      </c>
      <c r="I278">
        <f t="shared" si="43"/>
        <v>0.10020014979918619</v>
      </c>
      <c r="K278">
        <f t="shared" si="44"/>
        <v>-9.9700449749439267E-5</v>
      </c>
      <c r="L278">
        <f t="shared" si="45"/>
        <v>9.9800150199188711E-2</v>
      </c>
      <c r="N278">
        <f t="shared" si="46"/>
        <v>9.9700449749439267E-5</v>
      </c>
      <c r="O278">
        <f t="shared" si="47"/>
        <v>9.9800150199188711E-2</v>
      </c>
      <c r="Q278">
        <f t="shared" si="48"/>
        <v>0</v>
      </c>
      <c r="R278">
        <f t="shared" si="49"/>
        <v>10.40000059999675</v>
      </c>
    </row>
    <row r="279" spans="1:18" x14ac:dyDescent="0.3">
      <c r="A279">
        <v>1</v>
      </c>
      <c r="B279">
        <v>-10</v>
      </c>
      <c r="E279">
        <f t="shared" si="40"/>
        <v>9.7272906853283041E-3</v>
      </c>
      <c r="F279">
        <f t="shared" si="41"/>
        <v>-9.8353716929430637E-2</v>
      </c>
      <c r="H279">
        <f t="shared" si="42"/>
        <v>9.9179196867940824E-3</v>
      </c>
      <c r="I279">
        <f t="shared" si="43"/>
        <v>-9.8295421846345307E-2</v>
      </c>
      <c r="K279">
        <f t="shared" si="44"/>
        <v>9.7852600263051773E-3</v>
      </c>
      <c r="L279">
        <f t="shared" si="45"/>
        <v>-9.8742169356352244E-2</v>
      </c>
      <c r="N279">
        <f t="shared" si="46"/>
        <v>9.9770015995040411E-3</v>
      </c>
      <c r="O279">
        <f t="shared" si="47"/>
        <v>-9.8683411860440967E-2</v>
      </c>
      <c r="Q279">
        <f t="shared" si="48"/>
        <v>1.0394074719979316</v>
      </c>
      <c r="R279">
        <f t="shared" si="49"/>
        <v>-10.394074719992568</v>
      </c>
    </row>
    <row r="280" spans="1:18" x14ac:dyDescent="0.3">
      <c r="A280">
        <v>1</v>
      </c>
      <c r="B280">
        <v>-9</v>
      </c>
      <c r="E280">
        <f t="shared" si="40"/>
        <v>1.3293610899160249E-2</v>
      </c>
      <c r="F280">
        <f t="shared" si="41"/>
        <v>-0.12098528707215539</v>
      </c>
      <c r="H280">
        <f t="shared" si="42"/>
        <v>1.3552270530378394E-2</v>
      </c>
      <c r="I280">
        <f t="shared" si="43"/>
        <v>-0.1208969876026825</v>
      </c>
      <c r="K280">
        <f t="shared" si="44"/>
        <v>1.3381464501505375E-2</v>
      </c>
      <c r="L280">
        <f t="shared" si="45"/>
        <v>-0.12151451097831649</v>
      </c>
      <c r="N280">
        <f t="shared" si="46"/>
        <v>1.3641789716289997E-2</v>
      </c>
      <c r="O280">
        <f t="shared" si="47"/>
        <v>-0.12142543519747236</v>
      </c>
      <c r="Q280">
        <f t="shared" si="48"/>
        <v>1.053869135647334</v>
      </c>
      <c r="R280">
        <f t="shared" si="49"/>
        <v>-9.4848222208506261</v>
      </c>
    </row>
    <row r="281" spans="1:18" x14ac:dyDescent="0.3">
      <c r="A281">
        <v>1</v>
      </c>
      <c r="B281">
        <v>-8</v>
      </c>
      <c r="E281">
        <f t="shared" si="40"/>
        <v>1.883048748155676E-2</v>
      </c>
      <c r="F281">
        <f t="shared" si="41"/>
        <v>-0.15235576235077741</v>
      </c>
      <c r="H281">
        <f t="shared" si="42"/>
        <v>1.9193219969540768E-2</v>
      </c>
      <c r="I281">
        <f t="shared" si="43"/>
        <v>-0.15221553659012035</v>
      </c>
      <c r="K281">
        <f t="shared" si="44"/>
        <v>1.897010106126773E-2</v>
      </c>
      <c r="L281">
        <f t="shared" si="45"/>
        <v>-0.15310212876720117</v>
      </c>
      <c r="N281">
        <f t="shared" si="46"/>
        <v>1.9335435063886762E-2</v>
      </c>
      <c r="O281">
        <f t="shared" si="47"/>
        <v>-0.15296052095094578</v>
      </c>
      <c r="Q281">
        <f t="shared" si="48"/>
        <v>1.0763292435762519</v>
      </c>
      <c r="R281">
        <f t="shared" si="49"/>
        <v>-8.6106339486590446</v>
      </c>
    </row>
    <row r="282" spans="1:18" x14ac:dyDescent="0.3">
      <c r="A282">
        <v>1</v>
      </c>
      <c r="B282">
        <v>-7</v>
      </c>
      <c r="E282">
        <f t="shared" si="40"/>
        <v>2.7900757959301171E-2</v>
      </c>
      <c r="F282">
        <f t="shared" si="41"/>
        <v>-0.19755991241889012</v>
      </c>
      <c r="H282">
        <f t="shared" si="42"/>
        <v>2.8430368222915003E-2</v>
      </c>
      <c r="I282">
        <f t="shared" si="43"/>
        <v>-0.19732364479468731</v>
      </c>
      <c r="K282">
        <f t="shared" si="44"/>
        <v>2.8136205674423372E-2</v>
      </c>
      <c r="L282">
        <f t="shared" si="45"/>
        <v>-0.19865866430729232</v>
      </c>
      <c r="N282">
        <f t="shared" si="46"/>
        <v>2.8670092526660643E-2</v>
      </c>
      <c r="O282">
        <f t="shared" si="47"/>
        <v>-0.19841974926867118</v>
      </c>
      <c r="Q282">
        <f t="shared" si="48"/>
        <v>1.1131374243833001</v>
      </c>
      <c r="R282">
        <f t="shared" si="49"/>
        <v>-7.7919619707895409</v>
      </c>
    </row>
    <row r="283" spans="1:18" x14ac:dyDescent="0.3">
      <c r="A283">
        <v>1</v>
      </c>
      <c r="B283">
        <v>-6</v>
      </c>
      <c r="E283">
        <f t="shared" si="40"/>
        <v>4.3809754386285434E-2</v>
      </c>
      <c r="F283">
        <f t="shared" si="41"/>
        <v>-0.26595618571876306</v>
      </c>
      <c r="H283">
        <f t="shared" si="42"/>
        <v>4.4622614916396713E-2</v>
      </c>
      <c r="I283">
        <f t="shared" si="43"/>
        <v>-0.2655266491559844</v>
      </c>
      <c r="K283">
        <f t="shared" si="44"/>
        <v>4.4238323851777846E-2</v>
      </c>
      <c r="L283">
        <f t="shared" si="45"/>
        <v>-0.26766420189105994</v>
      </c>
      <c r="N283">
        <f t="shared" si="46"/>
        <v>4.5058662242361866E-2</v>
      </c>
      <c r="O283">
        <f t="shared" si="47"/>
        <v>-0.26722909587301741</v>
      </c>
      <c r="Q283">
        <f t="shared" si="48"/>
        <v>1.1777293553968218</v>
      </c>
      <c r="R283">
        <f t="shared" si="49"/>
        <v>-7.0663761326388244</v>
      </c>
    </row>
    <row r="284" spans="1:18" x14ac:dyDescent="0.3">
      <c r="A284">
        <v>1</v>
      </c>
      <c r="B284">
        <v>-5</v>
      </c>
      <c r="E284">
        <f t="shared" si="40"/>
        <v>7.4330801933928825E-2</v>
      </c>
      <c r="F284">
        <f t="shared" si="41"/>
        <v>-0.37615890675654884</v>
      </c>
      <c r="H284">
        <f t="shared" si="42"/>
        <v>7.5658308382694855E-2</v>
      </c>
      <c r="I284">
        <f t="shared" si="43"/>
        <v>-0.37529517326465467</v>
      </c>
      <c r="K284">
        <f t="shared" si="44"/>
        <v>7.5194097693381728E-2</v>
      </c>
      <c r="L284">
        <f t="shared" si="45"/>
        <v>-0.37900863382825745</v>
      </c>
      <c r="N284">
        <f t="shared" si="46"/>
        <v>7.6535663487098282E-2</v>
      </c>
      <c r="O284">
        <f t="shared" si="47"/>
        <v>-0.37813164435704993</v>
      </c>
      <c r="Q284">
        <f t="shared" si="48"/>
        <v>1.3017188714971037</v>
      </c>
      <c r="R284">
        <f t="shared" si="49"/>
        <v>-6.5085943582065111</v>
      </c>
    </row>
    <row r="285" spans="1:18" x14ac:dyDescent="0.3">
      <c r="A285">
        <v>1</v>
      </c>
      <c r="B285">
        <v>-4</v>
      </c>
      <c r="E285">
        <f t="shared" si="40"/>
        <v>0.14049440109699468</v>
      </c>
      <c r="F285">
        <f t="shared" si="41"/>
        <v>-0.56907328121105927</v>
      </c>
      <c r="H285">
        <f t="shared" si="42"/>
        <v>0.1428300502668618</v>
      </c>
      <c r="I285">
        <f t="shared" si="43"/>
        <v>-0.56707772432684733</v>
      </c>
      <c r="K285">
        <f t="shared" si="44"/>
        <v>0.14249427904567363</v>
      </c>
      <c r="L285">
        <f t="shared" si="45"/>
        <v>-0.57429512463862409</v>
      </c>
      <c r="N285">
        <f t="shared" si="46"/>
        <v>0.14485836320245429</v>
      </c>
      <c r="O285">
        <f t="shared" si="47"/>
        <v>-0.57226224671068582</v>
      </c>
      <c r="Q285">
        <f t="shared" si="48"/>
        <v>1.5706770936119843</v>
      </c>
      <c r="R285">
        <f t="shared" si="49"/>
        <v>-6.2827083768872161</v>
      </c>
    </row>
    <row r="286" spans="1:18" x14ac:dyDescent="0.3">
      <c r="A286">
        <v>1</v>
      </c>
      <c r="B286">
        <v>-3</v>
      </c>
      <c r="E286">
        <f t="shared" si="40"/>
        <v>0.31118714529139641</v>
      </c>
      <c r="F286">
        <f t="shared" si="41"/>
        <v>-0.94613465386576079</v>
      </c>
      <c r="H286">
        <f t="shared" si="42"/>
        <v>0.31558594294727105</v>
      </c>
      <c r="I286">
        <f t="shared" si="43"/>
        <v>-0.94050860224879773</v>
      </c>
      <c r="K286">
        <f t="shared" si="44"/>
        <v>0.31685061366849882</v>
      </c>
      <c r="L286">
        <f t="shared" si="45"/>
        <v>-0.95695286350385</v>
      </c>
      <c r="N286">
        <f t="shared" si="46"/>
        <v>0.3213063326069216</v>
      </c>
      <c r="O286">
        <f t="shared" si="47"/>
        <v>-0.9511939945492035</v>
      </c>
      <c r="Q286">
        <f t="shared" si="48"/>
        <v>2.2649300345140881</v>
      </c>
      <c r="R286">
        <f t="shared" si="49"/>
        <v>-6.7947901141676113</v>
      </c>
    </row>
    <row r="287" spans="1:18" x14ac:dyDescent="0.3">
      <c r="A287">
        <v>1</v>
      </c>
      <c r="B287">
        <v>-2</v>
      </c>
      <c r="E287">
        <f t="shared" si="40"/>
        <v>0.8801438638879906</v>
      </c>
      <c r="F287">
        <f t="shared" si="41"/>
        <v>-1.786958753954405</v>
      </c>
      <c r="H287">
        <f t="shared" si="42"/>
        <v>0.88729871046400344</v>
      </c>
      <c r="I287">
        <f t="shared" si="43"/>
        <v>-1.7658122851808384</v>
      </c>
      <c r="K287">
        <f t="shared" si="44"/>
        <v>0.90160933078036332</v>
      </c>
      <c r="L287">
        <f t="shared" si="45"/>
        <v>-1.8123258265181039</v>
      </c>
      <c r="N287">
        <f t="shared" si="46"/>
        <v>0.90876417449547331</v>
      </c>
      <c r="O287">
        <f t="shared" si="47"/>
        <v>-1.7905353537089028</v>
      </c>
      <c r="Q287">
        <f t="shared" si="48"/>
        <v>4.57781607962783</v>
      </c>
      <c r="R287">
        <f t="shared" si="49"/>
        <v>-9.1556322193622499</v>
      </c>
    </row>
    <row r="288" spans="1:18" x14ac:dyDescent="0.3">
      <c r="A288">
        <v>1</v>
      </c>
      <c r="B288">
        <v>-1</v>
      </c>
      <c r="E288">
        <f t="shared" si="40"/>
        <v>3.4996536057090712</v>
      </c>
      <c r="F288">
        <f t="shared" si="41"/>
        <v>-3.5703536785516792</v>
      </c>
      <c r="H288">
        <f t="shared" si="42"/>
        <v>3.4658699205300829</v>
      </c>
      <c r="I288">
        <f t="shared" si="43"/>
        <v>-3.4658699205300829</v>
      </c>
      <c r="K288">
        <f t="shared" si="44"/>
        <v>3.6073195652818466</v>
      </c>
      <c r="L288">
        <f t="shared" si="45"/>
        <v>-3.6073195652818466</v>
      </c>
      <c r="N288">
        <f t="shared" si="46"/>
        <v>3.5703536785516792</v>
      </c>
      <c r="O288">
        <f t="shared" si="47"/>
        <v>-3.4996536057090712</v>
      </c>
      <c r="Q288">
        <f t="shared" si="48"/>
        <v>15.143196770072681</v>
      </c>
      <c r="R288">
        <f t="shared" si="49"/>
        <v>-15.143196770072679</v>
      </c>
    </row>
    <row r="289" spans="1:18" x14ac:dyDescent="0.3">
      <c r="A289">
        <v>1</v>
      </c>
      <c r="B289">
        <v>0</v>
      </c>
      <c r="E289">
        <f t="shared" si="40"/>
        <v>10.201479174668069</v>
      </c>
      <c r="F289">
        <f t="shared" si="41"/>
        <v>-0.10304524418856635</v>
      </c>
      <c r="H289">
        <f t="shared" si="42"/>
        <v>9.8015192001657674</v>
      </c>
      <c r="I289">
        <f t="shared" si="43"/>
        <v>-9.7044744556096699E-2</v>
      </c>
      <c r="K289">
        <f t="shared" si="44"/>
        <v>10.201479174668069</v>
      </c>
      <c r="L289">
        <f t="shared" si="45"/>
        <v>0.10304524418856635</v>
      </c>
      <c r="N289">
        <f t="shared" si="46"/>
        <v>9.8015192001657674</v>
      </c>
      <c r="O289">
        <f t="shared" si="47"/>
        <v>9.7044744556096699E-2</v>
      </c>
      <c r="Q289">
        <f t="shared" si="48"/>
        <v>41.005996749667673</v>
      </c>
      <c r="R289">
        <f t="shared" si="49"/>
        <v>0</v>
      </c>
    </row>
    <row r="290" spans="1:18" x14ac:dyDescent="0.3">
      <c r="A290">
        <v>1</v>
      </c>
      <c r="B290">
        <v>1</v>
      </c>
      <c r="E290">
        <f t="shared" si="40"/>
        <v>3.6073195652818466</v>
      </c>
      <c r="F290">
        <f t="shared" si="41"/>
        <v>3.6073195652818466</v>
      </c>
      <c r="H290">
        <f t="shared" si="42"/>
        <v>3.5703536785516792</v>
      </c>
      <c r="I290">
        <f t="shared" si="43"/>
        <v>3.4996536057090712</v>
      </c>
      <c r="K290">
        <f t="shared" si="44"/>
        <v>3.4996536057090712</v>
      </c>
      <c r="L290">
        <f t="shared" si="45"/>
        <v>3.5703536785516792</v>
      </c>
      <c r="N290">
        <f t="shared" si="46"/>
        <v>3.4658699205300829</v>
      </c>
      <c r="O290">
        <f t="shared" si="47"/>
        <v>3.4658699205300829</v>
      </c>
      <c r="Q290">
        <f t="shared" si="48"/>
        <v>15.143196770072681</v>
      </c>
      <c r="R290">
        <f t="shared" si="49"/>
        <v>15.143196770072681</v>
      </c>
    </row>
    <row r="291" spans="1:18" x14ac:dyDescent="0.3">
      <c r="A291">
        <v>1</v>
      </c>
      <c r="B291">
        <v>2</v>
      </c>
      <c r="E291">
        <f t="shared" si="40"/>
        <v>0.90160933078036332</v>
      </c>
      <c r="F291">
        <f t="shared" si="41"/>
        <v>1.8123258265181039</v>
      </c>
      <c r="H291">
        <f t="shared" si="42"/>
        <v>0.90876417449547331</v>
      </c>
      <c r="I291">
        <f t="shared" si="43"/>
        <v>1.7905353537089028</v>
      </c>
      <c r="K291">
        <f t="shared" si="44"/>
        <v>0.8801438638879906</v>
      </c>
      <c r="L291">
        <f t="shared" si="45"/>
        <v>1.786958753954405</v>
      </c>
      <c r="N291">
        <f t="shared" si="46"/>
        <v>0.88729871046400344</v>
      </c>
      <c r="O291">
        <f t="shared" si="47"/>
        <v>1.7658122851808384</v>
      </c>
      <c r="Q291">
        <f t="shared" si="48"/>
        <v>4.5778160796278309</v>
      </c>
      <c r="R291">
        <f t="shared" si="49"/>
        <v>9.1556322193622499</v>
      </c>
    </row>
    <row r="292" spans="1:18" x14ac:dyDescent="0.3">
      <c r="A292">
        <v>1</v>
      </c>
      <c r="B292">
        <v>3</v>
      </c>
      <c r="E292">
        <f t="shared" si="40"/>
        <v>0.31685061366849882</v>
      </c>
      <c r="F292">
        <f t="shared" si="41"/>
        <v>0.95695286350385</v>
      </c>
      <c r="H292">
        <f t="shared" si="42"/>
        <v>0.3213063326069216</v>
      </c>
      <c r="I292">
        <f t="shared" si="43"/>
        <v>0.9511939945492035</v>
      </c>
      <c r="K292">
        <f t="shared" si="44"/>
        <v>0.31118714529139641</v>
      </c>
      <c r="L292">
        <f t="shared" si="45"/>
        <v>0.94613465386576079</v>
      </c>
      <c r="N292">
        <f t="shared" si="46"/>
        <v>0.31558594294727105</v>
      </c>
      <c r="O292">
        <f t="shared" si="47"/>
        <v>0.94050860224879773</v>
      </c>
      <c r="Q292">
        <f t="shared" si="48"/>
        <v>2.2649300345140877</v>
      </c>
      <c r="R292">
        <f t="shared" si="49"/>
        <v>6.7947901141676121</v>
      </c>
    </row>
    <row r="293" spans="1:18" x14ac:dyDescent="0.3">
      <c r="A293">
        <v>1</v>
      </c>
      <c r="B293">
        <v>4</v>
      </c>
      <c r="E293">
        <f t="shared" si="40"/>
        <v>0.14249427904567363</v>
      </c>
      <c r="F293">
        <f t="shared" si="41"/>
        <v>0.57429512463862409</v>
      </c>
      <c r="H293">
        <f t="shared" si="42"/>
        <v>0.14485836320245429</v>
      </c>
      <c r="I293">
        <f t="shared" si="43"/>
        <v>0.57226224671068582</v>
      </c>
      <c r="K293">
        <f t="shared" si="44"/>
        <v>0.14049440109699468</v>
      </c>
      <c r="L293">
        <f t="shared" si="45"/>
        <v>0.56907328121105927</v>
      </c>
      <c r="N293">
        <f t="shared" si="46"/>
        <v>0.1428300502668618</v>
      </c>
      <c r="O293">
        <f t="shared" si="47"/>
        <v>0.56707772432684733</v>
      </c>
      <c r="Q293">
        <f t="shared" si="48"/>
        <v>1.5706770936119845</v>
      </c>
      <c r="R293">
        <f t="shared" si="49"/>
        <v>6.2827083768872161</v>
      </c>
    </row>
    <row r="294" spans="1:18" x14ac:dyDescent="0.3">
      <c r="A294">
        <v>1</v>
      </c>
      <c r="B294">
        <v>5</v>
      </c>
      <c r="E294">
        <f t="shared" si="40"/>
        <v>7.5194097693381728E-2</v>
      </c>
      <c r="F294">
        <f t="shared" si="41"/>
        <v>0.37900863382825745</v>
      </c>
      <c r="H294">
        <f t="shared" si="42"/>
        <v>7.6535663487098282E-2</v>
      </c>
      <c r="I294">
        <f t="shared" si="43"/>
        <v>0.37813164435704993</v>
      </c>
      <c r="K294">
        <f t="shared" si="44"/>
        <v>7.4330801933928825E-2</v>
      </c>
      <c r="L294">
        <f t="shared" si="45"/>
        <v>0.37615890675654884</v>
      </c>
      <c r="N294">
        <f t="shared" si="46"/>
        <v>7.5658308382694855E-2</v>
      </c>
      <c r="O294">
        <f t="shared" si="47"/>
        <v>0.37529517326465467</v>
      </c>
      <c r="Q294">
        <f t="shared" si="48"/>
        <v>1.3017188714971037</v>
      </c>
      <c r="R294">
        <f t="shared" si="49"/>
        <v>6.5085943582065102</v>
      </c>
    </row>
    <row r="295" spans="1:18" x14ac:dyDescent="0.3">
      <c r="A295">
        <v>1</v>
      </c>
      <c r="B295">
        <v>6</v>
      </c>
      <c r="E295">
        <f t="shared" si="40"/>
        <v>4.4238323851777846E-2</v>
      </c>
      <c r="F295">
        <f t="shared" si="41"/>
        <v>0.26766420189105994</v>
      </c>
      <c r="H295">
        <f t="shared" si="42"/>
        <v>4.5058662242361866E-2</v>
      </c>
      <c r="I295">
        <f t="shared" si="43"/>
        <v>0.26722909587301741</v>
      </c>
      <c r="K295">
        <f t="shared" si="44"/>
        <v>4.3809754386285434E-2</v>
      </c>
      <c r="L295">
        <f t="shared" si="45"/>
        <v>0.26595618571876306</v>
      </c>
      <c r="N295">
        <f t="shared" si="46"/>
        <v>4.4622614916396713E-2</v>
      </c>
      <c r="O295">
        <f t="shared" si="47"/>
        <v>0.2655266491559844</v>
      </c>
      <c r="Q295">
        <f t="shared" si="48"/>
        <v>1.1777293553968218</v>
      </c>
      <c r="R295">
        <f t="shared" si="49"/>
        <v>7.0663761326388244</v>
      </c>
    </row>
    <row r="296" spans="1:18" x14ac:dyDescent="0.3">
      <c r="A296">
        <v>1</v>
      </c>
      <c r="B296">
        <v>7</v>
      </c>
      <c r="E296">
        <f t="shared" si="40"/>
        <v>2.8136205674423372E-2</v>
      </c>
      <c r="F296">
        <f t="shared" si="41"/>
        <v>0.19865866430729232</v>
      </c>
      <c r="H296">
        <f t="shared" si="42"/>
        <v>2.8670092526660643E-2</v>
      </c>
      <c r="I296">
        <f t="shared" si="43"/>
        <v>0.19841974926867118</v>
      </c>
      <c r="K296">
        <f t="shared" si="44"/>
        <v>2.7900757959301171E-2</v>
      </c>
      <c r="L296">
        <f t="shared" si="45"/>
        <v>0.19755991241889012</v>
      </c>
      <c r="N296">
        <f t="shared" si="46"/>
        <v>2.8430368222915003E-2</v>
      </c>
      <c r="O296">
        <f t="shared" si="47"/>
        <v>0.19732364479468731</v>
      </c>
      <c r="Q296">
        <f t="shared" si="48"/>
        <v>1.1131374243833001</v>
      </c>
      <c r="R296">
        <f t="shared" si="49"/>
        <v>7.7919619707895409</v>
      </c>
    </row>
    <row r="297" spans="1:18" x14ac:dyDescent="0.3">
      <c r="A297">
        <v>1</v>
      </c>
      <c r="B297">
        <v>8</v>
      </c>
      <c r="E297">
        <f t="shared" si="40"/>
        <v>1.897010106126773E-2</v>
      </c>
      <c r="F297">
        <f t="shared" si="41"/>
        <v>0.15310212876720117</v>
      </c>
      <c r="H297">
        <f t="shared" si="42"/>
        <v>1.9335435063886762E-2</v>
      </c>
      <c r="I297">
        <f t="shared" si="43"/>
        <v>0.15296052095094578</v>
      </c>
      <c r="K297">
        <f t="shared" si="44"/>
        <v>1.883048748155676E-2</v>
      </c>
      <c r="L297">
        <f t="shared" si="45"/>
        <v>0.15235576235077741</v>
      </c>
      <c r="N297">
        <f t="shared" si="46"/>
        <v>1.9193219969540768E-2</v>
      </c>
      <c r="O297">
        <f t="shared" si="47"/>
        <v>0.15221553659012035</v>
      </c>
      <c r="Q297">
        <f t="shared" si="48"/>
        <v>1.0763292435762519</v>
      </c>
      <c r="R297">
        <f t="shared" si="49"/>
        <v>8.6106339486590446</v>
      </c>
    </row>
    <row r="298" spans="1:18" x14ac:dyDescent="0.3">
      <c r="A298">
        <v>1</v>
      </c>
      <c r="B298">
        <v>9</v>
      </c>
      <c r="E298">
        <f t="shared" si="40"/>
        <v>1.3381464501505375E-2</v>
      </c>
      <c r="F298">
        <f t="shared" si="41"/>
        <v>0.12151451097831649</v>
      </c>
      <c r="H298">
        <f t="shared" si="42"/>
        <v>1.3641789716289997E-2</v>
      </c>
      <c r="I298">
        <f t="shared" si="43"/>
        <v>0.12142543519747236</v>
      </c>
      <c r="K298">
        <f t="shared" si="44"/>
        <v>1.3293610899160249E-2</v>
      </c>
      <c r="L298">
        <f t="shared" si="45"/>
        <v>0.12098528707215539</v>
      </c>
      <c r="N298">
        <f t="shared" si="46"/>
        <v>1.3552270530378394E-2</v>
      </c>
      <c r="O298">
        <f t="shared" si="47"/>
        <v>0.1208969876026825</v>
      </c>
      <c r="Q298">
        <f t="shared" si="48"/>
        <v>1.053869135647334</v>
      </c>
      <c r="R298">
        <f t="shared" si="49"/>
        <v>9.4848222208506261</v>
      </c>
    </row>
    <row r="299" spans="1:18" x14ac:dyDescent="0.3">
      <c r="A299">
        <v>1</v>
      </c>
      <c r="B299">
        <v>10</v>
      </c>
      <c r="E299">
        <f t="shared" si="40"/>
        <v>9.7852600263051773E-3</v>
      </c>
      <c r="F299">
        <f t="shared" si="41"/>
        <v>9.8742169356352244E-2</v>
      </c>
      <c r="H299">
        <f t="shared" si="42"/>
        <v>9.9770015995040411E-3</v>
      </c>
      <c r="I299">
        <f t="shared" si="43"/>
        <v>9.8683411860440967E-2</v>
      </c>
      <c r="K299">
        <f t="shared" si="44"/>
        <v>9.7272906853283041E-3</v>
      </c>
      <c r="L299">
        <f t="shared" si="45"/>
        <v>9.8353716929430637E-2</v>
      </c>
      <c r="N299">
        <f t="shared" si="46"/>
        <v>9.9179196867940824E-3</v>
      </c>
      <c r="O299">
        <f t="shared" si="47"/>
        <v>9.8295421846345307E-2</v>
      </c>
      <c r="Q299">
        <f t="shared" si="48"/>
        <v>1.0394074719979316</v>
      </c>
      <c r="R299">
        <f t="shared" si="49"/>
        <v>10.394074719992568</v>
      </c>
    </row>
    <row r="300" spans="1:18" x14ac:dyDescent="0.3">
      <c r="A300">
        <v>2</v>
      </c>
      <c r="B300">
        <v>-10</v>
      </c>
      <c r="E300">
        <f t="shared" si="40"/>
        <v>1.8719763975818874E-2</v>
      </c>
      <c r="F300">
        <f t="shared" si="41"/>
        <v>-9.4163234873340176E-2</v>
      </c>
      <c r="H300">
        <f t="shared" si="42"/>
        <v>1.8886139945972259E-2</v>
      </c>
      <c r="I300">
        <f t="shared" si="43"/>
        <v>-9.4054856148846927E-2</v>
      </c>
      <c r="K300">
        <f t="shared" si="44"/>
        <v>1.8828116468044928E-2</v>
      </c>
      <c r="L300">
        <f t="shared" si="45"/>
        <v>-9.4519036942597404E-2</v>
      </c>
      <c r="N300">
        <f t="shared" si="46"/>
        <v>1.8995371145346666E-2</v>
      </c>
      <c r="O300">
        <f t="shared" si="47"/>
        <v>-9.4409829722394645E-2</v>
      </c>
      <c r="Q300">
        <f t="shared" si="48"/>
        <v>2.0754293915351827</v>
      </c>
      <c r="R300">
        <f t="shared" si="49"/>
        <v>-10.377146957687179</v>
      </c>
    </row>
    <row r="301" spans="1:18" x14ac:dyDescent="0.3">
      <c r="A301">
        <v>2</v>
      </c>
      <c r="B301">
        <v>-9</v>
      </c>
      <c r="E301">
        <f t="shared" si="40"/>
        <v>2.5330926651546706E-2</v>
      </c>
      <c r="F301">
        <f t="shared" si="41"/>
        <v>-0.11468927091981698</v>
      </c>
      <c r="H301">
        <f t="shared" si="42"/>
        <v>2.5549489899176967E-2</v>
      </c>
      <c r="I301">
        <f t="shared" si="43"/>
        <v>-0.11452781293113656</v>
      </c>
      <c r="K301">
        <f t="shared" si="44"/>
        <v>2.5492440908539117E-2</v>
      </c>
      <c r="L301">
        <f t="shared" si="45"/>
        <v>-0.1151643436018928</v>
      </c>
      <c r="N301">
        <f t="shared" si="46"/>
        <v>2.5712244012162142E-2</v>
      </c>
      <c r="O301">
        <f t="shared" si="47"/>
        <v>-0.11500152918872522</v>
      </c>
      <c r="Q301">
        <f t="shared" si="48"/>
        <v>2.1020851014714248</v>
      </c>
      <c r="R301">
        <f t="shared" si="49"/>
        <v>-9.459382956641571</v>
      </c>
    </row>
    <row r="302" spans="1:18" x14ac:dyDescent="0.3">
      <c r="A302">
        <v>2</v>
      </c>
      <c r="B302">
        <v>-8</v>
      </c>
      <c r="E302">
        <f t="shared" si="40"/>
        <v>3.5394778987521663E-2</v>
      </c>
      <c r="F302">
        <f t="shared" si="41"/>
        <v>-0.14246843200504949</v>
      </c>
      <c r="H302">
        <f t="shared" si="42"/>
        <v>3.5687619929340157E-2</v>
      </c>
      <c r="I302">
        <f t="shared" si="43"/>
        <v>-0.14221782867363916</v>
      </c>
      <c r="K302">
        <f t="shared" si="44"/>
        <v>3.5645656193106577E-2</v>
      </c>
      <c r="L302">
        <f t="shared" si="45"/>
        <v>-0.14311999647382992</v>
      </c>
      <c r="N302">
        <f t="shared" si="46"/>
        <v>3.5940274316162195E-2</v>
      </c>
      <c r="O302">
        <f t="shared" si="47"/>
        <v>-0.14286706059011742</v>
      </c>
      <c r="Q302">
        <f t="shared" si="48"/>
        <v>2.1426683294261304</v>
      </c>
      <c r="R302">
        <f t="shared" si="49"/>
        <v>-8.5706733177426351</v>
      </c>
    </row>
    <row r="303" spans="1:18" x14ac:dyDescent="0.3">
      <c r="A303">
        <v>2</v>
      </c>
      <c r="B303">
        <v>-7</v>
      </c>
      <c r="E303">
        <f t="shared" si="40"/>
        <v>5.1429090152051687E-2</v>
      </c>
      <c r="F303">
        <f t="shared" si="41"/>
        <v>-0.18116478490747856</v>
      </c>
      <c r="H303">
        <f t="shared" si="42"/>
        <v>5.1828794547490703E-2</v>
      </c>
      <c r="I303">
        <f t="shared" si="43"/>
        <v>-0.18075614416811436</v>
      </c>
      <c r="K303">
        <f t="shared" si="44"/>
        <v>5.1838570205594778E-2</v>
      </c>
      <c r="L303">
        <f t="shared" si="45"/>
        <v>-0.18208623403874749</v>
      </c>
      <c r="N303">
        <f t="shared" si="46"/>
        <v>5.2240832174982918E-2</v>
      </c>
      <c r="O303">
        <f t="shared" si="47"/>
        <v>-0.18167334174285107</v>
      </c>
      <c r="Q303">
        <f t="shared" si="48"/>
        <v>2.20733728708012</v>
      </c>
      <c r="R303">
        <f t="shared" si="49"/>
        <v>-7.7256805048571913</v>
      </c>
    </row>
    <row r="304" spans="1:18" x14ac:dyDescent="0.3">
      <c r="A304">
        <v>2</v>
      </c>
      <c r="B304">
        <v>-6</v>
      </c>
      <c r="E304">
        <f t="shared" si="40"/>
        <v>7.8425673395990117E-2</v>
      </c>
      <c r="F304">
        <f t="shared" si="41"/>
        <v>-0.23685341563311588</v>
      </c>
      <c r="H304">
        <f t="shared" si="42"/>
        <v>7.8977295377199927E-2</v>
      </c>
      <c r="I304">
        <f t="shared" si="43"/>
        <v>-0.2361460423965033</v>
      </c>
      <c r="K304">
        <f t="shared" si="44"/>
        <v>7.9135401749722847E-2</v>
      </c>
      <c r="L304">
        <f t="shared" si="45"/>
        <v>-0.23820153592002005</v>
      </c>
      <c r="N304">
        <f t="shared" si="46"/>
        <v>7.9690581297747531E-2</v>
      </c>
      <c r="O304">
        <f t="shared" si="47"/>
        <v>-0.23748586167836205</v>
      </c>
      <c r="Q304">
        <f t="shared" si="48"/>
        <v>2.3162289518206602</v>
      </c>
      <c r="R304">
        <f t="shared" si="49"/>
        <v>-6.9486868556280008</v>
      </c>
    </row>
    <row r="305" spans="1:18" x14ac:dyDescent="0.3">
      <c r="A305">
        <v>2</v>
      </c>
      <c r="B305">
        <v>-5</v>
      </c>
      <c r="E305">
        <f t="shared" si="40"/>
        <v>0.12702967239397109</v>
      </c>
      <c r="F305">
        <f t="shared" si="41"/>
        <v>-0.31980837120291211</v>
      </c>
      <c r="H305">
        <f t="shared" si="42"/>
        <v>0.12777834687364931</v>
      </c>
      <c r="I305">
        <f t="shared" si="43"/>
        <v>-0.31849229743133489</v>
      </c>
      <c r="K305">
        <f t="shared" si="44"/>
        <v>0.12835242306582886</v>
      </c>
      <c r="L305">
        <f t="shared" si="45"/>
        <v>-0.32184853824044524</v>
      </c>
      <c r="N305">
        <f t="shared" si="46"/>
        <v>0.12910520905129486</v>
      </c>
      <c r="O305">
        <f t="shared" si="47"/>
        <v>-0.3205149219731151</v>
      </c>
      <c r="Q305">
        <f t="shared" si="48"/>
        <v>2.5122656513847441</v>
      </c>
      <c r="R305">
        <f t="shared" si="49"/>
        <v>-6.2806641288478069</v>
      </c>
    </row>
    <row r="306" spans="1:18" x14ac:dyDescent="0.3">
      <c r="A306">
        <v>2</v>
      </c>
      <c r="B306">
        <v>-4</v>
      </c>
      <c r="E306">
        <f t="shared" si="40"/>
        <v>0.22181964158925921</v>
      </c>
      <c r="F306">
        <f t="shared" si="41"/>
        <v>-0.4469832978758439</v>
      </c>
      <c r="H306">
        <f t="shared" si="42"/>
        <v>0.22271405091447166</v>
      </c>
      <c r="I306">
        <f t="shared" si="43"/>
        <v>-0.44432007172489124</v>
      </c>
      <c r="K306">
        <f t="shared" si="44"/>
        <v>0.22450289858766506</v>
      </c>
      <c r="L306">
        <f t="shared" si="45"/>
        <v>-0.4501339524446149</v>
      </c>
      <c r="N306">
        <f t="shared" si="46"/>
        <v>0.22539730786816123</v>
      </c>
      <c r="O306">
        <f t="shared" si="47"/>
        <v>-0.44743047681291714</v>
      </c>
      <c r="Q306">
        <f t="shared" si="48"/>
        <v>2.8944338989595573</v>
      </c>
      <c r="R306">
        <f t="shared" si="49"/>
        <v>-5.7888677988582673</v>
      </c>
    </row>
    <row r="307" spans="1:18" x14ac:dyDescent="0.3">
      <c r="A307">
        <v>2</v>
      </c>
      <c r="B307">
        <v>-3</v>
      </c>
      <c r="E307">
        <f t="shared" si="40"/>
        <v>0.42357136582684463</v>
      </c>
      <c r="F307">
        <f t="shared" si="41"/>
        <v>-0.64067829705467449</v>
      </c>
      <c r="H307">
        <f t="shared" si="42"/>
        <v>0.42391537504253773</v>
      </c>
      <c r="I307">
        <f t="shared" si="43"/>
        <v>-0.63481854670549187</v>
      </c>
      <c r="K307">
        <f t="shared" si="44"/>
        <v>0.42949529554182037</v>
      </c>
      <c r="L307">
        <f t="shared" si="45"/>
        <v>-0.64532207722112711</v>
      </c>
      <c r="N307">
        <f t="shared" si="46"/>
        <v>0.42980749174669786</v>
      </c>
      <c r="O307">
        <f t="shared" si="47"/>
        <v>-0.63936537329483922</v>
      </c>
      <c r="Q307">
        <f t="shared" si="48"/>
        <v>3.7067895281579006</v>
      </c>
      <c r="R307">
        <f t="shared" si="49"/>
        <v>-5.5601842942761328</v>
      </c>
    </row>
    <row r="308" spans="1:18" x14ac:dyDescent="0.3">
      <c r="A308">
        <v>2</v>
      </c>
      <c r="B308">
        <v>-2</v>
      </c>
      <c r="E308">
        <f t="shared" si="40"/>
        <v>0.87943108022914407</v>
      </c>
      <c r="F308">
        <f t="shared" si="41"/>
        <v>-0.88826958354802976</v>
      </c>
      <c r="H308">
        <f t="shared" si="42"/>
        <v>0.87511049378300998</v>
      </c>
      <c r="I308">
        <f t="shared" si="43"/>
        <v>-0.87511049378300998</v>
      </c>
      <c r="K308">
        <f t="shared" si="44"/>
        <v>0.89278904722929686</v>
      </c>
      <c r="L308">
        <f t="shared" si="45"/>
        <v>-0.89278904722929686</v>
      </c>
      <c r="N308">
        <f t="shared" si="46"/>
        <v>0.88826958354802976</v>
      </c>
      <c r="O308">
        <f t="shared" si="47"/>
        <v>-0.87943108022914407</v>
      </c>
      <c r="Q308">
        <f t="shared" si="48"/>
        <v>5.5356002047894801</v>
      </c>
      <c r="R308">
        <f t="shared" si="49"/>
        <v>-5.5356002047894801</v>
      </c>
    </row>
    <row r="309" spans="1:18" x14ac:dyDescent="0.3">
      <c r="A309">
        <v>2</v>
      </c>
      <c r="B309">
        <v>-1</v>
      </c>
      <c r="E309">
        <f t="shared" si="40"/>
        <v>1.7905353537089028</v>
      </c>
      <c r="F309">
        <f t="shared" si="41"/>
        <v>-0.90876417449547331</v>
      </c>
      <c r="H309">
        <f t="shared" si="42"/>
        <v>1.7658122851808384</v>
      </c>
      <c r="I309">
        <f t="shared" si="43"/>
        <v>-0.88729871046400344</v>
      </c>
      <c r="K309">
        <f t="shared" si="44"/>
        <v>1.8123258265181039</v>
      </c>
      <c r="L309">
        <f t="shared" si="45"/>
        <v>-0.90160933078036332</v>
      </c>
      <c r="N309">
        <f t="shared" si="46"/>
        <v>1.786958753954405</v>
      </c>
      <c r="O309">
        <f t="shared" si="47"/>
        <v>-0.8801438638879906</v>
      </c>
      <c r="Q309">
        <f t="shared" si="48"/>
        <v>9.1556322193622499</v>
      </c>
      <c r="R309">
        <f t="shared" si="49"/>
        <v>-4.5778160796278309</v>
      </c>
    </row>
    <row r="310" spans="1:18" x14ac:dyDescent="0.3">
      <c r="A310">
        <v>2</v>
      </c>
      <c r="B310">
        <v>0</v>
      </c>
      <c r="E310">
        <f t="shared" si="40"/>
        <v>2.5250931122047549</v>
      </c>
      <c r="F310">
        <f t="shared" si="41"/>
        <v>-1.2688910111581684E-2</v>
      </c>
      <c r="H310">
        <f t="shared" si="42"/>
        <v>2.4750943624039712</v>
      </c>
      <c r="I310">
        <f t="shared" si="43"/>
        <v>-1.2313902300517271E-2</v>
      </c>
      <c r="K310">
        <f t="shared" si="44"/>
        <v>2.5250931122047549</v>
      </c>
      <c r="L310">
        <f t="shared" si="45"/>
        <v>1.2688910111581684E-2</v>
      </c>
      <c r="N310">
        <f t="shared" si="46"/>
        <v>2.4750943624039712</v>
      </c>
      <c r="O310">
        <f t="shared" si="47"/>
        <v>1.2313902300517271E-2</v>
      </c>
      <c r="Q310">
        <f t="shared" si="48"/>
        <v>12.000374949217452</v>
      </c>
      <c r="R310">
        <f t="shared" si="49"/>
        <v>0</v>
      </c>
    </row>
    <row r="311" spans="1:18" x14ac:dyDescent="0.3">
      <c r="A311">
        <v>2</v>
      </c>
      <c r="B311">
        <v>1</v>
      </c>
      <c r="E311">
        <f t="shared" si="40"/>
        <v>1.8123258265181039</v>
      </c>
      <c r="F311">
        <f t="shared" si="41"/>
        <v>0.90160933078036332</v>
      </c>
      <c r="H311">
        <f t="shared" si="42"/>
        <v>1.786958753954405</v>
      </c>
      <c r="I311">
        <f t="shared" si="43"/>
        <v>0.8801438638879906</v>
      </c>
      <c r="K311">
        <f t="shared" si="44"/>
        <v>1.7905353537089028</v>
      </c>
      <c r="L311">
        <f t="shared" si="45"/>
        <v>0.90876417449547331</v>
      </c>
      <c r="N311">
        <f t="shared" si="46"/>
        <v>1.7658122851808384</v>
      </c>
      <c r="O311">
        <f t="shared" si="47"/>
        <v>0.88729871046400344</v>
      </c>
      <c r="Q311">
        <f t="shared" si="48"/>
        <v>9.1556322193622499</v>
      </c>
      <c r="R311">
        <f t="shared" si="49"/>
        <v>4.5778160796278309</v>
      </c>
    </row>
    <row r="312" spans="1:18" x14ac:dyDescent="0.3">
      <c r="A312">
        <v>2</v>
      </c>
      <c r="B312">
        <v>2</v>
      </c>
      <c r="E312">
        <f t="shared" si="40"/>
        <v>0.89278904722929686</v>
      </c>
      <c r="F312">
        <f t="shared" si="41"/>
        <v>0.89278904722929686</v>
      </c>
      <c r="H312">
        <f t="shared" si="42"/>
        <v>0.88826958354802976</v>
      </c>
      <c r="I312">
        <f t="shared" si="43"/>
        <v>0.87943108022914407</v>
      </c>
      <c r="K312">
        <f t="shared" si="44"/>
        <v>0.87943108022914407</v>
      </c>
      <c r="L312">
        <f t="shared" si="45"/>
        <v>0.88826958354802976</v>
      </c>
      <c r="N312">
        <f t="shared" si="46"/>
        <v>0.87511049378300998</v>
      </c>
      <c r="O312">
        <f t="shared" si="47"/>
        <v>0.87511049378300998</v>
      </c>
      <c r="Q312">
        <f t="shared" si="48"/>
        <v>5.5356002047894801</v>
      </c>
      <c r="R312">
        <f t="shared" si="49"/>
        <v>5.5356002047894801</v>
      </c>
    </row>
    <row r="313" spans="1:18" x14ac:dyDescent="0.3">
      <c r="A313">
        <v>2</v>
      </c>
      <c r="B313">
        <v>3</v>
      </c>
      <c r="E313">
        <f t="shared" si="40"/>
        <v>0.42949529554182037</v>
      </c>
      <c r="F313">
        <f t="shared" si="41"/>
        <v>0.64532207722112711</v>
      </c>
      <c r="H313">
        <f t="shared" si="42"/>
        <v>0.42980749174669786</v>
      </c>
      <c r="I313">
        <f t="shared" si="43"/>
        <v>0.63936537329483922</v>
      </c>
      <c r="K313">
        <f t="shared" si="44"/>
        <v>0.42357136582684463</v>
      </c>
      <c r="L313">
        <f t="shared" si="45"/>
        <v>0.64067829705467449</v>
      </c>
      <c r="N313">
        <f t="shared" si="46"/>
        <v>0.42391537504253773</v>
      </c>
      <c r="O313">
        <f t="shared" si="47"/>
        <v>0.63481854670549187</v>
      </c>
      <c r="Q313">
        <f t="shared" si="48"/>
        <v>3.7067895281579002</v>
      </c>
      <c r="R313">
        <f t="shared" si="49"/>
        <v>5.5601842942761328</v>
      </c>
    </row>
    <row r="314" spans="1:18" x14ac:dyDescent="0.3">
      <c r="A314">
        <v>2</v>
      </c>
      <c r="B314">
        <v>4</v>
      </c>
      <c r="E314">
        <f t="shared" si="40"/>
        <v>0.22450289858766506</v>
      </c>
      <c r="F314">
        <f t="shared" si="41"/>
        <v>0.4501339524446149</v>
      </c>
      <c r="H314">
        <f t="shared" si="42"/>
        <v>0.22539730786816123</v>
      </c>
      <c r="I314">
        <f t="shared" si="43"/>
        <v>0.44743047681291714</v>
      </c>
      <c r="K314">
        <f t="shared" si="44"/>
        <v>0.22181964158925921</v>
      </c>
      <c r="L314">
        <f t="shared" si="45"/>
        <v>0.4469832978758439</v>
      </c>
      <c r="N314">
        <f t="shared" si="46"/>
        <v>0.22271405091447166</v>
      </c>
      <c r="O314">
        <f t="shared" si="47"/>
        <v>0.44432007172489124</v>
      </c>
      <c r="Q314">
        <f t="shared" si="48"/>
        <v>2.8944338989595568</v>
      </c>
      <c r="R314">
        <f t="shared" si="49"/>
        <v>5.7888677988582673</v>
      </c>
    </row>
    <row r="315" spans="1:18" x14ac:dyDescent="0.3">
      <c r="A315">
        <v>2</v>
      </c>
      <c r="B315">
        <v>5</v>
      </c>
      <c r="E315">
        <f t="shared" si="40"/>
        <v>0.12835242306582886</v>
      </c>
      <c r="F315">
        <f t="shared" si="41"/>
        <v>0.32184853824044524</v>
      </c>
      <c r="H315">
        <f t="shared" si="42"/>
        <v>0.12910520905129486</v>
      </c>
      <c r="I315">
        <f t="shared" si="43"/>
        <v>0.3205149219731151</v>
      </c>
      <c r="K315">
        <f t="shared" si="44"/>
        <v>0.12702967239397109</v>
      </c>
      <c r="L315">
        <f t="shared" si="45"/>
        <v>0.31980837120291211</v>
      </c>
      <c r="N315">
        <f t="shared" si="46"/>
        <v>0.12777834687364931</v>
      </c>
      <c r="O315">
        <f t="shared" si="47"/>
        <v>0.31849229743133489</v>
      </c>
      <c r="Q315">
        <f t="shared" si="48"/>
        <v>2.5122656513847441</v>
      </c>
      <c r="R315">
        <f t="shared" si="49"/>
        <v>6.2806641288478069</v>
      </c>
    </row>
    <row r="316" spans="1:18" x14ac:dyDescent="0.3">
      <c r="A316">
        <v>2</v>
      </c>
      <c r="B316">
        <v>6</v>
      </c>
      <c r="E316">
        <f t="shared" si="40"/>
        <v>7.9135401749722847E-2</v>
      </c>
      <c r="F316">
        <f t="shared" si="41"/>
        <v>0.23820153592002005</v>
      </c>
      <c r="H316">
        <f t="shared" si="42"/>
        <v>7.9690581297747531E-2</v>
      </c>
      <c r="I316">
        <f t="shared" si="43"/>
        <v>0.23748586167836205</v>
      </c>
      <c r="K316">
        <f t="shared" si="44"/>
        <v>7.8425673395990117E-2</v>
      </c>
      <c r="L316">
        <f t="shared" si="45"/>
        <v>0.23685341563311588</v>
      </c>
      <c r="N316">
        <f t="shared" si="46"/>
        <v>7.8977295377199927E-2</v>
      </c>
      <c r="O316">
        <f t="shared" si="47"/>
        <v>0.2361460423965033</v>
      </c>
      <c r="Q316">
        <f t="shared" si="48"/>
        <v>2.3162289518206602</v>
      </c>
      <c r="R316">
        <f t="shared" si="49"/>
        <v>6.9486868556280008</v>
      </c>
    </row>
    <row r="317" spans="1:18" x14ac:dyDescent="0.3">
      <c r="A317">
        <v>2</v>
      </c>
      <c r="B317">
        <v>7</v>
      </c>
      <c r="E317">
        <f t="shared" si="40"/>
        <v>5.1838570205594778E-2</v>
      </c>
      <c r="F317">
        <f t="shared" si="41"/>
        <v>0.18208623403874749</v>
      </c>
      <c r="H317">
        <f t="shared" si="42"/>
        <v>5.2240832174982918E-2</v>
      </c>
      <c r="I317">
        <f t="shared" si="43"/>
        <v>0.18167334174285107</v>
      </c>
      <c r="K317">
        <f t="shared" si="44"/>
        <v>5.1429090152051687E-2</v>
      </c>
      <c r="L317">
        <f t="shared" si="45"/>
        <v>0.18116478490747856</v>
      </c>
      <c r="N317">
        <f t="shared" si="46"/>
        <v>5.1828794547490703E-2</v>
      </c>
      <c r="O317">
        <f t="shared" si="47"/>
        <v>0.18075614416811436</v>
      </c>
      <c r="Q317">
        <f t="shared" si="48"/>
        <v>2.20733728708012</v>
      </c>
      <c r="R317">
        <f t="shared" si="49"/>
        <v>7.7256805048571913</v>
      </c>
    </row>
    <row r="318" spans="1:18" x14ac:dyDescent="0.3">
      <c r="A318">
        <v>2</v>
      </c>
      <c r="B318">
        <v>8</v>
      </c>
      <c r="E318">
        <f t="shared" si="40"/>
        <v>3.5645656193106577E-2</v>
      </c>
      <c r="F318">
        <f t="shared" si="41"/>
        <v>0.14311999647382992</v>
      </c>
      <c r="H318">
        <f t="shared" si="42"/>
        <v>3.5940274316162195E-2</v>
      </c>
      <c r="I318">
        <f t="shared" si="43"/>
        <v>0.14286706059011742</v>
      </c>
      <c r="K318">
        <f t="shared" si="44"/>
        <v>3.5394778987521663E-2</v>
      </c>
      <c r="L318">
        <f t="shared" si="45"/>
        <v>0.14246843200504949</v>
      </c>
      <c r="N318">
        <f t="shared" si="46"/>
        <v>3.5687619929340157E-2</v>
      </c>
      <c r="O318">
        <f t="shared" si="47"/>
        <v>0.14221782867363916</v>
      </c>
      <c r="Q318">
        <f t="shared" si="48"/>
        <v>2.1426683294261304</v>
      </c>
      <c r="R318">
        <f t="shared" si="49"/>
        <v>8.5706733177426351</v>
      </c>
    </row>
    <row r="319" spans="1:18" x14ac:dyDescent="0.3">
      <c r="A319">
        <v>2</v>
      </c>
      <c r="B319">
        <v>9</v>
      </c>
      <c r="E319">
        <f t="shared" si="40"/>
        <v>2.5492440908539117E-2</v>
      </c>
      <c r="F319">
        <f t="shared" si="41"/>
        <v>0.1151643436018928</v>
      </c>
      <c r="H319">
        <f t="shared" si="42"/>
        <v>2.5712244012162142E-2</v>
      </c>
      <c r="I319">
        <f t="shared" si="43"/>
        <v>0.11500152918872522</v>
      </c>
      <c r="K319">
        <f t="shared" si="44"/>
        <v>2.5330926651546706E-2</v>
      </c>
      <c r="L319">
        <f t="shared" si="45"/>
        <v>0.11468927091981698</v>
      </c>
      <c r="N319">
        <f t="shared" si="46"/>
        <v>2.5549489899176967E-2</v>
      </c>
      <c r="O319">
        <f t="shared" si="47"/>
        <v>0.11452781293113656</v>
      </c>
      <c r="Q319">
        <f t="shared" si="48"/>
        <v>2.1020851014714248</v>
      </c>
      <c r="R319">
        <f t="shared" si="49"/>
        <v>9.459382956641571</v>
      </c>
    </row>
    <row r="320" spans="1:18" x14ac:dyDescent="0.3">
      <c r="A320">
        <v>2</v>
      </c>
      <c r="B320">
        <v>10</v>
      </c>
      <c r="E320">
        <f t="shared" si="40"/>
        <v>1.8828116468044928E-2</v>
      </c>
      <c r="F320">
        <f t="shared" si="41"/>
        <v>9.4519036942597404E-2</v>
      </c>
      <c r="H320">
        <f t="shared" si="42"/>
        <v>1.8995371145346666E-2</v>
      </c>
      <c r="I320">
        <f t="shared" si="43"/>
        <v>9.4409829722394645E-2</v>
      </c>
      <c r="K320">
        <f t="shared" si="44"/>
        <v>1.8719763975818874E-2</v>
      </c>
      <c r="L320">
        <f t="shared" si="45"/>
        <v>9.4163234873340176E-2</v>
      </c>
      <c r="N320">
        <f t="shared" si="46"/>
        <v>1.8886139945972259E-2</v>
      </c>
      <c r="O320">
        <f t="shared" si="47"/>
        <v>9.4054856148846927E-2</v>
      </c>
      <c r="Q320">
        <f t="shared" si="48"/>
        <v>2.0754293915351827</v>
      </c>
      <c r="R320">
        <f t="shared" si="49"/>
        <v>10.377146957687179</v>
      </c>
    </row>
    <row r="321" spans="1:18" x14ac:dyDescent="0.3">
      <c r="A321">
        <v>3</v>
      </c>
      <c r="B321">
        <v>-10</v>
      </c>
      <c r="E321">
        <f t="shared" si="40"/>
        <v>2.6223706187415971E-2</v>
      </c>
      <c r="F321">
        <f t="shared" si="41"/>
        <v>-8.7792407670914327E-2</v>
      </c>
      <c r="H321">
        <f t="shared" si="42"/>
        <v>2.6355636487177963E-2</v>
      </c>
      <c r="I321">
        <f t="shared" si="43"/>
        <v>-8.7647814364336024E-2</v>
      </c>
      <c r="K321">
        <f t="shared" si="44"/>
        <v>2.6368534727452202E-2</v>
      </c>
      <c r="L321">
        <f t="shared" si="45"/>
        <v>-8.8100890276671395E-2</v>
      </c>
      <c r="N321">
        <f t="shared" si="46"/>
        <v>2.6501033053869444E-2</v>
      </c>
      <c r="O321">
        <f t="shared" si="47"/>
        <v>-8.7955255883108222E-2</v>
      </c>
      <c r="Q321">
        <f t="shared" si="48"/>
        <v>3.1054489104559155</v>
      </c>
      <c r="R321">
        <f t="shared" si="49"/>
        <v>-10.351496368195029</v>
      </c>
    </row>
    <row r="322" spans="1:18" x14ac:dyDescent="0.3">
      <c r="A322">
        <v>3</v>
      </c>
      <c r="B322">
        <v>-9</v>
      </c>
      <c r="E322">
        <f t="shared" si="40"/>
        <v>3.4949258664601683E-2</v>
      </c>
      <c r="F322">
        <f t="shared" si="41"/>
        <v>-0.10531532460470273</v>
      </c>
      <c r="H322">
        <f t="shared" si="42"/>
        <v>3.5112877539269463E-2</v>
      </c>
      <c r="I322">
        <f t="shared" si="43"/>
        <v>-0.10510532446140128</v>
      </c>
      <c r="K322">
        <f t="shared" si="44"/>
        <v>3.5159725108168324E-2</v>
      </c>
      <c r="L322">
        <f t="shared" si="45"/>
        <v>-0.10571435743225191</v>
      </c>
      <c r="N322">
        <f t="shared" si="46"/>
        <v>3.5324046711595516E-2</v>
      </c>
      <c r="O322">
        <f t="shared" si="47"/>
        <v>-0.10550271758712416</v>
      </c>
      <c r="Q322">
        <f t="shared" si="48"/>
        <v>3.1405459080236349</v>
      </c>
      <c r="R322">
        <f t="shared" si="49"/>
        <v>-9.4216377240854801</v>
      </c>
    </row>
    <row r="323" spans="1:18" x14ac:dyDescent="0.3">
      <c r="A323">
        <v>3</v>
      </c>
      <c r="B323">
        <v>-8</v>
      </c>
      <c r="E323">
        <f t="shared" si="40"/>
        <v>4.7840238992074298E-2</v>
      </c>
      <c r="F323">
        <f t="shared" si="41"/>
        <v>-0.12816064024298163</v>
      </c>
      <c r="H323">
        <f t="shared" si="42"/>
        <v>4.804189496323278E-2</v>
      </c>
      <c r="I323">
        <f t="shared" si="43"/>
        <v>-0.12784570719451649</v>
      </c>
      <c r="K323">
        <f t="shared" si="44"/>
        <v>4.8156101514115514E-2</v>
      </c>
      <c r="L323">
        <f t="shared" si="45"/>
        <v>-0.128684699363807</v>
      </c>
      <c r="N323">
        <f t="shared" si="46"/>
        <v>4.8358566207597042E-2</v>
      </c>
      <c r="O323">
        <f t="shared" si="47"/>
        <v>-0.12836709102946858</v>
      </c>
      <c r="Q323">
        <f t="shared" si="48"/>
        <v>3.1923968016770194</v>
      </c>
      <c r="R323">
        <f t="shared" si="49"/>
        <v>-8.5130581378307735</v>
      </c>
    </row>
    <row r="324" spans="1:18" x14ac:dyDescent="0.3">
      <c r="A324">
        <v>3</v>
      </c>
      <c r="B324">
        <v>-7</v>
      </c>
      <c r="E324">
        <f t="shared" si="40"/>
        <v>6.7550572415545421E-2</v>
      </c>
      <c r="F324">
        <f t="shared" si="41"/>
        <v>-0.15837107445918841</v>
      </c>
      <c r="H324">
        <f t="shared" si="42"/>
        <v>6.7792208129647563E-2</v>
      </c>
      <c r="I324">
        <f t="shared" si="43"/>
        <v>-0.15788152125874733</v>
      </c>
      <c r="K324">
        <f t="shared" si="44"/>
        <v>6.8042016601525396E-2</v>
      </c>
      <c r="L324">
        <f t="shared" si="45"/>
        <v>-0.15906812576744567</v>
      </c>
      <c r="N324">
        <f t="shared" si="46"/>
        <v>6.8284387209152572E-2</v>
      </c>
      <c r="O324">
        <f t="shared" si="47"/>
        <v>-0.15857404205713507</v>
      </c>
      <c r="Q324">
        <f t="shared" si="48"/>
        <v>3.2716691843558712</v>
      </c>
      <c r="R324">
        <f t="shared" si="49"/>
        <v>-7.6338947635425161</v>
      </c>
    </row>
    <row r="325" spans="1:18" x14ac:dyDescent="0.3">
      <c r="A325">
        <v>3</v>
      </c>
      <c r="B325">
        <v>-6</v>
      </c>
      <c r="E325">
        <f t="shared" si="40"/>
        <v>9.8851102132357357E-2</v>
      </c>
      <c r="F325">
        <f t="shared" si="41"/>
        <v>-0.19869402134296577</v>
      </c>
      <c r="H325">
        <f t="shared" si="42"/>
        <v>9.9116115242650543E-2</v>
      </c>
      <c r="I325">
        <f t="shared" si="43"/>
        <v>-0.19790294106589029</v>
      </c>
      <c r="K325">
        <f t="shared" si="44"/>
        <v>9.9646145287230356E-2</v>
      </c>
      <c r="L325">
        <f t="shared" si="45"/>
        <v>-0.199625555274418</v>
      </c>
      <c r="N325">
        <f t="shared" si="46"/>
        <v>9.9911158393597668E-2</v>
      </c>
      <c r="O325">
        <f t="shared" si="47"/>
        <v>-0.1988265245108472</v>
      </c>
      <c r="Q325">
        <f t="shared" si="48"/>
        <v>3.397524521055836</v>
      </c>
      <c r="R325">
        <f t="shared" si="49"/>
        <v>-6.7950490421941208</v>
      </c>
    </row>
    <row r="326" spans="1:18" x14ac:dyDescent="0.3">
      <c r="A326">
        <v>3</v>
      </c>
      <c r="B326">
        <v>-5</v>
      </c>
      <c r="E326">
        <f t="shared" si="40"/>
        <v>0.15055078824545723</v>
      </c>
      <c r="F326">
        <f t="shared" si="41"/>
        <v>-0.2522606853209835</v>
      </c>
      <c r="H326">
        <f t="shared" si="42"/>
        <v>0.15075991659684468</v>
      </c>
      <c r="I326">
        <f t="shared" si="43"/>
        <v>-0.2509326186545488</v>
      </c>
      <c r="K326">
        <f t="shared" si="44"/>
        <v>0.15188742053475673</v>
      </c>
      <c r="L326">
        <f t="shared" si="45"/>
        <v>-0.25348435734730307</v>
      </c>
      <c r="N326">
        <f t="shared" si="46"/>
        <v>0.15209366903173813</v>
      </c>
      <c r="O326">
        <f t="shared" si="47"/>
        <v>-0.25214199616889482</v>
      </c>
      <c r="Q326">
        <f t="shared" si="48"/>
        <v>3.6052917944087968</v>
      </c>
      <c r="R326">
        <f t="shared" si="49"/>
        <v>-6.0088196574917303</v>
      </c>
    </row>
    <row r="327" spans="1:18" x14ac:dyDescent="0.3">
      <c r="A327">
        <v>3</v>
      </c>
      <c r="B327">
        <v>-4</v>
      </c>
      <c r="E327">
        <f t="shared" ref="E327:E390" si="50">$D$2*G$3/(($A327-E$3)^2+($B327-F$3)^2)^(3/2)*($A327-E$3)</f>
        <v>0.23891038213373283</v>
      </c>
      <c r="F327">
        <f t="shared" ref="F327:F390" si="51">$D$2*G$3/(($A327-E$3)^2+($B327-F$3)^2)^(3/2)*($B327-F$3)</f>
        <v>-0.32041158272784903</v>
      </c>
      <c r="H327">
        <f t="shared" ref="H327:H390" si="52">$D$2*J$3/(($A327-H$3)^2+($B327-I$3)^2)^(3/2)*($A327-H$3)</f>
        <v>0.23878849760307794</v>
      </c>
      <c r="I327">
        <f t="shared" ref="I327:I390" si="53">$D$2*J$3/(($A327-H$3)^2+($B327-I$3)^2)^(3/2)*($B327-I$3)</f>
        <v>-0.31812022438150916</v>
      </c>
      <c r="K327">
        <f t="shared" ref="K327:K390" si="54">$D$2*M$3/(($A327-K$3)^2+($B327-L$3)^2)^(3/2)*($A327-K$3)</f>
        <v>0.24122052648009457</v>
      </c>
      <c r="L327">
        <f t="shared" ref="L327:L390" si="55">$D$2*M$3/(($A327-K$3)^2+($B327-L$3)^2)^(3/2)*($B327-L$3)</f>
        <v>-0.32189628784467467</v>
      </c>
      <c r="N327">
        <f t="shared" ref="N327:N390" si="56">$D$2*P$3/(($A327-N$3)^2+($B327-O$3)^2)^(3/2)*($A327-N$3)</f>
        <v>0.24108635387161517</v>
      </c>
      <c r="O327">
        <f t="shared" ref="O327:O390" si="57">$D$2*P$3/(($A327-N$3)^2+($B327-O$3)^2)^(3/2)*($B327-O$3)</f>
        <v>-0.31957958536469921</v>
      </c>
      <c r="Q327">
        <f t="shared" ref="Q327:Q390" si="58">SUM(E327,H327,K327,N327)+A327</f>
        <v>3.9600057600885203</v>
      </c>
      <c r="R327">
        <f t="shared" ref="R327:R390" si="59">SUM(F327,I327,L327,O327)+B327</f>
        <v>-5.2800076803187324</v>
      </c>
    </row>
    <row r="328" spans="1:18" x14ac:dyDescent="0.3">
      <c r="A328">
        <v>3</v>
      </c>
      <c r="B328">
        <v>-3</v>
      </c>
      <c r="E328">
        <f t="shared" si="50"/>
        <v>0.39152111828689834</v>
      </c>
      <c r="F328">
        <f t="shared" si="51"/>
        <v>-0.39413998864333244</v>
      </c>
      <c r="H328">
        <f t="shared" si="52"/>
        <v>0.39023122326825738</v>
      </c>
      <c r="I328">
        <f t="shared" si="53"/>
        <v>-0.39023122326825738</v>
      </c>
      <c r="K328">
        <f t="shared" si="54"/>
        <v>0.39546916767516443</v>
      </c>
      <c r="L328">
        <f t="shared" si="55"/>
        <v>-0.39546916767516443</v>
      </c>
      <c r="N328">
        <f t="shared" si="56"/>
        <v>0.39413998864333244</v>
      </c>
      <c r="O328">
        <f t="shared" si="57"/>
        <v>-0.39152111828689834</v>
      </c>
      <c r="Q328">
        <f t="shared" si="58"/>
        <v>4.571361497873653</v>
      </c>
      <c r="R328">
        <f t="shared" si="59"/>
        <v>-4.571361497873653</v>
      </c>
    </row>
    <row r="329" spans="1:18" x14ac:dyDescent="0.3">
      <c r="A329">
        <v>3</v>
      </c>
      <c r="B329">
        <v>-2</v>
      </c>
      <c r="E329">
        <f t="shared" si="50"/>
        <v>0.63936537329483922</v>
      </c>
      <c r="F329">
        <f t="shared" si="51"/>
        <v>-0.42980749174669786</v>
      </c>
      <c r="H329">
        <f t="shared" si="52"/>
        <v>0.63481854670549187</v>
      </c>
      <c r="I329">
        <f t="shared" si="53"/>
        <v>-0.42391537504253773</v>
      </c>
      <c r="K329">
        <f t="shared" si="54"/>
        <v>0.64532207722112711</v>
      </c>
      <c r="L329">
        <f t="shared" si="55"/>
        <v>-0.42949529554182037</v>
      </c>
      <c r="N329">
        <f t="shared" si="56"/>
        <v>0.64067829705467449</v>
      </c>
      <c r="O329">
        <f t="shared" si="57"/>
        <v>-0.42357136582684463</v>
      </c>
      <c r="Q329">
        <f t="shared" si="58"/>
        <v>5.5601842942761328</v>
      </c>
      <c r="R329">
        <f t="shared" si="59"/>
        <v>-3.7067895281579006</v>
      </c>
    </row>
    <row r="330" spans="1:18" x14ac:dyDescent="0.3">
      <c r="A330">
        <v>3</v>
      </c>
      <c r="B330">
        <v>-1</v>
      </c>
      <c r="E330">
        <f t="shared" si="50"/>
        <v>0.9511939945492035</v>
      </c>
      <c r="F330">
        <f t="shared" si="51"/>
        <v>-0.3213063326069216</v>
      </c>
      <c r="H330">
        <f t="shared" si="52"/>
        <v>0.94050860224879773</v>
      </c>
      <c r="I330">
        <f t="shared" si="53"/>
        <v>-0.31558594294727105</v>
      </c>
      <c r="K330">
        <f t="shared" si="54"/>
        <v>0.95695286350385</v>
      </c>
      <c r="L330">
        <f t="shared" si="55"/>
        <v>-0.31685061366849882</v>
      </c>
      <c r="N330">
        <f t="shared" si="56"/>
        <v>0.94613465386576079</v>
      </c>
      <c r="O330">
        <f t="shared" si="57"/>
        <v>-0.31118714529139641</v>
      </c>
      <c r="Q330">
        <f t="shared" si="58"/>
        <v>6.7947901141676121</v>
      </c>
      <c r="R330">
        <f t="shared" si="59"/>
        <v>-2.2649300345140877</v>
      </c>
    </row>
    <row r="331" spans="1:18" x14ac:dyDescent="0.3">
      <c r="A331">
        <v>3</v>
      </c>
      <c r="B331">
        <v>0</v>
      </c>
      <c r="E331">
        <f t="shared" si="50"/>
        <v>1.1185369536121272</v>
      </c>
      <c r="F331">
        <f t="shared" si="51"/>
        <v>-3.7409262662612946E-3</v>
      </c>
      <c r="H331">
        <f t="shared" si="52"/>
        <v>1.1037223034180261</v>
      </c>
      <c r="I331">
        <f t="shared" si="53"/>
        <v>-3.6668515063721803E-3</v>
      </c>
      <c r="K331">
        <f t="shared" si="54"/>
        <v>1.1185369536121272</v>
      </c>
      <c r="L331">
        <f t="shared" si="55"/>
        <v>3.7409262662612946E-3</v>
      </c>
      <c r="N331">
        <f t="shared" si="56"/>
        <v>1.1037223034180261</v>
      </c>
      <c r="O331">
        <f t="shared" si="57"/>
        <v>3.6668515063721803E-3</v>
      </c>
      <c r="Q331">
        <f t="shared" si="58"/>
        <v>7.4445185140603067</v>
      </c>
      <c r="R331">
        <f t="shared" si="59"/>
        <v>0</v>
      </c>
    </row>
    <row r="332" spans="1:18" x14ac:dyDescent="0.3">
      <c r="A332">
        <v>3</v>
      </c>
      <c r="B332">
        <v>1</v>
      </c>
      <c r="E332">
        <f t="shared" si="50"/>
        <v>0.95695286350385</v>
      </c>
      <c r="F332">
        <f t="shared" si="51"/>
        <v>0.31685061366849882</v>
      </c>
      <c r="H332">
        <f t="shared" si="52"/>
        <v>0.94613465386576079</v>
      </c>
      <c r="I332">
        <f t="shared" si="53"/>
        <v>0.31118714529139641</v>
      </c>
      <c r="K332">
        <f t="shared" si="54"/>
        <v>0.9511939945492035</v>
      </c>
      <c r="L332">
        <f t="shared" si="55"/>
        <v>0.3213063326069216</v>
      </c>
      <c r="N332">
        <f t="shared" si="56"/>
        <v>0.94050860224879773</v>
      </c>
      <c r="O332">
        <f t="shared" si="57"/>
        <v>0.31558594294727105</v>
      </c>
      <c r="Q332">
        <f t="shared" si="58"/>
        <v>6.7947901141676121</v>
      </c>
      <c r="R332">
        <f t="shared" si="59"/>
        <v>2.2649300345140877</v>
      </c>
    </row>
    <row r="333" spans="1:18" x14ac:dyDescent="0.3">
      <c r="A333">
        <v>3</v>
      </c>
      <c r="B333">
        <v>2</v>
      </c>
      <c r="E333">
        <f t="shared" si="50"/>
        <v>0.64532207722112711</v>
      </c>
      <c r="F333">
        <f t="shared" si="51"/>
        <v>0.42949529554182037</v>
      </c>
      <c r="H333">
        <f t="shared" si="52"/>
        <v>0.64067829705467449</v>
      </c>
      <c r="I333">
        <f t="shared" si="53"/>
        <v>0.42357136582684463</v>
      </c>
      <c r="K333">
        <f t="shared" si="54"/>
        <v>0.63936537329483922</v>
      </c>
      <c r="L333">
        <f t="shared" si="55"/>
        <v>0.42980749174669786</v>
      </c>
      <c r="N333">
        <f t="shared" si="56"/>
        <v>0.63481854670549187</v>
      </c>
      <c r="O333">
        <f t="shared" si="57"/>
        <v>0.42391537504253773</v>
      </c>
      <c r="Q333">
        <f t="shared" si="58"/>
        <v>5.5601842942761328</v>
      </c>
      <c r="R333">
        <f t="shared" si="59"/>
        <v>3.7067895281579006</v>
      </c>
    </row>
    <row r="334" spans="1:18" x14ac:dyDescent="0.3">
      <c r="A334">
        <v>3</v>
      </c>
      <c r="B334">
        <v>3</v>
      </c>
      <c r="E334">
        <f t="shared" si="50"/>
        <v>0.39546916767516443</v>
      </c>
      <c r="F334">
        <f t="shared" si="51"/>
        <v>0.39546916767516443</v>
      </c>
      <c r="H334">
        <f t="shared" si="52"/>
        <v>0.39413998864333244</v>
      </c>
      <c r="I334">
        <f t="shared" si="53"/>
        <v>0.39152111828689834</v>
      </c>
      <c r="K334">
        <f t="shared" si="54"/>
        <v>0.39152111828689834</v>
      </c>
      <c r="L334">
        <f t="shared" si="55"/>
        <v>0.39413998864333244</v>
      </c>
      <c r="N334">
        <f t="shared" si="56"/>
        <v>0.39023122326825738</v>
      </c>
      <c r="O334">
        <f t="shared" si="57"/>
        <v>0.39023122326825738</v>
      </c>
      <c r="Q334">
        <f t="shared" si="58"/>
        <v>4.571361497873653</v>
      </c>
      <c r="R334">
        <f t="shared" si="59"/>
        <v>4.571361497873653</v>
      </c>
    </row>
    <row r="335" spans="1:18" x14ac:dyDescent="0.3">
      <c r="A335">
        <v>3</v>
      </c>
      <c r="B335">
        <v>4</v>
      </c>
      <c r="E335">
        <f t="shared" si="50"/>
        <v>0.24122052648009457</v>
      </c>
      <c r="F335">
        <f t="shared" si="51"/>
        <v>0.32189628784467467</v>
      </c>
      <c r="H335">
        <f t="shared" si="52"/>
        <v>0.24108635387161517</v>
      </c>
      <c r="I335">
        <f t="shared" si="53"/>
        <v>0.31957958536469921</v>
      </c>
      <c r="K335">
        <f t="shared" si="54"/>
        <v>0.23891038213373283</v>
      </c>
      <c r="L335">
        <f t="shared" si="55"/>
        <v>0.32041158272784903</v>
      </c>
      <c r="N335">
        <f t="shared" si="56"/>
        <v>0.23878849760307794</v>
      </c>
      <c r="O335">
        <f t="shared" si="57"/>
        <v>0.31812022438150916</v>
      </c>
      <c r="Q335">
        <f t="shared" si="58"/>
        <v>3.9600057600885208</v>
      </c>
      <c r="R335">
        <f t="shared" si="59"/>
        <v>5.2800076803187324</v>
      </c>
    </row>
    <row r="336" spans="1:18" x14ac:dyDescent="0.3">
      <c r="A336">
        <v>3</v>
      </c>
      <c r="B336">
        <v>5</v>
      </c>
      <c r="E336">
        <f t="shared" si="50"/>
        <v>0.15188742053475673</v>
      </c>
      <c r="F336">
        <f t="shared" si="51"/>
        <v>0.25348435734730307</v>
      </c>
      <c r="H336">
        <f t="shared" si="52"/>
        <v>0.15209366903173813</v>
      </c>
      <c r="I336">
        <f t="shared" si="53"/>
        <v>0.25214199616889482</v>
      </c>
      <c r="K336">
        <f t="shared" si="54"/>
        <v>0.15055078824545723</v>
      </c>
      <c r="L336">
        <f t="shared" si="55"/>
        <v>0.2522606853209835</v>
      </c>
      <c r="N336">
        <f t="shared" si="56"/>
        <v>0.15075991659684468</v>
      </c>
      <c r="O336">
        <f t="shared" si="57"/>
        <v>0.2509326186545488</v>
      </c>
      <c r="Q336">
        <f t="shared" si="58"/>
        <v>3.6052917944087968</v>
      </c>
      <c r="R336">
        <f t="shared" si="59"/>
        <v>6.0088196574917303</v>
      </c>
    </row>
    <row r="337" spans="1:18" x14ac:dyDescent="0.3">
      <c r="A337">
        <v>3</v>
      </c>
      <c r="B337">
        <v>6</v>
      </c>
      <c r="E337">
        <f t="shared" si="50"/>
        <v>9.9646145287230356E-2</v>
      </c>
      <c r="F337">
        <f t="shared" si="51"/>
        <v>0.199625555274418</v>
      </c>
      <c r="H337">
        <f t="shared" si="52"/>
        <v>9.9911158393597668E-2</v>
      </c>
      <c r="I337">
        <f t="shared" si="53"/>
        <v>0.1988265245108472</v>
      </c>
      <c r="K337">
        <f t="shared" si="54"/>
        <v>9.8851102132357357E-2</v>
      </c>
      <c r="L337">
        <f t="shared" si="55"/>
        <v>0.19869402134296577</v>
      </c>
      <c r="N337">
        <f t="shared" si="56"/>
        <v>9.9116115242650543E-2</v>
      </c>
      <c r="O337">
        <f t="shared" si="57"/>
        <v>0.19790294106589029</v>
      </c>
      <c r="Q337">
        <f t="shared" si="58"/>
        <v>3.397524521055836</v>
      </c>
      <c r="R337">
        <f t="shared" si="59"/>
        <v>6.7950490421941208</v>
      </c>
    </row>
    <row r="338" spans="1:18" x14ac:dyDescent="0.3">
      <c r="A338">
        <v>3</v>
      </c>
      <c r="B338">
        <v>7</v>
      </c>
      <c r="E338">
        <f t="shared" si="50"/>
        <v>6.8042016601525396E-2</v>
      </c>
      <c r="F338">
        <f t="shared" si="51"/>
        <v>0.15906812576744567</v>
      </c>
      <c r="H338">
        <f t="shared" si="52"/>
        <v>6.8284387209152572E-2</v>
      </c>
      <c r="I338">
        <f t="shared" si="53"/>
        <v>0.15857404205713507</v>
      </c>
      <c r="K338">
        <f t="shared" si="54"/>
        <v>6.7550572415545421E-2</v>
      </c>
      <c r="L338">
        <f t="shared" si="55"/>
        <v>0.15837107445918841</v>
      </c>
      <c r="N338">
        <f t="shared" si="56"/>
        <v>6.7792208129647563E-2</v>
      </c>
      <c r="O338">
        <f t="shared" si="57"/>
        <v>0.15788152125874733</v>
      </c>
      <c r="Q338">
        <f t="shared" si="58"/>
        <v>3.2716691843558712</v>
      </c>
      <c r="R338">
        <f t="shared" si="59"/>
        <v>7.6338947635425161</v>
      </c>
    </row>
    <row r="339" spans="1:18" x14ac:dyDescent="0.3">
      <c r="A339">
        <v>3</v>
      </c>
      <c r="B339">
        <v>8</v>
      </c>
      <c r="E339">
        <f t="shared" si="50"/>
        <v>4.8156101514115514E-2</v>
      </c>
      <c r="F339">
        <f t="shared" si="51"/>
        <v>0.128684699363807</v>
      </c>
      <c r="H339">
        <f t="shared" si="52"/>
        <v>4.8358566207597042E-2</v>
      </c>
      <c r="I339">
        <f t="shared" si="53"/>
        <v>0.12836709102946858</v>
      </c>
      <c r="K339">
        <f t="shared" si="54"/>
        <v>4.7840238992074298E-2</v>
      </c>
      <c r="L339">
        <f t="shared" si="55"/>
        <v>0.12816064024298163</v>
      </c>
      <c r="N339">
        <f t="shared" si="56"/>
        <v>4.804189496323278E-2</v>
      </c>
      <c r="O339">
        <f t="shared" si="57"/>
        <v>0.12784570719451649</v>
      </c>
      <c r="Q339">
        <f t="shared" si="58"/>
        <v>3.1923968016770194</v>
      </c>
      <c r="R339">
        <f t="shared" si="59"/>
        <v>8.5130581378307735</v>
      </c>
    </row>
    <row r="340" spans="1:18" x14ac:dyDescent="0.3">
      <c r="A340">
        <v>3</v>
      </c>
      <c r="B340">
        <v>9</v>
      </c>
      <c r="E340">
        <f t="shared" si="50"/>
        <v>3.5159725108168324E-2</v>
      </c>
      <c r="F340">
        <f t="shared" si="51"/>
        <v>0.10571435743225191</v>
      </c>
      <c r="H340">
        <f t="shared" si="52"/>
        <v>3.5324046711595516E-2</v>
      </c>
      <c r="I340">
        <f t="shared" si="53"/>
        <v>0.10550271758712416</v>
      </c>
      <c r="K340">
        <f t="shared" si="54"/>
        <v>3.4949258664601683E-2</v>
      </c>
      <c r="L340">
        <f t="shared" si="55"/>
        <v>0.10531532460470273</v>
      </c>
      <c r="N340">
        <f t="shared" si="56"/>
        <v>3.5112877539269463E-2</v>
      </c>
      <c r="O340">
        <f t="shared" si="57"/>
        <v>0.10510532446140128</v>
      </c>
      <c r="Q340">
        <f t="shared" si="58"/>
        <v>3.1405459080236349</v>
      </c>
      <c r="R340">
        <f t="shared" si="59"/>
        <v>9.4216377240854801</v>
      </c>
    </row>
    <row r="341" spans="1:18" x14ac:dyDescent="0.3">
      <c r="A341">
        <v>3</v>
      </c>
      <c r="B341">
        <v>10</v>
      </c>
      <c r="E341">
        <f t="shared" si="50"/>
        <v>2.6368534727452202E-2</v>
      </c>
      <c r="F341">
        <f t="shared" si="51"/>
        <v>8.8100890276671395E-2</v>
      </c>
      <c r="H341">
        <f t="shared" si="52"/>
        <v>2.6501033053869444E-2</v>
      </c>
      <c r="I341">
        <f t="shared" si="53"/>
        <v>8.7955255883108222E-2</v>
      </c>
      <c r="K341">
        <f t="shared" si="54"/>
        <v>2.6223706187415971E-2</v>
      </c>
      <c r="L341">
        <f t="shared" si="55"/>
        <v>8.7792407670914327E-2</v>
      </c>
      <c r="N341">
        <f t="shared" si="56"/>
        <v>2.6355636487177963E-2</v>
      </c>
      <c r="O341">
        <f t="shared" si="57"/>
        <v>8.7647814364336024E-2</v>
      </c>
      <c r="Q341">
        <f t="shared" si="58"/>
        <v>3.1054489104559155</v>
      </c>
      <c r="R341">
        <f t="shared" si="59"/>
        <v>10.351496368195029</v>
      </c>
    </row>
    <row r="342" spans="1:18" x14ac:dyDescent="0.3">
      <c r="A342">
        <v>4</v>
      </c>
      <c r="B342">
        <v>-10</v>
      </c>
      <c r="E342">
        <f t="shared" si="50"/>
        <v>3.1886821668998047E-2</v>
      </c>
      <c r="F342">
        <f t="shared" si="51"/>
        <v>-7.9996763134503865E-2</v>
      </c>
      <c r="H342">
        <f t="shared" si="52"/>
        <v>3.1980534466240898E-2</v>
      </c>
      <c r="I342">
        <f t="shared" si="53"/>
        <v>-7.9831708231189874E-2</v>
      </c>
      <c r="K342">
        <f t="shared" si="54"/>
        <v>3.2052295082900702E-2</v>
      </c>
      <c r="L342">
        <f t="shared" si="55"/>
        <v>-8.0251235057187467E-2</v>
      </c>
      <c r="N342">
        <f t="shared" si="56"/>
        <v>3.2146264849193709E-2</v>
      </c>
      <c r="O342">
        <f t="shared" si="57"/>
        <v>-8.0085083751482586E-2</v>
      </c>
      <c r="Q342">
        <f t="shared" si="58"/>
        <v>4.1280659160673334</v>
      </c>
      <c r="R342">
        <f t="shared" si="59"/>
        <v>-10.320164790174363</v>
      </c>
    </row>
    <row r="343" spans="1:18" x14ac:dyDescent="0.3">
      <c r="A343">
        <v>4</v>
      </c>
      <c r="B343">
        <v>-9</v>
      </c>
      <c r="E343">
        <f t="shared" si="50"/>
        <v>4.1700638912783528E-2</v>
      </c>
      <c r="F343">
        <f t="shared" si="51"/>
        <v>-9.4166104412075069E-2</v>
      </c>
      <c r="H343">
        <f t="shared" si="52"/>
        <v>4.1806290612034877E-2</v>
      </c>
      <c r="I343">
        <f t="shared" si="53"/>
        <v>-9.3933835016068404E-2</v>
      </c>
      <c r="K343">
        <f t="shared" si="54"/>
        <v>4.1933626662007638E-2</v>
      </c>
      <c r="L343">
        <f t="shared" si="55"/>
        <v>-9.4482031000363065E-2</v>
      </c>
      <c r="N343">
        <f t="shared" si="56"/>
        <v>4.2039482615591754E-2</v>
      </c>
      <c r="O343">
        <f t="shared" si="57"/>
        <v>-9.4248116886326672E-2</v>
      </c>
      <c r="Q343">
        <f t="shared" si="58"/>
        <v>4.1674800388024176</v>
      </c>
      <c r="R343">
        <f t="shared" si="59"/>
        <v>-9.3768300873148327</v>
      </c>
    </row>
    <row r="344" spans="1:18" x14ac:dyDescent="0.3">
      <c r="A344">
        <v>4</v>
      </c>
      <c r="B344">
        <v>-8</v>
      </c>
      <c r="E344">
        <f t="shared" si="50"/>
        <v>5.5678198118134209E-2</v>
      </c>
      <c r="F344">
        <f t="shared" si="51"/>
        <v>-0.1117750293048258</v>
      </c>
      <c r="H344">
        <f t="shared" si="52"/>
        <v>5.5790000958344702E-2</v>
      </c>
      <c r="I344">
        <f t="shared" si="53"/>
        <v>-0.11144087473225464</v>
      </c>
      <c r="K344">
        <f t="shared" si="54"/>
        <v>5.6013607546458573E-2</v>
      </c>
      <c r="L344">
        <f t="shared" si="55"/>
        <v>-0.1121676000742366</v>
      </c>
      <c r="N344">
        <f t="shared" si="56"/>
        <v>5.612541038597027E-2</v>
      </c>
      <c r="O344">
        <f t="shared" si="57"/>
        <v>-0.11183092992117269</v>
      </c>
      <c r="Q344">
        <f t="shared" si="58"/>
        <v>4.2236072170089081</v>
      </c>
      <c r="R344">
        <f t="shared" si="59"/>
        <v>-8.4472144340324888</v>
      </c>
    </row>
    <row r="345" spans="1:18" x14ac:dyDescent="0.3">
      <c r="A345">
        <v>4</v>
      </c>
      <c r="B345">
        <v>-7</v>
      </c>
      <c r="E345">
        <f t="shared" si="50"/>
        <v>7.6032593499662723E-2</v>
      </c>
      <c r="F345">
        <f t="shared" si="51"/>
        <v>-0.13358107279013426</v>
      </c>
      <c r="H345">
        <f t="shared" si="52"/>
        <v>7.6132691442978614E-2</v>
      </c>
      <c r="I345">
        <f t="shared" si="53"/>
        <v>-0.13308981721079305</v>
      </c>
      <c r="K345">
        <f t="shared" si="54"/>
        <v>7.6526080263595295E-2</v>
      </c>
      <c r="L345">
        <f t="shared" si="55"/>
        <v>-0.13406448647682484</v>
      </c>
      <c r="N345">
        <f t="shared" si="56"/>
        <v>7.6625609124003971E-2</v>
      </c>
      <c r="O345">
        <f t="shared" si="57"/>
        <v>-0.13356932862264034</v>
      </c>
      <c r="Q345">
        <f t="shared" si="58"/>
        <v>4.3053169743302409</v>
      </c>
      <c r="R345">
        <f t="shared" si="59"/>
        <v>-7.5343047051003929</v>
      </c>
    </row>
    <row r="346" spans="1:18" x14ac:dyDescent="0.3">
      <c r="A346">
        <v>4</v>
      </c>
      <c r="B346">
        <v>-6</v>
      </c>
      <c r="E346">
        <f t="shared" si="50"/>
        <v>0.10628316046714964</v>
      </c>
      <c r="F346">
        <f t="shared" si="51"/>
        <v>-0.16009067529011761</v>
      </c>
      <c r="H346">
        <f t="shared" si="52"/>
        <v>0.1063251789139347</v>
      </c>
      <c r="I346">
        <f t="shared" si="53"/>
        <v>-0.15935519333484977</v>
      </c>
      <c r="K346">
        <f t="shared" si="54"/>
        <v>0.10702265997256534</v>
      </c>
      <c r="L346">
        <f t="shared" si="55"/>
        <v>-0.1606681035678362</v>
      </c>
      <c r="N346">
        <f t="shared" si="56"/>
        <v>0.10706269012665758</v>
      </c>
      <c r="O346">
        <f t="shared" si="57"/>
        <v>-0.15992656205952094</v>
      </c>
      <c r="Q346">
        <f t="shared" si="58"/>
        <v>4.4266936894803077</v>
      </c>
      <c r="R346">
        <f t="shared" si="59"/>
        <v>-6.640040534252325</v>
      </c>
    </row>
    <row r="347" spans="1:18" x14ac:dyDescent="0.3">
      <c r="A347">
        <v>4</v>
      </c>
      <c r="B347">
        <v>-5</v>
      </c>
      <c r="E347">
        <f t="shared" si="50"/>
        <v>0.15187148357692792</v>
      </c>
      <c r="F347">
        <f t="shared" si="51"/>
        <v>-0.19069577261163131</v>
      </c>
      <c r="H347">
        <f t="shared" si="52"/>
        <v>0.15174405847912861</v>
      </c>
      <c r="I347">
        <f t="shared" si="53"/>
        <v>-0.18958546957118064</v>
      </c>
      <c r="K347">
        <f t="shared" si="54"/>
        <v>0.15298899909764838</v>
      </c>
      <c r="L347">
        <f t="shared" si="55"/>
        <v>-0.19133210664091865</v>
      </c>
      <c r="N347">
        <f t="shared" si="56"/>
        <v>0.15285627158178983</v>
      </c>
      <c r="O347">
        <f t="shared" si="57"/>
        <v>-0.19021266713045668</v>
      </c>
      <c r="Q347">
        <f t="shared" si="58"/>
        <v>4.6094608127354952</v>
      </c>
      <c r="R347">
        <f t="shared" si="59"/>
        <v>-5.7618260159541874</v>
      </c>
    </row>
    <row r="348" spans="1:18" x14ac:dyDescent="0.3">
      <c r="A348">
        <v>4</v>
      </c>
      <c r="B348">
        <v>-4</v>
      </c>
      <c r="E348">
        <f t="shared" si="50"/>
        <v>0.2204163755412446</v>
      </c>
      <c r="F348">
        <f t="shared" si="51"/>
        <v>-0.22152121952892001</v>
      </c>
      <c r="H348">
        <f t="shared" si="52"/>
        <v>0.21987014421133805</v>
      </c>
      <c r="I348">
        <f t="shared" si="53"/>
        <v>-0.21987014421133805</v>
      </c>
      <c r="K348">
        <f t="shared" si="54"/>
        <v>0.22207988052416353</v>
      </c>
      <c r="L348">
        <f t="shared" si="55"/>
        <v>-0.22207988052416353</v>
      </c>
      <c r="N348">
        <f t="shared" si="56"/>
        <v>0.22152121952892001</v>
      </c>
      <c r="O348">
        <f t="shared" si="57"/>
        <v>-0.2204163755412446</v>
      </c>
      <c r="Q348">
        <f t="shared" si="58"/>
        <v>4.883887619805666</v>
      </c>
      <c r="R348">
        <f t="shared" si="59"/>
        <v>-4.883887619805666</v>
      </c>
    </row>
    <row r="349" spans="1:18" x14ac:dyDescent="0.3">
      <c r="A349">
        <v>4</v>
      </c>
      <c r="B349">
        <v>-3</v>
      </c>
      <c r="E349">
        <f t="shared" si="50"/>
        <v>0.31957958536469921</v>
      </c>
      <c r="F349">
        <f t="shared" si="51"/>
        <v>-0.24108635387161517</v>
      </c>
      <c r="H349">
        <f t="shared" si="52"/>
        <v>0.31812022438150916</v>
      </c>
      <c r="I349">
        <f t="shared" si="53"/>
        <v>-0.23878849760307794</v>
      </c>
      <c r="K349">
        <f t="shared" si="54"/>
        <v>0.32189628784467467</v>
      </c>
      <c r="L349">
        <f t="shared" si="55"/>
        <v>-0.24122052648009457</v>
      </c>
      <c r="N349">
        <f t="shared" si="56"/>
        <v>0.32041158272784903</v>
      </c>
      <c r="O349">
        <f t="shared" si="57"/>
        <v>-0.23891038213373283</v>
      </c>
      <c r="Q349">
        <f t="shared" si="58"/>
        <v>5.2800076803187324</v>
      </c>
      <c r="R349">
        <f t="shared" si="59"/>
        <v>-3.9600057600885208</v>
      </c>
    </row>
    <row r="350" spans="1:18" x14ac:dyDescent="0.3">
      <c r="A350">
        <v>4</v>
      </c>
      <c r="B350">
        <v>-2</v>
      </c>
      <c r="E350">
        <f t="shared" si="50"/>
        <v>0.44743047681291714</v>
      </c>
      <c r="F350">
        <f t="shared" si="51"/>
        <v>-0.22539730786816123</v>
      </c>
      <c r="H350">
        <f t="shared" si="52"/>
        <v>0.44432007172489124</v>
      </c>
      <c r="I350">
        <f t="shared" si="53"/>
        <v>-0.22271405091447166</v>
      </c>
      <c r="K350">
        <f t="shared" si="54"/>
        <v>0.4501339524446149</v>
      </c>
      <c r="L350">
        <f t="shared" si="55"/>
        <v>-0.22450289858766506</v>
      </c>
      <c r="N350">
        <f t="shared" si="56"/>
        <v>0.4469832978758439</v>
      </c>
      <c r="O350">
        <f t="shared" si="57"/>
        <v>-0.22181964158925921</v>
      </c>
      <c r="Q350">
        <f t="shared" si="58"/>
        <v>5.7888677988582673</v>
      </c>
      <c r="R350">
        <f t="shared" si="59"/>
        <v>-2.8944338989595568</v>
      </c>
    </row>
    <row r="351" spans="1:18" x14ac:dyDescent="0.3">
      <c r="A351">
        <v>4</v>
      </c>
      <c r="B351">
        <v>-1</v>
      </c>
      <c r="E351">
        <f t="shared" si="50"/>
        <v>0.57226224671068582</v>
      </c>
      <c r="F351">
        <f t="shared" si="51"/>
        <v>-0.14485836320245429</v>
      </c>
      <c r="H351">
        <f t="shared" si="52"/>
        <v>0.56707772432684733</v>
      </c>
      <c r="I351">
        <f t="shared" si="53"/>
        <v>-0.1428300502668618</v>
      </c>
      <c r="K351">
        <f t="shared" si="54"/>
        <v>0.57429512463862409</v>
      </c>
      <c r="L351">
        <f t="shared" si="55"/>
        <v>-0.14249427904567363</v>
      </c>
      <c r="N351">
        <f t="shared" si="56"/>
        <v>0.56907328121105927</v>
      </c>
      <c r="O351">
        <f t="shared" si="57"/>
        <v>-0.14049440109699468</v>
      </c>
      <c r="Q351">
        <f t="shared" si="58"/>
        <v>6.2827083768872161</v>
      </c>
      <c r="R351">
        <f t="shared" si="59"/>
        <v>-1.5706770936119843</v>
      </c>
    </row>
    <row r="352" spans="1:18" x14ac:dyDescent="0.3">
      <c r="A352">
        <v>4</v>
      </c>
      <c r="B352">
        <v>0</v>
      </c>
      <c r="E352">
        <f t="shared" si="50"/>
        <v>0.62813083964460636</v>
      </c>
      <c r="F352">
        <f t="shared" si="51"/>
        <v>-1.5742627560015197E-3</v>
      </c>
      <c r="H352">
        <f t="shared" si="52"/>
        <v>0.62188087870866293</v>
      </c>
      <c r="I352">
        <f t="shared" si="53"/>
        <v>-1.5508251339368154E-3</v>
      </c>
      <c r="K352">
        <f t="shared" si="54"/>
        <v>0.62813083964460636</v>
      </c>
      <c r="L352">
        <f t="shared" si="55"/>
        <v>1.5742627560015197E-3</v>
      </c>
      <c r="N352">
        <f t="shared" si="56"/>
        <v>0.62188087870866293</v>
      </c>
      <c r="O352">
        <f t="shared" si="57"/>
        <v>1.5508251339368154E-3</v>
      </c>
      <c r="Q352">
        <f t="shared" si="58"/>
        <v>6.5000234367065381</v>
      </c>
      <c r="R352">
        <f t="shared" si="59"/>
        <v>0</v>
      </c>
    </row>
    <row r="353" spans="1:18" x14ac:dyDescent="0.3">
      <c r="A353">
        <v>4</v>
      </c>
      <c r="B353">
        <v>1</v>
      </c>
      <c r="E353">
        <f t="shared" si="50"/>
        <v>0.57429512463862409</v>
      </c>
      <c r="F353">
        <f t="shared" si="51"/>
        <v>0.14249427904567363</v>
      </c>
      <c r="H353">
        <f t="shared" si="52"/>
        <v>0.56907328121105927</v>
      </c>
      <c r="I353">
        <f t="shared" si="53"/>
        <v>0.14049440109699468</v>
      </c>
      <c r="K353">
        <f t="shared" si="54"/>
        <v>0.57226224671068582</v>
      </c>
      <c r="L353">
        <f t="shared" si="55"/>
        <v>0.14485836320245429</v>
      </c>
      <c r="N353">
        <f t="shared" si="56"/>
        <v>0.56707772432684733</v>
      </c>
      <c r="O353">
        <f t="shared" si="57"/>
        <v>0.1428300502668618</v>
      </c>
      <c r="Q353">
        <f t="shared" si="58"/>
        <v>6.2827083768872161</v>
      </c>
      <c r="R353">
        <f t="shared" si="59"/>
        <v>1.5706770936119843</v>
      </c>
    </row>
    <row r="354" spans="1:18" x14ac:dyDescent="0.3">
      <c r="A354">
        <v>4</v>
      </c>
      <c r="B354">
        <v>2</v>
      </c>
      <c r="E354">
        <f t="shared" si="50"/>
        <v>0.4501339524446149</v>
      </c>
      <c r="F354">
        <f t="shared" si="51"/>
        <v>0.22450289858766506</v>
      </c>
      <c r="H354">
        <f t="shared" si="52"/>
        <v>0.4469832978758439</v>
      </c>
      <c r="I354">
        <f t="shared" si="53"/>
        <v>0.22181964158925921</v>
      </c>
      <c r="K354">
        <f t="shared" si="54"/>
        <v>0.44743047681291714</v>
      </c>
      <c r="L354">
        <f t="shared" si="55"/>
        <v>0.22539730786816123</v>
      </c>
      <c r="N354">
        <f t="shared" si="56"/>
        <v>0.44432007172489124</v>
      </c>
      <c r="O354">
        <f t="shared" si="57"/>
        <v>0.22271405091447166</v>
      </c>
      <c r="Q354">
        <f t="shared" si="58"/>
        <v>5.7888677988582673</v>
      </c>
      <c r="R354">
        <f t="shared" si="59"/>
        <v>2.8944338989595573</v>
      </c>
    </row>
    <row r="355" spans="1:18" x14ac:dyDescent="0.3">
      <c r="A355">
        <v>4</v>
      </c>
      <c r="B355">
        <v>3</v>
      </c>
      <c r="E355">
        <f t="shared" si="50"/>
        <v>0.32189628784467467</v>
      </c>
      <c r="F355">
        <f t="shared" si="51"/>
        <v>0.24122052648009457</v>
      </c>
      <c r="H355">
        <f t="shared" si="52"/>
        <v>0.32041158272784903</v>
      </c>
      <c r="I355">
        <f t="shared" si="53"/>
        <v>0.23891038213373283</v>
      </c>
      <c r="K355">
        <f t="shared" si="54"/>
        <v>0.31957958536469921</v>
      </c>
      <c r="L355">
        <f t="shared" si="55"/>
        <v>0.24108635387161517</v>
      </c>
      <c r="N355">
        <f t="shared" si="56"/>
        <v>0.31812022438150916</v>
      </c>
      <c r="O355">
        <f t="shared" si="57"/>
        <v>0.23878849760307794</v>
      </c>
      <c r="Q355">
        <f t="shared" si="58"/>
        <v>5.2800076803187324</v>
      </c>
      <c r="R355">
        <f t="shared" si="59"/>
        <v>3.9600057600885208</v>
      </c>
    </row>
    <row r="356" spans="1:18" x14ac:dyDescent="0.3">
      <c r="A356">
        <v>4</v>
      </c>
      <c r="B356">
        <v>4</v>
      </c>
      <c r="E356">
        <f t="shared" si="50"/>
        <v>0.22207988052416353</v>
      </c>
      <c r="F356">
        <f t="shared" si="51"/>
        <v>0.22207988052416353</v>
      </c>
      <c r="H356">
        <f t="shared" si="52"/>
        <v>0.22152121952892001</v>
      </c>
      <c r="I356">
        <f t="shared" si="53"/>
        <v>0.2204163755412446</v>
      </c>
      <c r="K356">
        <f t="shared" si="54"/>
        <v>0.2204163755412446</v>
      </c>
      <c r="L356">
        <f t="shared" si="55"/>
        <v>0.22152121952892001</v>
      </c>
      <c r="N356">
        <f t="shared" si="56"/>
        <v>0.21987014421133805</v>
      </c>
      <c r="O356">
        <f t="shared" si="57"/>
        <v>0.21987014421133805</v>
      </c>
      <c r="Q356">
        <f t="shared" si="58"/>
        <v>4.883887619805666</v>
      </c>
      <c r="R356">
        <f t="shared" si="59"/>
        <v>4.883887619805666</v>
      </c>
    </row>
    <row r="357" spans="1:18" x14ac:dyDescent="0.3">
      <c r="A357">
        <v>4</v>
      </c>
      <c r="B357">
        <v>5</v>
      </c>
      <c r="E357">
        <f t="shared" si="50"/>
        <v>0.15298899909764838</v>
      </c>
      <c r="F357">
        <f t="shared" si="51"/>
        <v>0.19133210664091865</v>
      </c>
      <c r="H357">
        <f t="shared" si="52"/>
        <v>0.15285627158178983</v>
      </c>
      <c r="I357">
        <f t="shared" si="53"/>
        <v>0.19021266713045668</v>
      </c>
      <c r="K357">
        <f t="shared" si="54"/>
        <v>0.15187148357692792</v>
      </c>
      <c r="L357">
        <f t="shared" si="55"/>
        <v>0.19069577261163131</v>
      </c>
      <c r="N357">
        <f t="shared" si="56"/>
        <v>0.15174405847912861</v>
      </c>
      <c r="O357">
        <f t="shared" si="57"/>
        <v>0.18958546957118064</v>
      </c>
      <c r="Q357">
        <f t="shared" si="58"/>
        <v>4.6094608127354952</v>
      </c>
      <c r="R357">
        <f t="shared" si="59"/>
        <v>5.7618260159541874</v>
      </c>
    </row>
    <row r="358" spans="1:18" x14ac:dyDescent="0.3">
      <c r="A358">
        <v>4</v>
      </c>
      <c r="B358">
        <v>6</v>
      </c>
      <c r="E358">
        <f t="shared" si="50"/>
        <v>0.10702265997256534</v>
      </c>
      <c r="F358">
        <f t="shared" si="51"/>
        <v>0.1606681035678362</v>
      </c>
      <c r="H358">
        <f t="shared" si="52"/>
        <v>0.10706269012665758</v>
      </c>
      <c r="I358">
        <f t="shared" si="53"/>
        <v>0.15992656205952094</v>
      </c>
      <c r="K358">
        <f t="shared" si="54"/>
        <v>0.10628316046714964</v>
      </c>
      <c r="L358">
        <f t="shared" si="55"/>
        <v>0.16009067529011761</v>
      </c>
      <c r="N358">
        <f t="shared" si="56"/>
        <v>0.1063251789139347</v>
      </c>
      <c r="O358">
        <f t="shared" si="57"/>
        <v>0.15935519333484977</v>
      </c>
      <c r="Q358">
        <f t="shared" si="58"/>
        <v>4.4266936894803077</v>
      </c>
      <c r="R358">
        <f t="shared" si="59"/>
        <v>6.640040534252325</v>
      </c>
    </row>
    <row r="359" spans="1:18" x14ac:dyDescent="0.3">
      <c r="A359">
        <v>4</v>
      </c>
      <c r="B359">
        <v>7</v>
      </c>
      <c r="E359">
        <f t="shared" si="50"/>
        <v>7.6526080263595295E-2</v>
      </c>
      <c r="F359">
        <f t="shared" si="51"/>
        <v>0.13406448647682484</v>
      </c>
      <c r="H359">
        <f t="shared" si="52"/>
        <v>7.6625609124003971E-2</v>
      </c>
      <c r="I359">
        <f t="shared" si="53"/>
        <v>0.13356932862264034</v>
      </c>
      <c r="K359">
        <f t="shared" si="54"/>
        <v>7.6032593499662723E-2</v>
      </c>
      <c r="L359">
        <f t="shared" si="55"/>
        <v>0.13358107279013426</v>
      </c>
      <c r="N359">
        <f t="shared" si="56"/>
        <v>7.6132691442978614E-2</v>
      </c>
      <c r="O359">
        <f t="shared" si="57"/>
        <v>0.13308981721079305</v>
      </c>
      <c r="Q359">
        <f t="shared" si="58"/>
        <v>4.3053169743302409</v>
      </c>
      <c r="R359">
        <f t="shared" si="59"/>
        <v>7.5343047051003929</v>
      </c>
    </row>
    <row r="360" spans="1:18" x14ac:dyDescent="0.3">
      <c r="A360">
        <v>4</v>
      </c>
      <c r="B360">
        <v>8</v>
      </c>
      <c r="E360">
        <f t="shared" si="50"/>
        <v>5.6013607546458573E-2</v>
      </c>
      <c r="F360">
        <f t="shared" si="51"/>
        <v>0.1121676000742366</v>
      </c>
      <c r="H360">
        <f t="shared" si="52"/>
        <v>5.612541038597027E-2</v>
      </c>
      <c r="I360">
        <f t="shared" si="53"/>
        <v>0.11183092992117269</v>
      </c>
      <c r="K360">
        <f t="shared" si="54"/>
        <v>5.5678198118134209E-2</v>
      </c>
      <c r="L360">
        <f t="shared" si="55"/>
        <v>0.1117750293048258</v>
      </c>
      <c r="N360">
        <f t="shared" si="56"/>
        <v>5.5790000958344702E-2</v>
      </c>
      <c r="O360">
        <f t="shared" si="57"/>
        <v>0.11144087473225464</v>
      </c>
      <c r="Q360">
        <f t="shared" si="58"/>
        <v>4.2236072170089081</v>
      </c>
      <c r="R360">
        <f t="shared" si="59"/>
        <v>8.4472144340324888</v>
      </c>
    </row>
    <row r="361" spans="1:18" x14ac:dyDescent="0.3">
      <c r="A361">
        <v>4</v>
      </c>
      <c r="B361">
        <v>9</v>
      </c>
      <c r="E361">
        <f t="shared" si="50"/>
        <v>4.1933626662007638E-2</v>
      </c>
      <c r="F361">
        <f t="shared" si="51"/>
        <v>9.4482031000363065E-2</v>
      </c>
      <c r="H361">
        <f t="shared" si="52"/>
        <v>4.2039482615591754E-2</v>
      </c>
      <c r="I361">
        <f t="shared" si="53"/>
        <v>9.4248116886326672E-2</v>
      </c>
      <c r="K361">
        <f t="shared" si="54"/>
        <v>4.1700638912783528E-2</v>
      </c>
      <c r="L361">
        <f t="shared" si="55"/>
        <v>9.4166104412075069E-2</v>
      </c>
      <c r="N361">
        <f t="shared" si="56"/>
        <v>4.1806290612034877E-2</v>
      </c>
      <c r="O361">
        <f t="shared" si="57"/>
        <v>9.3933835016068404E-2</v>
      </c>
      <c r="Q361">
        <f t="shared" si="58"/>
        <v>4.1674800388024176</v>
      </c>
      <c r="R361">
        <f t="shared" si="59"/>
        <v>9.3768300873148327</v>
      </c>
    </row>
    <row r="362" spans="1:18" x14ac:dyDescent="0.3">
      <c r="A362">
        <v>4</v>
      </c>
      <c r="B362">
        <v>10</v>
      </c>
      <c r="E362">
        <f t="shared" si="50"/>
        <v>3.2052295082900702E-2</v>
      </c>
      <c r="F362">
        <f t="shared" si="51"/>
        <v>8.0251235057187467E-2</v>
      </c>
      <c r="H362">
        <f t="shared" si="52"/>
        <v>3.2146264849193709E-2</v>
      </c>
      <c r="I362">
        <f t="shared" si="53"/>
        <v>8.0085083751482586E-2</v>
      </c>
      <c r="K362">
        <f t="shared" si="54"/>
        <v>3.1886821668998047E-2</v>
      </c>
      <c r="L362">
        <f t="shared" si="55"/>
        <v>7.9996763134503865E-2</v>
      </c>
      <c r="N362">
        <f t="shared" si="56"/>
        <v>3.1980534466240898E-2</v>
      </c>
      <c r="O362">
        <f t="shared" si="57"/>
        <v>7.9831708231189874E-2</v>
      </c>
      <c r="Q362">
        <f t="shared" si="58"/>
        <v>4.1280659160673334</v>
      </c>
      <c r="R362">
        <f t="shared" si="59"/>
        <v>10.320164790174363</v>
      </c>
    </row>
    <row r="363" spans="1:18" x14ac:dyDescent="0.3">
      <c r="A363">
        <v>5</v>
      </c>
      <c r="B363">
        <v>-10</v>
      </c>
      <c r="E363">
        <f t="shared" si="50"/>
        <v>3.5662644109282389E-2</v>
      </c>
      <c r="F363">
        <f t="shared" si="51"/>
        <v>-7.1539692892568479E-2</v>
      </c>
      <c r="H363">
        <f t="shared" si="52"/>
        <v>3.5719887266419927E-2</v>
      </c>
      <c r="I363">
        <f t="shared" si="53"/>
        <v>-7.1368477352667367E-2</v>
      </c>
      <c r="K363">
        <f t="shared" si="54"/>
        <v>3.5834373878174924E-2</v>
      </c>
      <c r="L363">
        <f t="shared" si="55"/>
        <v>-7.1740560128851188E-2</v>
      </c>
      <c r="N363">
        <f t="shared" si="56"/>
        <v>3.5891617035129303E-2</v>
      </c>
      <c r="O363">
        <f t="shared" si="57"/>
        <v>-7.1568314207772807E-2</v>
      </c>
      <c r="Q363">
        <f t="shared" si="58"/>
        <v>5.1431085222890065</v>
      </c>
      <c r="R363">
        <f t="shared" si="59"/>
        <v>-10.286217044581861</v>
      </c>
    </row>
    <row r="364" spans="1:18" x14ac:dyDescent="0.3">
      <c r="A364">
        <v>5</v>
      </c>
      <c r="B364">
        <v>-9</v>
      </c>
      <c r="E364">
        <f t="shared" si="50"/>
        <v>4.5671897026640595E-2</v>
      </c>
      <c r="F364">
        <f t="shared" si="51"/>
        <v>-8.2465689821649646E-2</v>
      </c>
      <c r="H364">
        <f t="shared" si="52"/>
        <v>4.5725575623250247E-2</v>
      </c>
      <c r="I364">
        <f t="shared" si="53"/>
        <v>-8.2233021230635667E-2</v>
      </c>
      <c r="K364">
        <f t="shared" si="54"/>
        <v>4.5905379445781991E-2</v>
      </c>
      <c r="L364">
        <f t="shared" si="55"/>
        <v>-8.2703278801118246E-2</v>
      </c>
      <c r="N364">
        <f t="shared" si="56"/>
        <v>4.5958890699192165E-2</v>
      </c>
      <c r="O364">
        <f t="shared" si="57"/>
        <v>-8.2469147182781949E-2</v>
      </c>
      <c r="Q364">
        <f t="shared" si="58"/>
        <v>5.1832617427948646</v>
      </c>
      <c r="R364">
        <f t="shared" si="59"/>
        <v>-9.3298711370361858</v>
      </c>
    </row>
    <row r="365" spans="1:18" x14ac:dyDescent="0.3">
      <c r="A365">
        <v>5</v>
      </c>
      <c r="B365">
        <v>-8</v>
      </c>
      <c r="E365">
        <f t="shared" si="50"/>
        <v>5.9371093314842659E-2</v>
      </c>
      <c r="F365">
        <f t="shared" si="51"/>
        <v>-9.5303097685749433E-2</v>
      </c>
      <c r="H365">
        <f t="shared" si="52"/>
        <v>5.9408822204826302E-2</v>
      </c>
      <c r="I365">
        <f t="shared" si="53"/>
        <v>-9.4982967237656424E-2</v>
      </c>
      <c r="K365">
        <f t="shared" si="54"/>
        <v>5.9692523745005922E-2</v>
      </c>
      <c r="L365">
        <f t="shared" si="55"/>
        <v>-9.5579812569658779E-2</v>
      </c>
      <c r="N365">
        <f t="shared" si="56"/>
        <v>5.9729732986484887E-2</v>
      </c>
      <c r="O365">
        <f t="shared" si="57"/>
        <v>-9.5257598116170517E-2</v>
      </c>
      <c r="Q365">
        <f t="shared" si="58"/>
        <v>5.2382021722511594</v>
      </c>
      <c r="R365">
        <f t="shared" si="59"/>
        <v>-8.3811234756092343</v>
      </c>
    </row>
    <row r="366" spans="1:18" x14ac:dyDescent="0.3">
      <c r="A366">
        <v>5</v>
      </c>
      <c r="B366">
        <v>-7</v>
      </c>
      <c r="E366">
        <f t="shared" si="50"/>
        <v>7.8324777673630067E-2</v>
      </c>
      <c r="F366">
        <f t="shared" si="51"/>
        <v>-0.11003140110063062</v>
      </c>
      <c r="H366">
        <f t="shared" si="52"/>
        <v>7.8321144670120066E-2</v>
      </c>
      <c r="I366">
        <f t="shared" si="53"/>
        <v>-0.10958707068613606</v>
      </c>
      <c r="K366">
        <f t="shared" si="54"/>
        <v>7.8771191949747285E-2</v>
      </c>
      <c r="L366">
        <f t="shared" si="55"/>
        <v>-0.11034281196968607</v>
      </c>
      <c r="N366">
        <f t="shared" si="56"/>
        <v>7.8766329981528729E-2</v>
      </c>
      <c r="O366">
        <f t="shared" si="57"/>
        <v>-0.10989553823770178</v>
      </c>
      <c r="Q366">
        <f t="shared" si="58"/>
        <v>5.3141834442750264</v>
      </c>
      <c r="R366">
        <f t="shared" si="59"/>
        <v>-7.4398568219941543</v>
      </c>
    </row>
    <row r="367" spans="1:18" x14ac:dyDescent="0.3">
      <c r="A367">
        <v>5</v>
      </c>
      <c r="B367">
        <v>-6</v>
      </c>
      <c r="E367">
        <f t="shared" si="50"/>
        <v>0.10468636146416237</v>
      </c>
      <c r="F367">
        <f t="shared" si="51"/>
        <v>-0.12608517683359033</v>
      </c>
      <c r="H367">
        <f t="shared" si="52"/>
        <v>0.10459131174248715</v>
      </c>
      <c r="I367">
        <f t="shared" si="53"/>
        <v>-0.1254678210723249</v>
      </c>
      <c r="K367">
        <f t="shared" si="54"/>
        <v>0.10530702853999223</v>
      </c>
      <c r="L367">
        <f t="shared" si="55"/>
        <v>-0.12641064147385839</v>
      </c>
      <c r="N367">
        <f t="shared" si="56"/>
        <v>0.10520937950216977</v>
      </c>
      <c r="O367">
        <f t="shared" si="57"/>
        <v>-0.12578925812734471</v>
      </c>
      <c r="Q367">
        <f t="shared" si="58"/>
        <v>5.4197940812488117</v>
      </c>
      <c r="R367">
        <f t="shared" si="59"/>
        <v>-6.5037528975071179</v>
      </c>
    </row>
    <row r="368" spans="1:18" x14ac:dyDescent="0.3">
      <c r="A368">
        <v>5</v>
      </c>
      <c r="B368">
        <v>-5</v>
      </c>
      <c r="E368">
        <f t="shared" si="50"/>
        <v>0.14113766669798783</v>
      </c>
      <c r="F368">
        <f t="shared" si="51"/>
        <v>-0.14170334872884149</v>
      </c>
      <c r="H368">
        <f t="shared" si="52"/>
        <v>0.14085736335443835</v>
      </c>
      <c r="I368">
        <f t="shared" si="53"/>
        <v>-0.14085736335443835</v>
      </c>
      <c r="K368">
        <f t="shared" si="54"/>
        <v>0.1419887432553579</v>
      </c>
      <c r="L368">
        <f t="shared" si="55"/>
        <v>-0.1419887432553579</v>
      </c>
      <c r="N368">
        <f t="shared" si="56"/>
        <v>0.14170334872884149</v>
      </c>
      <c r="O368">
        <f t="shared" si="57"/>
        <v>-0.14113766669798783</v>
      </c>
      <c r="Q368">
        <f t="shared" si="58"/>
        <v>5.5656871220366257</v>
      </c>
      <c r="R368">
        <f t="shared" si="59"/>
        <v>-5.5656871220366257</v>
      </c>
    </row>
    <row r="369" spans="1:18" x14ac:dyDescent="0.3">
      <c r="A369">
        <v>5</v>
      </c>
      <c r="B369">
        <v>-4</v>
      </c>
      <c r="E369">
        <f t="shared" si="50"/>
        <v>0.19021266713045668</v>
      </c>
      <c r="F369">
        <f t="shared" si="51"/>
        <v>-0.15285627158178983</v>
      </c>
      <c r="H369">
        <f t="shared" si="52"/>
        <v>0.18958546957118064</v>
      </c>
      <c r="I369">
        <f t="shared" si="53"/>
        <v>-0.15174405847912861</v>
      </c>
      <c r="K369">
        <f t="shared" si="54"/>
        <v>0.19133210664091865</v>
      </c>
      <c r="L369">
        <f t="shared" si="55"/>
        <v>-0.15298899909764838</v>
      </c>
      <c r="N369">
        <f t="shared" si="56"/>
        <v>0.19069577261163131</v>
      </c>
      <c r="O369">
        <f t="shared" si="57"/>
        <v>-0.15187148357692792</v>
      </c>
      <c r="Q369">
        <f t="shared" si="58"/>
        <v>5.7618260159541874</v>
      </c>
      <c r="R369">
        <f t="shared" si="59"/>
        <v>-4.6094608127354952</v>
      </c>
    </row>
    <row r="370" spans="1:18" x14ac:dyDescent="0.3">
      <c r="A370">
        <v>5</v>
      </c>
      <c r="B370">
        <v>-3</v>
      </c>
      <c r="E370">
        <f t="shared" si="50"/>
        <v>0.25214199616889482</v>
      </c>
      <c r="F370">
        <f t="shared" si="51"/>
        <v>-0.15209366903173813</v>
      </c>
      <c r="H370">
        <f t="shared" si="52"/>
        <v>0.2509326186545488</v>
      </c>
      <c r="I370">
        <f t="shared" si="53"/>
        <v>-0.15075991659684468</v>
      </c>
      <c r="K370">
        <f t="shared" si="54"/>
        <v>0.25348435734730307</v>
      </c>
      <c r="L370">
        <f t="shared" si="55"/>
        <v>-0.15188742053475673</v>
      </c>
      <c r="N370">
        <f t="shared" si="56"/>
        <v>0.2522606853209835</v>
      </c>
      <c r="O370">
        <f t="shared" si="57"/>
        <v>-0.15055078824545723</v>
      </c>
      <c r="Q370">
        <f t="shared" si="58"/>
        <v>6.0088196574917303</v>
      </c>
      <c r="R370">
        <f t="shared" si="59"/>
        <v>-3.6052917944087968</v>
      </c>
    </row>
    <row r="371" spans="1:18" x14ac:dyDescent="0.3">
      <c r="A371">
        <v>5</v>
      </c>
      <c r="B371">
        <v>-2</v>
      </c>
      <c r="E371">
        <f t="shared" si="50"/>
        <v>0.3205149219731151</v>
      </c>
      <c r="F371">
        <f t="shared" si="51"/>
        <v>-0.12910520905129486</v>
      </c>
      <c r="H371">
        <f t="shared" si="52"/>
        <v>0.31849229743133489</v>
      </c>
      <c r="I371">
        <f t="shared" si="53"/>
        <v>-0.12777834687364931</v>
      </c>
      <c r="K371">
        <f t="shared" si="54"/>
        <v>0.32184853824044524</v>
      </c>
      <c r="L371">
        <f t="shared" si="55"/>
        <v>-0.12835242306582886</v>
      </c>
      <c r="N371">
        <f t="shared" si="56"/>
        <v>0.31980837120291211</v>
      </c>
      <c r="O371">
        <f t="shared" si="57"/>
        <v>-0.12702967239397109</v>
      </c>
      <c r="Q371">
        <f t="shared" si="58"/>
        <v>6.2806641288478069</v>
      </c>
      <c r="R371">
        <f t="shared" si="59"/>
        <v>-2.5122656513847441</v>
      </c>
    </row>
    <row r="372" spans="1:18" x14ac:dyDescent="0.3">
      <c r="A372">
        <v>5</v>
      </c>
      <c r="B372">
        <v>-1</v>
      </c>
      <c r="E372">
        <f t="shared" si="50"/>
        <v>0.37813164435704993</v>
      </c>
      <c r="F372">
        <f t="shared" si="51"/>
        <v>-7.6535663487098282E-2</v>
      </c>
      <c r="H372">
        <f t="shared" si="52"/>
        <v>0.37529517326465467</v>
      </c>
      <c r="I372">
        <f t="shared" si="53"/>
        <v>-7.5658308382694855E-2</v>
      </c>
      <c r="K372">
        <f t="shared" si="54"/>
        <v>0.37900863382825745</v>
      </c>
      <c r="L372">
        <f t="shared" si="55"/>
        <v>-7.5194097693381728E-2</v>
      </c>
      <c r="N372">
        <f t="shared" si="56"/>
        <v>0.37615890675654884</v>
      </c>
      <c r="O372">
        <f t="shared" si="57"/>
        <v>-7.4330801933928825E-2</v>
      </c>
      <c r="Q372">
        <f t="shared" si="58"/>
        <v>6.5085943582065102</v>
      </c>
      <c r="R372">
        <f t="shared" si="59"/>
        <v>-1.3017188714971037</v>
      </c>
    </row>
    <row r="373" spans="1:18" x14ac:dyDescent="0.3">
      <c r="A373">
        <v>5</v>
      </c>
      <c r="B373">
        <v>0</v>
      </c>
      <c r="E373">
        <f t="shared" si="50"/>
        <v>0.40160239354783661</v>
      </c>
      <c r="F373">
        <f t="shared" si="51"/>
        <v>-8.0481441592752825E-4</v>
      </c>
      <c r="H373">
        <f t="shared" si="52"/>
        <v>0.39840240634816321</v>
      </c>
      <c r="I373">
        <f t="shared" si="53"/>
        <v>-7.9521438392846956E-4</v>
      </c>
      <c r="K373">
        <f t="shared" si="54"/>
        <v>0.40160239354783661</v>
      </c>
      <c r="L373">
        <f t="shared" si="55"/>
        <v>8.0481441592752825E-4</v>
      </c>
      <c r="N373">
        <f t="shared" si="56"/>
        <v>0.39840240634816321</v>
      </c>
      <c r="O373">
        <f t="shared" si="57"/>
        <v>7.9521438392846956E-4</v>
      </c>
      <c r="Q373">
        <f t="shared" si="58"/>
        <v>6.6000095997919992</v>
      </c>
      <c r="R373">
        <f t="shared" si="59"/>
        <v>0</v>
      </c>
    </row>
    <row r="374" spans="1:18" x14ac:dyDescent="0.3">
      <c r="A374">
        <v>5</v>
      </c>
      <c r="B374">
        <v>1</v>
      </c>
      <c r="E374">
        <f t="shared" si="50"/>
        <v>0.37900863382825745</v>
      </c>
      <c r="F374">
        <f t="shared" si="51"/>
        <v>7.5194097693381728E-2</v>
      </c>
      <c r="H374">
        <f t="shared" si="52"/>
        <v>0.37615890675654884</v>
      </c>
      <c r="I374">
        <f t="shared" si="53"/>
        <v>7.4330801933928825E-2</v>
      </c>
      <c r="K374">
        <f t="shared" si="54"/>
        <v>0.37813164435704993</v>
      </c>
      <c r="L374">
        <f t="shared" si="55"/>
        <v>7.6535663487098282E-2</v>
      </c>
      <c r="N374">
        <f t="shared" si="56"/>
        <v>0.37529517326465467</v>
      </c>
      <c r="O374">
        <f t="shared" si="57"/>
        <v>7.5658308382694855E-2</v>
      </c>
      <c r="Q374">
        <f t="shared" si="58"/>
        <v>6.5085943582065102</v>
      </c>
      <c r="R374">
        <f t="shared" si="59"/>
        <v>1.3017188714971037</v>
      </c>
    </row>
    <row r="375" spans="1:18" x14ac:dyDescent="0.3">
      <c r="A375">
        <v>5</v>
      </c>
      <c r="B375">
        <v>2</v>
      </c>
      <c r="E375">
        <f t="shared" si="50"/>
        <v>0.32184853824044524</v>
      </c>
      <c r="F375">
        <f t="shared" si="51"/>
        <v>0.12835242306582886</v>
      </c>
      <c r="H375">
        <f t="shared" si="52"/>
        <v>0.31980837120291211</v>
      </c>
      <c r="I375">
        <f t="shared" si="53"/>
        <v>0.12702967239397109</v>
      </c>
      <c r="K375">
        <f t="shared" si="54"/>
        <v>0.3205149219731151</v>
      </c>
      <c r="L375">
        <f t="shared" si="55"/>
        <v>0.12910520905129486</v>
      </c>
      <c r="N375">
        <f t="shared" si="56"/>
        <v>0.31849229743133489</v>
      </c>
      <c r="O375">
        <f t="shared" si="57"/>
        <v>0.12777834687364931</v>
      </c>
      <c r="Q375">
        <f t="shared" si="58"/>
        <v>6.2806641288478069</v>
      </c>
      <c r="R375">
        <f t="shared" si="59"/>
        <v>2.5122656513847441</v>
      </c>
    </row>
    <row r="376" spans="1:18" x14ac:dyDescent="0.3">
      <c r="A376">
        <v>5</v>
      </c>
      <c r="B376">
        <v>3</v>
      </c>
      <c r="E376">
        <f t="shared" si="50"/>
        <v>0.25348435734730307</v>
      </c>
      <c r="F376">
        <f t="shared" si="51"/>
        <v>0.15188742053475673</v>
      </c>
      <c r="H376">
        <f t="shared" si="52"/>
        <v>0.2522606853209835</v>
      </c>
      <c r="I376">
        <f t="shared" si="53"/>
        <v>0.15055078824545723</v>
      </c>
      <c r="K376">
        <f t="shared" si="54"/>
        <v>0.25214199616889482</v>
      </c>
      <c r="L376">
        <f t="shared" si="55"/>
        <v>0.15209366903173813</v>
      </c>
      <c r="N376">
        <f t="shared" si="56"/>
        <v>0.2509326186545488</v>
      </c>
      <c r="O376">
        <f t="shared" si="57"/>
        <v>0.15075991659684468</v>
      </c>
      <c r="Q376">
        <f t="shared" si="58"/>
        <v>6.0088196574917303</v>
      </c>
      <c r="R376">
        <f t="shared" si="59"/>
        <v>3.6052917944087968</v>
      </c>
    </row>
    <row r="377" spans="1:18" x14ac:dyDescent="0.3">
      <c r="A377">
        <v>5</v>
      </c>
      <c r="B377">
        <v>4</v>
      </c>
      <c r="E377">
        <f t="shared" si="50"/>
        <v>0.19133210664091865</v>
      </c>
      <c r="F377">
        <f t="shared" si="51"/>
        <v>0.15298899909764838</v>
      </c>
      <c r="H377">
        <f t="shared" si="52"/>
        <v>0.19069577261163131</v>
      </c>
      <c r="I377">
        <f t="shared" si="53"/>
        <v>0.15187148357692792</v>
      </c>
      <c r="K377">
        <f t="shared" si="54"/>
        <v>0.19021266713045668</v>
      </c>
      <c r="L377">
        <f t="shared" si="55"/>
        <v>0.15285627158178983</v>
      </c>
      <c r="N377">
        <f t="shared" si="56"/>
        <v>0.18958546957118064</v>
      </c>
      <c r="O377">
        <f t="shared" si="57"/>
        <v>0.15174405847912861</v>
      </c>
      <c r="Q377">
        <f t="shared" si="58"/>
        <v>5.7618260159541874</v>
      </c>
      <c r="R377">
        <f t="shared" si="59"/>
        <v>4.6094608127354952</v>
      </c>
    </row>
    <row r="378" spans="1:18" x14ac:dyDescent="0.3">
      <c r="A378">
        <v>5</v>
      </c>
      <c r="B378">
        <v>5</v>
      </c>
      <c r="E378">
        <f t="shared" si="50"/>
        <v>0.1419887432553579</v>
      </c>
      <c r="F378">
        <f t="shared" si="51"/>
        <v>0.1419887432553579</v>
      </c>
      <c r="H378">
        <f t="shared" si="52"/>
        <v>0.14170334872884149</v>
      </c>
      <c r="I378">
        <f t="shared" si="53"/>
        <v>0.14113766669798783</v>
      </c>
      <c r="K378">
        <f t="shared" si="54"/>
        <v>0.14113766669798783</v>
      </c>
      <c r="L378">
        <f t="shared" si="55"/>
        <v>0.14170334872884149</v>
      </c>
      <c r="N378">
        <f t="shared" si="56"/>
        <v>0.14085736335443835</v>
      </c>
      <c r="O378">
        <f t="shared" si="57"/>
        <v>0.14085736335443835</v>
      </c>
      <c r="Q378">
        <f t="shared" si="58"/>
        <v>5.5656871220366257</v>
      </c>
      <c r="R378">
        <f t="shared" si="59"/>
        <v>5.5656871220366257</v>
      </c>
    </row>
    <row r="379" spans="1:18" x14ac:dyDescent="0.3">
      <c r="A379">
        <v>5</v>
      </c>
      <c r="B379">
        <v>6</v>
      </c>
      <c r="E379">
        <f t="shared" si="50"/>
        <v>0.10530702853999223</v>
      </c>
      <c r="F379">
        <f t="shared" si="51"/>
        <v>0.12641064147385839</v>
      </c>
      <c r="H379">
        <f t="shared" si="52"/>
        <v>0.10520937950216977</v>
      </c>
      <c r="I379">
        <f t="shared" si="53"/>
        <v>0.12578925812734471</v>
      </c>
      <c r="K379">
        <f t="shared" si="54"/>
        <v>0.10468636146416237</v>
      </c>
      <c r="L379">
        <f t="shared" si="55"/>
        <v>0.12608517683359033</v>
      </c>
      <c r="N379">
        <f t="shared" si="56"/>
        <v>0.10459131174248715</v>
      </c>
      <c r="O379">
        <f t="shared" si="57"/>
        <v>0.1254678210723249</v>
      </c>
      <c r="Q379">
        <f t="shared" si="58"/>
        <v>5.4197940812488117</v>
      </c>
      <c r="R379">
        <f t="shared" si="59"/>
        <v>6.5037528975071179</v>
      </c>
    </row>
    <row r="380" spans="1:18" x14ac:dyDescent="0.3">
      <c r="A380">
        <v>5</v>
      </c>
      <c r="B380">
        <v>7</v>
      </c>
      <c r="E380">
        <f t="shared" si="50"/>
        <v>7.8771191949747285E-2</v>
      </c>
      <c r="F380">
        <f t="shared" si="51"/>
        <v>0.11034281196968607</v>
      </c>
      <c r="H380">
        <f t="shared" si="52"/>
        <v>7.8766329981528729E-2</v>
      </c>
      <c r="I380">
        <f t="shared" si="53"/>
        <v>0.10989553823770178</v>
      </c>
      <c r="K380">
        <f t="shared" si="54"/>
        <v>7.8324777673630067E-2</v>
      </c>
      <c r="L380">
        <f t="shared" si="55"/>
        <v>0.11003140110063062</v>
      </c>
      <c r="N380">
        <f t="shared" si="56"/>
        <v>7.8321144670120066E-2</v>
      </c>
      <c r="O380">
        <f t="shared" si="57"/>
        <v>0.10958707068613606</v>
      </c>
      <c r="Q380">
        <f t="shared" si="58"/>
        <v>5.3141834442750264</v>
      </c>
      <c r="R380">
        <f t="shared" si="59"/>
        <v>7.4398568219941543</v>
      </c>
    </row>
    <row r="381" spans="1:18" x14ac:dyDescent="0.3">
      <c r="A381">
        <v>5</v>
      </c>
      <c r="B381">
        <v>8</v>
      </c>
      <c r="E381">
        <f t="shared" si="50"/>
        <v>5.9692523745005922E-2</v>
      </c>
      <c r="F381">
        <f t="shared" si="51"/>
        <v>9.5579812569658779E-2</v>
      </c>
      <c r="H381">
        <f t="shared" si="52"/>
        <v>5.9729732986484887E-2</v>
      </c>
      <c r="I381">
        <f t="shared" si="53"/>
        <v>9.5257598116170517E-2</v>
      </c>
      <c r="K381">
        <f t="shared" si="54"/>
        <v>5.9371093314842659E-2</v>
      </c>
      <c r="L381">
        <f t="shared" si="55"/>
        <v>9.5303097685749433E-2</v>
      </c>
      <c r="N381">
        <f t="shared" si="56"/>
        <v>5.9408822204826302E-2</v>
      </c>
      <c r="O381">
        <f t="shared" si="57"/>
        <v>9.4982967237656424E-2</v>
      </c>
      <c r="Q381">
        <f t="shared" si="58"/>
        <v>5.2382021722511594</v>
      </c>
      <c r="R381">
        <f t="shared" si="59"/>
        <v>8.3811234756092343</v>
      </c>
    </row>
    <row r="382" spans="1:18" x14ac:dyDescent="0.3">
      <c r="A382">
        <v>5</v>
      </c>
      <c r="B382">
        <v>9</v>
      </c>
      <c r="E382">
        <f t="shared" si="50"/>
        <v>4.5905379445781991E-2</v>
      </c>
      <c r="F382">
        <f t="shared" si="51"/>
        <v>8.2703278801118246E-2</v>
      </c>
      <c r="H382">
        <f t="shared" si="52"/>
        <v>4.5958890699192165E-2</v>
      </c>
      <c r="I382">
        <f t="shared" si="53"/>
        <v>8.2469147182781949E-2</v>
      </c>
      <c r="K382">
        <f t="shared" si="54"/>
        <v>4.5671897026640595E-2</v>
      </c>
      <c r="L382">
        <f t="shared" si="55"/>
        <v>8.2465689821649646E-2</v>
      </c>
      <c r="N382">
        <f t="shared" si="56"/>
        <v>4.5725575623250247E-2</v>
      </c>
      <c r="O382">
        <f t="shared" si="57"/>
        <v>8.2233021230635667E-2</v>
      </c>
      <c r="Q382">
        <f t="shared" si="58"/>
        <v>5.1832617427948646</v>
      </c>
      <c r="R382">
        <f t="shared" si="59"/>
        <v>9.3298711370361858</v>
      </c>
    </row>
    <row r="383" spans="1:18" x14ac:dyDescent="0.3">
      <c r="A383">
        <v>5</v>
      </c>
      <c r="B383">
        <v>10</v>
      </c>
      <c r="E383">
        <f t="shared" si="50"/>
        <v>3.5834373878174924E-2</v>
      </c>
      <c r="F383">
        <f t="shared" si="51"/>
        <v>7.1740560128851188E-2</v>
      </c>
      <c r="H383">
        <f t="shared" si="52"/>
        <v>3.5891617035129303E-2</v>
      </c>
      <c r="I383">
        <f t="shared" si="53"/>
        <v>7.1568314207772807E-2</v>
      </c>
      <c r="K383">
        <f t="shared" si="54"/>
        <v>3.5662644109282389E-2</v>
      </c>
      <c r="L383">
        <f t="shared" si="55"/>
        <v>7.1539692892568479E-2</v>
      </c>
      <c r="N383">
        <f t="shared" si="56"/>
        <v>3.5719887266419927E-2</v>
      </c>
      <c r="O383">
        <f t="shared" si="57"/>
        <v>7.1368477352667367E-2</v>
      </c>
      <c r="Q383">
        <f t="shared" si="58"/>
        <v>5.1431085222890065</v>
      </c>
      <c r="R383">
        <f t="shared" si="59"/>
        <v>10.286217044581861</v>
      </c>
    </row>
    <row r="384" spans="1:18" x14ac:dyDescent="0.3">
      <c r="A384">
        <v>6</v>
      </c>
      <c r="B384">
        <v>-10</v>
      </c>
      <c r="E384">
        <f t="shared" si="50"/>
        <v>3.7734136318049075E-2</v>
      </c>
      <c r="F384">
        <f t="shared" si="51"/>
        <v>-6.3058214448025243E-2</v>
      </c>
      <c r="H384">
        <f t="shared" si="52"/>
        <v>3.7760188193359114E-2</v>
      </c>
      <c r="I384">
        <f t="shared" si="53"/>
        <v>-6.2891761034197122E-2</v>
      </c>
      <c r="K384">
        <f t="shared" si="54"/>
        <v>3.7901125755359116E-2</v>
      </c>
      <c r="L384">
        <f t="shared" si="55"/>
        <v>-6.3210725591992908E-2</v>
      </c>
      <c r="N384">
        <f t="shared" si="56"/>
        <v>3.7926997640641107E-2</v>
      </c>
      <c r="O384">
        <f t="shared" si="57"/>
        <v>-6.3043378773711259E-2</v>
      </c>
      <c r="Q384">
        <f t="shared" si="58"/>
        <v>6.1513224479074085</v>
      </c>
      <c r="R384">
        <f t="shared" si="59"/>
        <v>-10.252204079847926</v>
      </c>
    </row>
    <row r="385" spans="1:18" x14ac:dyDescent="0.3">
      <c r="A385">
        <v>6</v>
      </c>
      <c r="B385">
        <v>-9</v>
      </c>
      <c r="E385">
        <f t="shared" si="50"/>
        <v>4.7294749519611795E-2</v>
      </c>
      <c r="F385">
        <f t="shared" si="51"/>
        <v>-7.1139514719816735E-2</v>
      </c>
      <c r="H385">
        <f t="shared" si="52"/>
        <v>4.7307101871004342E-2</v>
      </c>
      <c r="I385">
        <f t="shared" si="53"/>
        <v>-7.0921295816597188E-2</v>
      </c>
      <c r="K385">
        <f t="shared" si="54"/>
        <v>4.7513762431380786E-2</v>
      </c>
      <c r="L385">
        <f t="shared" si="55"/>
        <v>-7.1310304550603221E-2</v>
      </c>
      <c r="N385">
        <f t="shared" si="56"/>
        <v>4.7525722034348683E-2</v>
      </c>
      <c r="O385">
        <f t="shared" si="57"/>
        <v>-7.1090888700298616E-2</v>
      </c>
      <c r="Q385">
        <f t="shared" si="58"/>
        <v>6.1896413358563453</v>
      </c>
      <c r="R385">
        <f t="shared" si="59"/>
        <v>-9.2844620037873149</v>
      </c>
    </row>
    <row r="386" spans="1:18" x14ac:dyDescent="0.3">
      <c r="A386">
        <v>6</v>
      </c>
      <c r="B386">
        <v>-8</v>
      </c>
      <c r="E386">
        <f t="shared" si="50"/>
        <v>5.9863898441640681E-2</v>
      </c>
      <c r="F386">
        <f t="shared" si="51"/>
        <v>-8.0051723959522841E-2</v>
      </c>
      <c r="H386">
        <f t="shared" si="52"/>
        <v>5.9848281549448969E-2</v>
      </c>
      <c r="I386">
        <f t="shared" si="53"/>
        <v>-7.97645150101641E-2</v>
      </c>
      <c r="K386">
        <f t="shared" si="54"/>
        <v>6.0152282451850649E-2</v>
      </c>
      <c r="L386">
        <f t="shared" si="55"/>
        <v>-8.0236516993370061E-2</v>
      </c>
      <c r="N386">
        <f t="shared" si="56"/>
        <v>6.0135897558442876E-2</v>
      </c>
      <c r="O386">
        <f t="shared" si="57"/>
        <v>-7.994772404192324E-2</v>
      </c>
      <c r="Q386">
        <f t="shared" si="58"/>
        <v>6.2400003600013836</v>
      </c>
      <c r="R386">
        <f t="shared" si="59"/>
        <v>-8.32000048000498</v>
      </c>
    </row>
    <row r="387" spans="1:18" x14ac:dyDescent="0.3">
      <c r="A387">
        <v>6</v>
      </c>
      <c r="B387">
        <v>-7</v>
      </c>
      <c r="E387">
        <f t="shared" si="50"/>
        <v>7.6408845718817786E-2</v>
      </c>
      <c r="F387">
        <f t="shared" si="51"/>
        <v>-8.9420034806162368E-2</v>
      </c>
      <c r="H387">
        <f t="shared" si="52"/>
        <v>7.6340491444599812E-2</v>
      </c>
      <c r="I387">
        <f t="shared" si="53"/>
        <v>-8.9042736277311935E-2</v>
      </c>
      <c r="K387">
        <f t="shared" si="54"/>
        <v>7.678786547706648E-2</v>
      </c>
      <c r="L387">
        <f t="shared" si="55"/>
        <v>-8.960720862849661E-2</v>
      </c>
      <c r="N387">
        <f t="shared" si="56"/>
        <v>7.671810179268207E-2</v>
      </c>
      <c r="O387">
        <f t="shared" si="57"/>
        <v>-8.9227875462703457E-2</v>
      </c>
      <c r="Q387">
        <f t="shared" si="58"/>
        <v>6.306255304433166</v>
      </c>
      <c r="R387">
        <f t="shared" si="59"/>
        <v>-7.3572978551746742</v>
      </c>
    </row>
    <row r="388" spans="1:18" x14ac:dyDescent="0.3">
      <c r="A388">
        <v>6</v>
      </c>
      <c r="B388">
        <v>-6</v>
      </c>
      <c r="E388">
        <f t="shared" si="50"/>
        <v>9.8045184517637649E-2</v>
      </c>
      <c r="F388">
        <f t="shared" si="51"/>
        <v>-9.8372547404173991E-2</v>
      </c>
      <c r="H388">
        <f t="shared" si="52"/>
        <v>9.7882727509966447E-2</v>
      </c>
      <c r="I388">
        <f t="shared" si="53"/>
        <v>-9.7882727509966447E-2</v>
      </c>
      <c r="K388">
        <f t="shared" si="54"/>
        <v>9.8537459648460751E-2</v>
      </c>
      <c r="L388">
        <f t="shared" si="55"/>
        <v>-9.8537459648460751E-2</v>
      </c>
      <c r="N388">
        <f t="shared" si="56"/>
        <v>9.8372547404173991E-2</v>
      </c>
      <c r="O388">
        <f t="shared" si="57"/>
        <v>-9.8045184517637649E-2</v>
      </c>
      <c r="Q388">
        <f t="shared" si="58"/>
        <v>6.3928379190802387</v>
      </c>
      <c r="R388">
        <f t="shared" si="59"/>
        <v>-6.3928379190802387</v>
      </c>
    </row>
    <row r="389" spans="1:18" x14ac:dyDescent="0.3">
      <c r="A389">
        <v>6</v>
      </c>
      <c r="B389">
        <v>-5</v>
      </c>
      <c r="E389">
        <f t="shared" si="50"/>
        <v>0.12578925812734471</v>
      </c>
      <c r="F389">
        <f t="shared" si="51"/>
        <v>-0.10520937950216977</v>
      </c>
      <c r="H389">
        <f t="shared" si="52"/>
        <v>0.1254678210723249</v>
      </c>
      <c r="I389">
        <f t="shared" si="53"/>
        <v>-0.10459131174248715</v>
      </c>
      <c r="K389">
        <f t="shared" si="54"/>
        <v>0.12641064147385839</v>
      </c>
      <c r="L389">
        <f t="shared" si="55"/>
        <v>-0.10530702853999223</v>
      </c>
      <c r="N389">
        <f t="shared" si="56"/>
        <v>0.12608517683359033</v>
      </c>
      <c r="O389">
        <f t="shared" si="57"/>
        <v>-0.10468636146416237</v>
      </c>
      <c r="Q389">
        <f t="shared" si="58"/>
        <v>6.5037528975071179</v>
      </c>
      <c r="R389">
        <f t="shared" si="59"/>
        <v>-5.4197940812488117</v>
      </c>
    </row>
    <row r="390" spans="1:18" x14ac:dyDescent="0.3">
      <c r="A390">
        <v>6</v>
      </c>
      <c r="B390">
        <v>-4</v>
      </c>
      <c r="E390">
        <f t="shared" si="50"/>
        <v>0.15992656205952094</v>
      </c>
      <c r="F390">
        <f t="shared" si="51"/>
        <v>-0.10706269012665758</v>
      </c>
      <c r="H390">
        <f t="shared" si="52"/>
        <v>0.15935519333484977</v>
      </c>
      <c r="I390">
        <f t="shared" si="53"/>
        <v>-0.1063251789139347</v>
      </c>
      <c r="K390">
        <f t="shared" si="54"/>
        <v>0.1606681035678362</v>
      </c>
      <c r="L390">
        <f t="shared" si="55"/>
        <v>-0.10702265997256534</v>
      </c>
      <c r="N390">
        <f t="shared" si="56"/>
        <v>0.16009067529011761</v>
      </c>
      <c r="O390">
        <f t="shared" si="57"/>
        <v>-0.10628316046714964</v>
      </c>
      <c r="Q390">
        <f t="shared" si="58"/>
        <v>6.640040534252325</v>
      </c>
      <c r="R390">
        <f t="shared" si="59"/>
        <v>-4.4266936894803068</v>
      </c>
    </row>
    <row r="391" spans="1:18" x14ac:dyDescent="0.3">
      <c r="A391">
        <v>6</v>
      </c>
      <c r="B391">
        <v>-3</v>
      </c>
      <c r="E391">
        <f t="shared" ref="E391:E454" si="60">$D$2*G$3/(($A391-E$3)^2+($B391-F$3)^2)^(3/2)*($A391-E$3)</f>
        <v>0.1988265245108472</v>
      </c>
      <c r="F391">
        <f t="shared" ref="F391:F454" si="61">$D$2*G$3/(($A391-E$3)^2+($B391-F$3)^2)^(3/2)*($B391-F$3)</f>
        <v>-9.9911158393597668E-2</v>
      </c>
      <c r="H391">
        <f t="shared" ref="H391:H454" si="62">$D$2*J$3/(($A391-H$3)^2+($B391-I$3)^2)^(3/2)*($A391-H$3)</f>
        <v>0.19790294106589029</v>
      </c>
      <c r="I391">
        <f t="shared" ref="I391:I454" si="63">$D$2*J$3/(($A391-H$3)^2+($B391-I$3)^2)^(3/2)*($B391-I$3)</f>
        <v>-9.9116115242650543E-2</v>
      </c>
      <c r="K391">
        <f t="shared" ref="K391:K454" si="64">$D$2*M$3/(($A391-K$3)^2+($B391-L$3)^2)^(3/2)*($A391-K$3)</f>
        <v>0.199625555274418</v>
      </c>
      <c r="L391">
        <f t="shared" ref="L391:L454" si="65">$D$2*M$3/(($A391-K$3)^2+($B391-L$3)^2)^(3/2)*($B391-L$3)</f>
        <v>-9.9646145287230356E-2</v>
      </c>
      <c r="N391">
        <f t="shared" ref="N391:N454" si="66">$D$2*P$3/(($A391-N$3)^2+($B391-O$3)^2)^(3/2)*($A391-N$3)</f>
        <v>0.19869402134296577</v>
      </c>
      <c r="O391">
        <f t="shared" ref="O391:O454" si="67">$D$2*P$3/(($A391-N$3)^2+($B391-O$3)^2)^(3/2)*($B391-O$3)</f>
        <v>-9.8851102132357357E-2</v>
      </c>
      <c r="Q391">
        <f t="shared" ref="Q391:Q454" si="68">SUM(E391,H391,K391,N391)+A391</f>
        <v>6.7950490421941208</v>
      </c>
      <c r="R391">
        <f t="shared" ref="R391:R454" si="69">SUM(F391,I391,L391,O391)+B391</f>
        <v>-3.397524521055836</v>
      </c>
    </row>
    <row r="392" spans="1:18" x14ac:dyDescent="0.3">
      <c r="A392">
        <v>6</v>
      </c>
      <c r="B392">
        <v>-2</v>
      </c>
      <c r="E392">
        <f t="shared" si="60"/>
        <v>0.23748586167836205</v>
      </c>
      <c r="F392">
        <f t="shared" si="61"/>
        <v>-7.9690581297747531E-2</v>
      </c>
      <c r="H392">
        <f t="shared" si="62"/>
        <v>0.2361460423965033</v>
      </c>
      <c r="I392">
        <f t="shared" si="63"/>
        <v>-7.8977295377199927E-2</v>
      </c>
      <c r="K392">
        <f t="shared" si="64"/>
        <v>0.23820153592002005</v>
      </c>
      <c r="L392">
        <f t="shared" si="65"/>
        <v>-7.9135401749722847E-2</v>
      </c>
      <c r="N392">
        <f t="shared" si="66"/>
        <v>0.23685341563311588</v>
      </c>
      <c r="O392">
        <f t="shared" si="67"/>
        <v>-7.8425673395990117E-2</v>
      </c>
      <c r="Q392">
        <f t="shared" si="68"/>
        <v>6.9486868556280008</v>
      </c>
      <c r="R392">
        <f t="shared" si="69"/>
        <v>-2.3162289518206602</v>
      </c>
    </row>
    <row r="393" spans="1:18" x14ac:dyDescent="0.3">
      <c r="A393">
        <v>6</v>
      </c>
      <c r="B393">
        <v>-1</v>
      </c>
      <c r="E393">
        <f t="shared" si="60"/>
        <v>0.26722909587301741</v>
      </c>
      <c r="F393">
        <f t="shared" si="61"/>
        <v>-4.5058662242361866E-2</v>
      </c>
      <c r="H393">
        <f t="shared" si="62"/>
        <v>0.2655266491559844</v>
      </c>
      <c r="I393">
        <f t="shared" si="63"/>
        <v>-4.4622614916396713E-2</v>
      </c>
      <c r="K393">
        <f t="shared" si="64"/>
        <v>0.26766420189105994</v>
      </c>
      <c r="L393">
        <f t="shared" si="65"/>
        <v>-4.4238323851777846E-2</v>
      </c>
      <c r="N393">
        <f t="shared" si="66"/>
        <v>0.26595618571876306</v>
      </c>
      <c r="O393">
        <f t="shared" si="67"/>
        <v>-4.3809754386285434E-2</v>
      </c>
      <c r="Q393">
        <f t="shared" si="68"/>
        <v>7.0663761326388244</v>
      </c>
      <c r="R393">
        <f t="shared" si="69"/>
        <v>-1.1777293553968218</v>
      </c>
    </row>
    <row r="394" spans="1:18" x14ac:dyDescent="0.3">
      <c r="A394">
        <v>6</v>
      </c>
      <c r="B394">
        <v>0</v>
      </c>
      <c r="E394">
        <f t="shared" si="60"/>
        <v>0.27870485852163429</v>
      </c>
      <c r="F394">
        <f t="shared" si="61"/>
        <v>-4.652835701529788E-4</v>
      </c>
      <c r="H394">
        <f t="shared" si="62"/>
        <v>0.27685301181390637</v>
      </c>
      <c r="I394">
        <f t="shared" si="63"/>
        <v>-4.606539298068326E-4</v>
      </c>
      <c r="K394">
        <f t="shared" si="64"/>
        <v>0.27870485852163429</v>
      </c>
      <c r="L394">
        <f t="shared" si="65"/>
        <v>4.652835701529788E-4</v>
      </c>
      <c r="N394">
        <f t="shared" si="66"/>
        <v>0.27685301181390637</v>
      </c>
      <c r="O394">
        <f t="shared" si="67"/>
        <v>4.606539298068326E-4</v>
      </c>
      <c r="Q394">
        <f t="shared" si="68"/>
        <v>7.1111157406710817</v>
      </c>
      <c r="R394">
        <f t="shared" si="69"/>
        <v>0</v>
      </c>
    </row>
    <row r="395" spans="1:18" x14ac:dyDescent="0.3">
      <c r="A395">
        <v>6</v>
      </c>
      <c r="B395">
        <v>1</v>
      </c>
      <c r="E395">
        <f t="shared" si="60"/>
        <v>0.26766420189105994</v>
      </c>
      <c r="F395">
        <f t="shared" si="61"/>
        <v>4.4238323851777846E-2</v>
      </c>
      <c r="H395">
        <f t="shared" si="62"/>
        <v>0.26595618571876306</v>
      </c>
      <c r="I395">
        <f t="shared" si="63"/>
        <v>4.3809754386285434E-2</v>
      </c>
      <c r="K395">
        <f t="shared" si="64"/>
        <v>0.26722909587301741</v>
      </c>
      <c r="L395">
        <f t="shared" si="65"/>
        <v>4.5058662242361866E-2</v>
      </c>
      <c r="N395">
        <f t="shared" si="66"/>
        <v>0.2655266491559844</v>
      </c>
      <c r="O395">
        <f t="shared" si="67"/>
        <v>4.4622614916396713E-2</v>
      </c>
      <c r="Q395">
        <f t="shared" si="68"/>
        <v>7.0663761326388244</v>
      </c>
      <c r="R395">
        <f t="shared" si="69"/>
        <v>1.1777293553968218</v>
      </c>
    </row>
    <row r="396" spans="1:18" x14ac:dyDescent="0.3">
      <c r="A396">
        <v>6</v>
      </c>
      <c r="B396">
        <v>2</v>
      </c>
      <c r="E396">
        <f t="shared" si="60"/>
        <v>0.23820153592002005</v>
      </c>
      <c r="F396">
        <f t="shared" si="61"/>
        <v>7.9135401749722847E-2</v>
      </c>
      <c r="H396">
        <f t="shared" si="62"/>
        <v>0.23685341563311588</v>
      </c>
      <c r="I396">
        <f t="shared" si="63"/>
        <v>7.8425673395990117E-2</v>
      </c>
      <c r="K396">
        <f t="shared" si="64"/>
        <v>0.23748586167836205</v>
      </c>
      <c r="L396">
        <f t="shared" si="65"/>
        <v>7.9690581297747531E-2</v>
      </c>
      <c r="N396">
        <f t="shared" si="66"/>
        <v>0.2361460423965033</v>
      </c>
      <c r="O396">
        <f t="shared" si="67"/>
        <v>7.8977295377199927E-2</v>
      </c>
      <c r="Q396">
        <f t="shared" si="68"/>
        <v>6.9486868556280008</v>
      </c>
      <c r="R396">
        <f t="shared" si="69"/>
        <v>2.3162289518206602</v>
      </c>
    </row>
    <row r="397" spans="1:18" x14ac:dyDescent="0.3">
      <c r="A397">
        <v>6</v>
      </c>
      <c r="B397">
        <v>3</v>
      </c>
      <c r="E397">
        <f t="shared" si="60"/>
        <v>0.199625555274418</v>
      </c>
      <c r="F397">
        <f t="shared" si="61"/>
        <v>9.9646145287230356E-2</v>
      </c>
      <c r="H397">
        <f t="shared" si="62"/>
        <v>0.19869402134296577</v>
      </c>
      <c r="I397">
        <f t="shared" si="63"/>
        <v>9.8851102132357357E-2</v>
      </c>
      <c r="K397">
        <f t="shared" si="64"/>
        <v>0.1988265245108472</v>
      </c>
      <c r="L397">
        <f t="shared" si="65"/>
        <v>9.9911158393597668E-2</v>
      </c>
      <c r="N397">
        <f t="shared" si="66"/>
        <v>0.19790294106589029</v>
      </c>
      <c r="O397">
        <f t="shared" si="67"/>
        <v>9.9116115242650543E-2</v>
      </c>
      <c r="Q397">
        <f t="shared" si="68"/>
        <v>6.7950490421941208</v>
      </c>
      <c r="R397">
        <f t="shared" si="69"/>
        <v>3.397524521055836</v>
      </c>
    </row>
    <row r="398" spans="1:18" x14ac:dyDescent="0.3">
      <c r="A398">
        <v>6</v>
      </c>
      <c r="B398">
        <v>4</v>
      </c>
      <c r="E398">
        <f t="shared" si="60"/>
        <v>0.1606681035678362</v>
      </c>
      <c r="F398">
        <f t="shared" si="61"/>
        <v>0.10702265997256534</v>
      </c>
      <c r="H398">
        <f t="shared" si="62"/>
        <v>0.16009067529011761</v>
      </c>
      <c r="I398">
        <f t="shared" si="63"/>
        <v>0.10628316046714964</v>
      </c>
      <c r="K398">
        <f t="shared" si="64"/>
        <v>0.15992656205952094</v>
      </c>
      <c r="L398">
        <f t="shared" si="65"/>
        <v>0.10706269012665758</v>
      </c>
      <c r="N398">
        <f t="shared" si="66"/>
        <v>0.15935519333484977</v>
      </c>
      <c r="O398">
        <f t="shared" si="67"/>
        <v>0.1063251789139347</v>
      </c>
      <c r="Q398">
        <f t="shared" si="68"/>
        <v>6.640040534252325</v>
      </c>
      <c r="R398">
        <f t="shared" si="69"/>
        <v>4.4266936894803077</v>
      </c>
    </row>
    <row r="399" spans="1:18" x14ac:dyDescent="0.3">
      <c r="A399">
        <v>6</v>
      </c>
      <c r="B399">
        <v>5</v>
      </c>
      <c r="E399">
        <f t="shared" si="60"/>
        <v>0.12641064147385839</v>
      </c>
      <c r="F399">
        <f t="shared" si="61"/>
        <v>0.10530702853999223</v>
      </c>
      <c r="H399">
        <f t="shared" si="62"/>
        <v>0.12608517683359033</v>
      </c>
      <c r="I399">
        <f t="shared" si="63"/>
        <v>0.10468636146416237</v>
      </c>
      <c r="K399">
        <f t="shared" si="64"/>
        <v>0.12578925812734471</v>
      </c>
      <c r="L399">
        <f t="shared" si="65"/>
        <v>0.10520937950216977</v>
      </c>
      <c r="N399">
        <f t="shared" si="66"/>
        <v>0.1254678210723249</v>
      </c>
      <c r="O399">
        <f t="shared" si="67"/>
        <v>0.10459131174248715</v>
      </c>
      <c r="Q399">
        <f t="shared" si="68"/>
        <v>6.5037528975071179</v>
      </c>
      <c r="R399">
        <f t="shared" si="69"/>
        <v>5.4197940812488117</v>
      </c>
    </row>
    <row r="400" spans="1:18" x14ac:dyDescent="0.3">
      <c r="A400">
        <v>6</v>
      </c>
      <c r="B400">
        <v>6</v>
      </c>
      <c r="E400">
        <f t="shared" si="60"/>
        <v>9.8537459648460751E-2</v>
      </c>
      <c r="F400">
        <f t="shared" si="61"/>
        <v>9.8537459648460751E-2</v>
      </c>
      <c r="H400">
        <f t="shared" si="62"/>
        <v>9.8372547404173991E-2</v>
      </c>
      <c r="I400">
        <f t="shared" si="63"/>
        <v>9.8045184517637649E-2</v>
      </c>
      <c r="K400">
        <f t="shared" si="64"/>
        <v>9.8045184517637649E-2</v>
      </c>
      <c r="L400">
        <f t="shared" si="65"/>
        <v>9.8372547404173991E-2</v>
      </c>
      <c r="N400">
        <f t="shared" si="66"/>
        <v>9.7882727509966447E-2</v>
      </c>
      <c r="O400">
        <f t="shared" si="67"/>
        <v>9.7882727509966447E-2</v>
      </c>
      <c r="Q400">
        <f t="shared" si="68"/>
        <v>6.3928379190802387</v>
      </c>
      <c r="R400">
        <f t="shared" si="69"/>
        <v>6.3928379190802387</v>
      </c>
    </row>
    <row r="401" spans="1:18" x14ac:dyDescent="0.3">
      <c r="A401">
        <v>6</v>
      </c>
      <c r="B401">
        <v>7</v>
      </c>
      <c r="E401">
        <f t="shared" si="60"/>
        <v>7.678786547706648E-2</v>
      </c>
      <c r="F401">
        <f t="shared" si="61"/>
        <v>8.960720862849661E-2</v>
      </c>
      <c r="H401">
        <f t="shared" si="62"/>
        <v>7.671810179268207E-2</v>
      </c>
      <c r="I401">
        <f t="shared" si="63"/>
        <v>8.9227875462703457E-2</v>
      </c>
      <c r="K401">
        <f t="shared" si="64"/>
        <v>7.6408845718817786E-2</v>
      </c>
      <c r="L401">
        <f t="shared" si="65"/>
        <v>8.9420034806162368E-2</v>
      </c>
      <c r="N401">
        <f t="shared" si="66"/>
        <v>7.6340491444599812E-2</v>
      </c>
      <c r="O401">
        <f t="shared" si="67"/>
        <v>8.9042736277311935E-2</v>
      </c>
      <c r="Q401">
        <f t="shared" si="68"/>
        <v>6.306255304433166</v>
      </c>
      <c r="R401">
        <f t="shared" si="69"/>
        <v>7.3572978551746742</v>
      </c>
    </row>
    <row r="402" spans="1:18" x14ac:dyDescent="0.3">
      <c r="A402">
        <v>6</v>
      </c>
      <c r="B402">
        <v>8</v>
      </c>
      <c r="E402">
        <f t="shared" si="60"/>
        <v>6.0152282451850649E-2</v>
      </c>
      <c r="F402">
        <f t="shared" si="61"/>
        <v>8.0236516993370061E-2</v>
      </c>
      <c r="H402">
        <f t="shared" si="62"/>
        <v>6.0135897558442876E-2</v>
      </c>
      <c r="I402">
        <f t="shared" si="63"/>
        <v>7.994772404192324E-2</v>
      </c>
      <c r="K402">
        <f t="shared" si="64"/>
        <v>5.9863898441640681E-2</v>
      </c>
      <c r="L402">
        <f t="shared" si="65"/>
        <v>8.0051723959522841E-2</v>
      </c>
      <c r="N402">
        <f t="shared" si="66"/>
        <v>5.9848281549448969E-2</v>
      </c>
      <c r="O402">
        <f t="shared" si="67"/>
        <v>7.97645150101641E-2</v>
      </c>
      <c r="Q402">
        <f t="shared" si="68"/>
        <v>6.2400003600013836</v>
      </c>
      <c r="R402">
        <f t="shared" si="69"/>
        <v>8.32000048000498</v>
      </c>
    </row>
    <row r="403" spans="1:18" x14ac:dyDescent="0.3">
      <c r="A403">
        <v>6</v>
      </c>
      <c r="B403">
        <v>9</v>
      </c>
      <c r="E403">
        <f t="shared" si="60"/>
        <v>4.7513762431380786E-2</v>
      </c>
      <c r="F403">
        <f t="shared" si="61"/>
        <v>7.1310304550603221E-2</v>
      </c>
      <c r="H403">
        <f t="shared" si="62"/>
        <v>4.7525722034348683E-2</v>
      </c>
      <c r="I403">
        <f t="shared" si="63"/>
        <v>7.1090888700298616E-2</v>
      </c>
      <c r="K403">
        <f t="shared" si="64"/>
        <v>4.7294749519611795E-2</v>
      </c>
      <c r="L403">
        <f t="shared" si="65"/>
        <v>7.1139514719816735E-2</v>
      </c>
      <c r="N403">
        <f t="shared" si="66"/>
        <v>4.7307101871004342E-2</v>
      </c>
      <c r="O403">
        <f t="shared" si="67"/>
        <v>7.0921295816597188E-2</v>
      </c>
      <c r="Q403">
        <f t="shared" si="68"/>
        <v>6.1896413358563453</v>
      </c>
      <c r="R403">
        <f t="shared" si="69"/>
        <v>9.2844620037873149</v>
      </c>
    </row>
    <row r="404" spans="1:18" x14ac:dyDescent="0.3">
      <c r="A404">
        <v>6</v>
      </c>
      <c r="B404">
        <v>10</v>
      </c>
      <c r="E404">
        <f t="shared" si="60"/>
        <v>3.7901125755359116E-2</v>
      </c>
      <c r="F404">
        <f t="shared" si="61"/>
        <v>6.3210725591992908E-2</v>
      </c>
      <c r="H404">
        <f t="shared" si="62"/>
        <v>3.7926997640641107E-2</v>
      </c>
      <c r="I404">
        <f t="shared" si="63"/>
        <v>6.3043378773711259E-2</v>
      </c>
      <c r="K404">
        <f t="shared" si="64"/>
        <v>3.7734136318049075E-2</v>
      </c>
      <c r="L404">
        <f t="shared" si="65"/>
        <v>6.3058214448025243E-2</v>
      </c>
      <c r="N404">
        <f t="shared" si="66"/>
        <v>3.7760188193359114E-2</v>
      </c>
      <c r="O404">
        <f t="shared" si="67"/>
        <v>6.2891761034197122E-2</v>
      </c>
      <c r="Q404">
        <f t="shared" si="68"/>
        <v>6.1513224479074085</v>
      </c>
      <c r="R404">
        <f t="shared" si="69"/>
        <v>10.252204079847926</v>
      </c>
    </row>
    <row r="405" spans="1:18" x14ac:dyDescent="0.3">
      <c r="A405">
        <v>7</v>
      </c>
      <c r="B405">
        <v>-10</v>
      </c>
      <c r="E405">
        <f t="shared" si="60"/>
        <v>3.8409143815026761E-2</v>
      </c>
      <c r="F405">
        <f t="shared" si="61"/>
        <v>-5.5003652301633461E-2</v>
      </c>
      <c r="H405">
        <f t="shared" si="62"/>
        <v>3.8410762193170335E-2</v>
      </c>
      <c r="I405">
        <f t="shared" si="63"/>
        <v>-5.4849034173129106E-2</v>
      </c>
      <c r="K405">
        <f t="shared" si="64"/>
        <v>3.8564269272052781E-2</v>
      </c>
      <c r="L405">
        <f t="shared" si="65"/>
        <v>-5.5115457800830797E-2</v>
      </c>
      <c r="N405">
        <f t="shared" si="66"/>
        <v>3.8565602350683285E-2</v>
      </c>
      <c r="O405">
        <f t="shared" si="67"/>
        <v>-5.496010948406934E-2</v>
      </c>
      <c r="Q405">
        <f t="shared" si="68"/>
        <v>7.1539497776309329</v>
      </c>
      <c r="R405">
        <f t="shared" si="69"/>
        <v>-10.219928253759663</v>
      </c>
    </row>
    <row r="406" spans="1:18" x14ac:dyDescent="0.3">
      <c r="A406">
        <v>7</v>
      </c>
      <c r="B406">
        <v>-9</v>
      </c>
      <c r="E406">
        <f t="shared" si="60"/>
        <v>4.7136869092503191E-2</v>
      </c>
      <c r="F406">
        <f t="shared" si="61"/>
        <v>-6.0758682478319566E-2</v>
      </c>
      <c r="H406">
        <f t="shared" si="62"/>
        <v>4.7119471562277422E-2</v>
      </c>
      <c r="I406">
        <f t="shared" si="63"/>
        <v>-6.0562972721272409E-2</v>
      </c>
      <c r="K406">
        <f t="shared" si="64"/>
        <v>4.7333287408785583E-2</v>
      </c>
      <c r="L406">
        <f t="shared" si="65"/>
        <v>-6.0876431159511073E-2</v>
      </c>
      <c r="N406">
        <f t="shared" si="66"/>
        <v>4.7315394062741337E-2</v>
      </c>
      <c r="O406">
        <f t="shared" si="67"/>
        <v>-6.0679799233101947E-2</v>
      </c>
      <c r="Q406">
        <f t="shared" si="68"/>
        <v>7.188905022126308</v>
      </c>
      <c r="R406">
        <f t="shared" si="69"/>
        <v>-9.2428778855922058</v>
      </c>
    </row>
    <row r="407" spans="1:18" x14ac:dyDescent="0.3">
      <c r="A407">
        <v>7</v>
      </c>
      <c r="B407">
        <v>-8</v>
      </c>
      <c r="E407">
        <f t="shared" si="60"/>
        <v>5.8175894350690434E-2</v>
      </c>
      <c r="F407">
        <f t="shared" si="61"/>
        <v>-6.6665080650791186E-2</v>
      </c>
      <c r="H407">
        <f t="shared" si="62"/>
        <v>5.8126209549018051E-2</v>
      </c>
      <c r="I407">
        <f t="shared" si="63"/>
        <v>-6.6418108200803794E-2</v>
      </c>
      <c r="K407">
        <f t="shared" si="64"/>
        <v>5.8423846368657217E-2</v>
      </c>
      <c r="L407">
        <f t="shared" si="65"/>
        <v>-6.6782050427120335E-2</v>
      </c>
      <c r="N407">
        <f t="shared" si="66"/>
        <v>5.8373335393657071E-2</v>
      </c>
      <c r="O407">
        <f t="shared" si="67"/>
        <v>-6.6533944335994299E-2</v>
      </c>
      <c r="Q407">
        <f t="shared" si="68"/>
        <v>7.2330992856620231</v>
      </c>
      <c r="R407">
        <f t="shared" si="69"/>
        <v>-8.266399183614709</v>
      </c>
    </row>
    <row r="408" spans="1:18" x14ac:dyDescent="0.3">
      <c r="A408">
        <v>7</v>
      </c>
      <c r="B408">
        <v>-7</v>
      </c>
      <c r="E408">
        <f t="shared" si="60"/>
        <v>7.2050455829307872E-2</v>
      </c>
      <c r="F408">
        <f t="shared" si="61"/>
        <v>-7.2256608778747955E-2</v>
      </c>
      <c r="H408">
        <f t="shared" si="62"/>
        <v>7.1948040519509301E-2</v>
      </c>
      <c r="I408">
        <f t="shared" si="63"/>
        <v>-7.1948040519509301E-2</v>
      </c>
      <c r="K408">
        <f t="shared" si="64"/>
        <v>7.2360349363442558E-2</v>
      </c>
      <c r="L408">
        <f t="shared" si="65"/>
        <v>-7.2360349363442558E-2</v>
      </c>
      <c r="N408">
        <f t="shared" si="66"/>
        <v>7.2256608778747955E-2</v>
      </c>
      <c r="O408">
        <f t="shared" si="67"/>
        <v>-7.2050455829307872E-2</v>
      </c>
      <c r="Q408">
        <f t="shared" si="68"/>
        <v>7.2886154544910076</v>
      </c>
      <c r="R408">
        <f t="shared" si="69"/>
        <v>-7.2886154544910076</v>
      </c>
    </row>
    <row r="409" spans="1:18" x14ac:dyDescent="0.3">
      <c r="A409">
        <v>7</v>
      </c>
      <c r="B409">
        <v>-6</v>
      </c>
      <c r="E409">
        <f t="shared" si="60"/>
        <v>8.9227875462703457E-2</v>
      </c>
      <c r="F409">
        <f t="shared" si="61"/>
        <v>-7.671810179268207E-2</v>
      </c>
      <c r="H409">
        <f t="shared" si="62"/>
        <v>8.9042736277311935E-2</v>
      </c>
      <c r="I409">
        <f t="shared" si="63"/>
        <v>-7.6340491444599812E-2</v>
      </c>
      <c r="K409">
        <f t="shared" si="64"/>
        <v>8.960720862849661E-2</v>
      </c>
      <c r="L409">
        <f t="shared" si="65"/>
        <v>-7.678786547706648E-2</v>
      </c>
      <c r="N409">
        <f t="shared" si="66"/>
        <v>8.9420034806162368E-2</v>
      </c>
      <c r="O409">
        <f t="shared" si="67"/>
        <v>-7.6408845718817786E-2</v>
      </c>
      <c r="Q409">
        <f t="shared" si="68"/>
        <v>7.3572978551746742</v>
      </c>
      <c r="R409">
        <f t="shared" si="69"/>
        <v>-6.306255304433166</v>
      </c>
    </row>
    <row r="410" spans="1:18" x14ac:dyDescent="0.3">
      <c r="A410">
        <v>7</v>
      </c>
      <c r="B410">
        <v>-5</v>
      </c>
      <c r="E410">
        <f t="shared" si="60"/>
        <v>0.10989553823770178</v>
      </c>
      <c r="F410">
        <f t="shared" si="61"/>
        <v>-7.8766329981528729E-2</v>
      </c>
      <c r="H410">
        <f t="shared" si="62"/>
        <v>0.10958707068613606</v>
      </c>
      <c r="I410">
        <f t="shared" si="63"/>
        <v>-7.8321144670120066E-2</v>
      </c>
      <c r="K410">
        <f t="shared" si="64"/>
        <v>0.11034281196968607</v>
      </c>
      <c r="L410">
        <f t="shared" si="65"/>
        <v>-7.8771191949747285E-2</v>
      </c>
      <c r="N410">
        <f t="shared" si="66"/>
        <v>0.11003140110063062</v>
      </c>
      <c r="O410">
        <f t="shared" si="67"/>
        <v>-7.8324777673630067E-2</v>
      </c>
      <c r="Q410">
        <f t="shared" si="68"/>
        <v>7.4398568219941543</v>
      </c>
      <c r="R410">
        <f t="shared" si="69"/>
        <v>-5.3141834442750264</v>
      </c>
    </row>
    <row r="411" spans="1:18" x14ac:dyDescent="0.3">
      <c r="A411">
        <v>7</v>
      </c>
      <c r="B411">
        <v>-4</v>
      </c>
      <c r="E411">
        <f t="shared" si="60"/>
        <v>0.13356932862264034</v>
      </c>
      <c r="F411">
        <f t="shared" si="61"/>
        <v>-7.6625609124003971E-2</v>
      </c>
      <c r="H411">
        <f t="shared" si="62"/>
        <v>0.13308981721079305</v>
      </c>
      <c r="I411">
        <f t="shared" si="63"/>
        <v>-7.6132691442978614E-2</v>
      </c>
      <c r="K411">
        <f t="shared" si="64"/>
        <v>0.13406448647682484</v>
      </c>
      <c r="L411">
        <f t="shared" si="65"/>
        <v>-7.6526080263595295E-2</v>
      </c>
      <c r="N411">
        <f t="shared" si="66"/>
        <v>0.13358107279013426</v>
      </c>
      <c r="O411">
        <f t="shared" si="67"/>
        <v>-7.6032593499662723E-2</v>
      </c>
      <c r="Q411">
        <f t="shared" si="68"/>
        <v>7.5343047051003929</v>
      </c>
      <c r="R411">
        <f t="shared" si="69"/>
        <v>-4.3053169743302409</v>
      </c>
    </row>
    <row r="412" spans="1:18" x14ac:dyDescent="0.3">
      <c r="A412">
        <v>7</v>
      </c>
      <c r="B412">
        <v>-3</v>
      </c>
      <c r="E412">
        <f t="shared" si="60"/>
        <v>0.15857404205713507</v>
      </c>
      <c r="F412">
        <f t="shared" si="61"/>
        <v>-6.8284387209152572E-2</v>
      </c>
      <c r="H412">
        <f t="shared" si="62"/>
        <v>0.15788152125874733</v>
      </c>
      <c r="I412">
        <f t="shared" si="63"/>
        <v>-6.7792208129647563E-2</v>
      </c>
      <c r="K412">
        <f t="shared" si="64"/>
        <v>0.15906812576744567</v>
      </c>
      <c r="L412">
        <f t="shared" si="65"/>
        <v>-6.8042016601525396E-2</v>
      </c>
      <c r="N412">
        <f t="shared" si="66"/>
        <v>0.15837107445918841</v>
      </c>
      <c r="O412">
        <f t="shared" si="67"/>
        <v>-6.7550572415545421E-2</v>
      </c>
      <c r="Q412">
        <f t="shared" si="68"/>
        <v>7.6338947635425161</v>
      </c>
      <c r="R412">
        <f t="shared" si="69"/>
        <v>-3.2716691843558712</v>
      </c>
    </row>
    <row r="413" spans="1:18" x14ac:dyDescent="0.3">
      <c r="A413">
        <v>7</v>
      </c>
      <c r="B413">
        <v>-2</v>
      </c>
      <c r="E413">
        <f t="shared" si="60"/>
        <v>0.18167334174285107</v>
      </c>
      <c r="F413">
        <f t="shared" si="61"/>
        <v>-5.2240832174982918E-2</v>
      </c>
      <c r="H413">
        <f t="shared" si="62"/>
        <v>0.18075614416811436</v>
      </c>
      <c r="I413">
        <f t="shared" si="63"/>
        <v>-5.1828794547490703E-2</v>
      </c>
      <c r="K413">
        <f t="shared" si="64"/>
        <v>0.18208623403874749</v>
      </c>
      <c r="L413">
        <f t="shared" si="65"/>
        <v>-5.1838570205594778E-2</v>
      </c>
      <c r="N413">
        <f t="shared" si="66"/>
        <v>0.18116478490747856</v>
      </c>
      <c r="O413">
        <f t="shared" si="67"/>
        <v>-5.1429090152051687E-2</v>
      </c>
      <c r="Q413">
        <f t="shared" si="68"/>
        <v>7.7256805048571913</v>
      </c>
      <c r="R413">
        <f t="shared" si="69"/>
        <v>-2.20733728708012</v>
      </c>
    </row>
    <row r="414" spans="1:18" x14ac:dyDescent="0.3">
      <c r="A414">
        <v>7</v>
      </c>
      <c r="B414">
        <v>-1</v>
      </c>
      <c r="E414">
        <f t="shared" si="60"/>
        <v>0.19841974926867118</v>
      </c>
      <c r="F414">
        <f t="shared" si="61"/>
        <v>-2.8670092526660643E-2</v>
      </c>
      <c r="H414">
        <f t="shared" si="62"/>
        <v>0.19732364479468731</v>
      </c>
      <c r="I414">
        <f t="shared" si="63"/>
        <v>-2.8430368222915003E-2</v>
      </c>
      <c r="K414">
        <f t="shared" si="64"/>
        <v>0.19865866430729232</v>
      </c>
      <c r="L414">
        <f t="shared" si="65"/>
        <v>-2.8136205674423372E-2</v>
      </c>
      <c r="N414">
        <f t="shared" si="66"/>
        <v>0.19755991241889012</v>
      </c>
      <c r="O414">
        <f t="shared" si="67"/>
        <v>-2.7900757959301171E-2</v>
      </c>
      <c r="Q414">
        <f t="shared" si="68"/>
        <v>7.7919619707895409</v>
      </c>
      <c r="R414">
        <f t="shared" si="69"/>
        <v>-1.1131374243833001</v>
      </c>
    </row>
    <row r="415" spans="1:18" x14ac:dyDescent="0.3">
      <c r="A415">
        <v>7</v>
      </c>
      <c r="B415">
        <v>0</v>
      </c>
      <c r="E415">
        <f t="shared" si="60"/>
        <v>0.20466534657485971</v>
      </c>
      <c r="F415">
        <f t="shared" si="61"/>
        <v>-2.92797348461888E-4</v>
      </c>
      <c r="H415">
        <f t="shared" si="62"/>
        <v>0.203499168196834</v>
      </c>
      <c r="I415">
        <f t="shared" si="63"/>
        <v>-2.9029838544484166E-4</v>
      </c>
      <c r="K415">
        <f t="shared" si="64"/>
        <v>0.20466534657485971</v>
      </c>
      <c r="L415">
        <f t="shared" si="65"/>
        <v>2.92797348461888E-4</v>
      </c>
      <c r="N415">
        <f t="shared" si="66"/>
        <v>0.203499168196834</v>
      </c>
      <c r="O415">
        <f t="shared" si="67"/>
        <v>2.9029838544484166E-4</v>
      </c>
      <c r="Q415">
        <f t="shared" si="68"/>
        <v>7.8163290295433878</v>
      </c>
      <c r="R415">
        <f t="shared" si="69"/>
        <v>0</v>
      </c>
    </row>
    <row r="416" spans="1:18" x14ac:dyDescent="0.3">
      <c r="A416">
        <v>7</v>
      </c>
      <c r="B416">
        <v>1</v>
      </c>
      <c r="E416">
        <f t="shared" si="60"/>
        <v>0.19865866430729232</v>
      </c>
      <c r="F416">
        <f t="shared" si="61"/>
        <v>2.8136205674423372E-2</v>
      </c>
      <c r="H416">
        <f t="shared" si="62"/>
        <v>0.19755991241889012</v>
      </c>
      <c r="I416">
        <f t="shared" si="63"/>
        <v>2.7900757959301171E-2</v>
      </c>
      <c r="K416">
        <f t="shared" si="64"/>
        <v>0.19841974926867118</v>
      </c>
      <c r="L416">
        <f t="shared" si="65"/>
        <v>2.8670092526660643E-2</v>
      </c>
      <c r="N416">
        <f t="shared" si="66"/>
        <v>0.19732364479468731</v>
      </c>
      <c r="O416">
        <f t="shared" si="67"/>
        <v>2.8430368222915003E-2</v>
      </c>
      <c r="Q416">
        <f t="shared" si="68"/>
        <v>7.7919619707895409</v>
      </c>
      <c r="R416">
        <f t="shared" si="69"/>
        <v>1.1131374243833001</v>
      </c>
    </row>
    <row r="417" spans="1:18" x14ac:dyDescent="0.3">
      <c r="A417">
        <v>7</v>
      </c>
      <c r="B417">
        <v>2</v>
      </c>
      <c r="E417">
        <f t="shared" si="60"/>
        <v>0.18208623403874749</v>
      </c>
      <c r="F417">
        <f t="shared" si="61"/>
        <v>5.1838570205594778E-2</v>
      </c>
      <c r="H417">
        <f t="shared" si="62"/>
        <v>0.18116478490747856</v>
      </c>
      <c r="I417">
        <f t="shared" si="63"/>
        <v>5.1429090152051687E-2</v>
      </c>
      <c r="K417">
        <f t="shared" si="64"/>
        <v>0.18167334174285107</v>
      </c>
      <c r="L417">
        <f t="shared" si="65"/>
        <v>5.2240832174982918E-2</v>
      </c>
      <c r="N417">
        <f t="shared" si="66"/>
        <v>0.18075614416811436</v>
      </c>
      <c r="O417">
        <f t="shared" si="67"/>
        <v>5.1828794547490703E-2</v>
      </c>
      <c r="Q417">
        <f t="shared" si="68"/>
        <v>7.7256805048571913</v>
      </c>
      <c r="R417">
        <f t="shared" si="69"/>
        <v>2.20733728708012</v>
      </c>
    </row>
    <row r="418" spans="1:18" x14ac:dyDescent="0.3">
      <c r="A418">
        <v>7</v>
      </c>
      <c r="B418">
        <v>3</v>
      </c>
      <c r="E418">
        <f t="shared" si="60"/>
        <v>0.15906812576744567</v>
      </c>
      <c r="F418">
        <f t="shared" si="61"/>
        <v>6.8042016601525396E-2</v>
      </c>
      <c r="H418">
        <f t="shared" si="62"/>
        <v>0.15837107445918841</v>
      </c>
      <c r="I418">
        <f t="shared" si="63"/>
        <v>6.7550572415545421E-2</v>
      </c>
      <c r="K418">
        <f t="shared" si="64"/>
        <v>0.15857404205713507</v>
      </c>
      <c r="L418">
        <f t="shared" si="65"/>
        <v>6.8284387209152572E-2</v>
      </c>
      <c r="N418">
        <f t="shared" si="66"/>
        <v>0.15788152125874733</v>
      </c>
      <c r="O418">
        <f t="shared" si="67"/>
        <v>6.7792208129647563E-2</v>
      </c>
      <c r="Q418">
        <f t="shared" si="68"/>
        <v>7.6338947635425161</v>
      </c>
      <c r="R418">
        <f t="shared" si="69"/>
        <v>3.2716691843558712</v>
      </c>
    </row>
    <row r="419" spans="1:18" x14ac:dyDescent="0.3">
      <c r="A419">
        <v>7</v>
      </c>
      <c r="B419">
        <v>4</v>
      </c>
      <c r="E419">
        <f t="shared" si="60"/>
        <v>0.13406448647682484</v>
      </c>
      <c r="F419">
        <f t="shared" si="61"/>
        <v>7.6526080263595295E-2</v>
      </c>
      <c r="H419">
        <f t="shared" si="62"/>
        <v>0.13358107279013426</v>
      </c>
      <c r="I419">
        <f t="shared" si="63"/>
        <v>7.6032593499662723E-2</v>
      </c>
      <c r="K419">
        <f t="shared" si="64"/>
        <v>0.13356932862264034</v>
      </c>
      <c r="L419">
        <f t="shared" si="65"/>
        <v>7.6625609124003971E-2</v>
      </c>
      <c r="N419">
        <f t="shared" si="66"/>
        <v>0.13308981721079305</v>
      </c>
      <c r="O419">
        <f t="shared" si="67"/>
        <v>7.6132691442978614E-2</v>
      </c>
      <c r="Q419">
        <f t="shared" si="68"/>
        <v>7.5343047051003929</v>
      </c>
      <c r="R419">
        <f t="shared" si="69"/>
        <v>4.3053169743302409</v>
      </c>
    </row>
    <row r="420" spans="1:18" x14ac:dyDescent="0.3">
      <c r="A420">
        <v>7</v>
      </c>
      <c r="B420">
        <v>5</v>
      </c>
      <c r="E420">
        <f t="shared" si="60"/>
        <v>0.11034281196968607</v>
      </c>
      <c r="F420">
        <f t="shared" si="61"/>
        <v>7.8771191949747285E-2</v>
      </c>
      <c r="H420">
        <f t="shared" si="62"/>
        <v>0.11003140110063062</v>
      </c>
      <c r="I420">
        <f t="shared" si="63"/>
        <v>7.8324777673630067E-2</v>
      </c>
      <c r="K420">
        <f t="shared" si="64"/>
        <v>0.10989553823770178</v>
      </c>
      <c r="L420">
        <f t="shared" si="65"/>
        <v>7.8766329981528729E-2</v>
      </c>
      <c r="N420">
        <f t="shared" si="66"/>
        <v>0.10958707068613606</v>
      </c>
      <c r="O420">
        <f t="shared" si="67"/>
        <v>7.8321144670120066E-2</v>
      </c>
      <c r="Q420">
        <f t="shared" si="68"/>
        <v>7.4398568219941543</v>
      </c>
      <c r="R420">
        <f t="shared" si="69"/>
        <v>5.3141834442750264</v>
      </c>
    </row>
    <row r="421" spans="1:18" x14ac:dyDescent="0.3">
      <c r="A421">
        <v>7</v>
      </c>
      <c r="B421">
        <v>6</v>
      </c>
      <c r="E421">
        <f t="shared" si="60"/>
        <v>8.960720862849661E-2</v>
      </c>
      <c r="F421">
        <f t="shared" si="61"/>
        <v>7.678786547706648E-2</v>
      </c>
      <c r="H421">
        <f t="shared" si="62"/>
        <v>8.9420034806162368E-2</v>
      </c>
      <c r="I421">
        <f t="shared" si="63"/>
        <v>7.6408845718817786E-2</v>
      </c>
      <c r="K421">
        <f t="shared" si="64"/>
        <v>8.9227875462703457E-2</v>
      </c>
      <c r="L421">
        <f t="shared" si="65"/>
        <v>7.671810179268207E-2</v>
      </c>
      <c r="N421">
        <f t="shared" si="66"/>
        <v>8.9042736277311935E-2</v>
      </c>
      <c r="O421">
        <f t="shared" si="67"/>
        <v>7.6340491444599812E-2</v>
      </c>
      <c r="Q421">
        <f t="shared" si="68"/>
        <v>7.3572978551746742</v>
      </c>
      <c r="R421">
        <f t="shared" si="69"/>
        <v>6.306255304433166</v>
      </c>
    </row>
    <row r="422" spans="1:18" x14ac:dyDescent="0.3">
      <c r="A422">
        <v>7</v>
      </c>
      <c r="B422">
        <v>7</v>
      </c>
      <c r="E422">
        <f t="shared" si="60"/>
        <v>7.2360349363442558E-2</v>
      </c>
      <c r="F422">
        <f t="shared" si="61"/>
        <v>7.2360349363442558E-2</v>
      </c>
      <c r="H422">
        <f t="shared" si="62"/>
        <v>7.2256608778747955E-2</v>
      </c>
      <c r="I422">
        <f t="shared" si="63"/>
        <v>7.2050455829307872E-2</v>
      </c>
      <c r="K422">
        <f t="shared" si="64"/>
        <v>7.2050455829307872E-2</v>
      </c>
      <c r="L422">
        <f t="shared" si="65"/>
        <v>7.2256608778747955E-2</v>
      </c>
      <c r="N422">
        <f t="shared" si="66"/>
        <v>7.1948040519509301E-2</v>
      </c>
      <c r="O422">
        <f t="shared" si="67"/>
        <v>7.1948040519509301E-2</v>
      </c>
      <c r="Q422">
        <f t="shared" si="68"/>
        <v>7.2886154544910076</v>
      </c>
      <c r="R422">
        <f t="shared" si="69"/>
        <v>7.2886154544910076</v>
      </c>
    </row>
    <row r="423" spans="1:18" x14ac:dyDescent="0.3">
      <c r="A423">
        <v>7</v>
      </c>
      <c r="B423">
        <v>8</v>
      </c>
      <c r="E423">
        <f t="shared" si="60"/>
        <v>5.8423846368657217E-2</v>
      </c>
      <c r="F423">
        <f t="shared" si="61"/>
        <v>6.6782050427120335E-2</v>
      </c>
      <c r="H423">
        <f t="shared" si="62"/>
        <v>5.8373335393657071E-2</v>
      </c>
      <c r="I423">
        <f t="shared" si="63"/>
        <v>6.6533944335994299E-2</v>
      </c>
      <c r="K423">
        <f t="shared" si="64"/>
        <v>5.8175894350690434E-2</v>
      </c>
      <c r="L423">
        <f t="shared" si="65"/>
        <v>6.6665080650791186E-2</v>
      </c>
      <c r="N423">
        <f t="shared" si="66"/>
        <v>5.8126209549018051E-2</v>
      </c>
      <c r="O423">
        <f t="shared" si="67"/>
        <v>6.6418108200803794E-2</v>
      </c>
      <c r="Q423">
        <f t="shared" si="68"/>
        <v>7.2330992856620231</v>
      </c>
      <c r="R423">
        <f t="shared" si="69"/>
        <v>8.266399183614709</v>
      </c>
    </row>
    <row r="424" spans="1:18" x14ac:dyDescent="0.3">
      <c r="A424">
        <v>7</v>
      </c>
      <c r="B424">
        <v>9</v>
      </c>
      <c r="E424">
        <f t="shared" si="60"/>
        <v>4.7333287408785583E-2</v>
      </c>
      <c r="F424">
        <f t="shared" si="61"/>
        <v>6.0876431159511073E-2</v>
      </c>
      <c r="H424">
        <f t="shared" si="62"/>
        <v>4.7315394062741337E-2</v>
      </c>
      <c r="I424">
        <f t="shared" si="63"/>
        <v>6.0679799233101947E-2</v>
      </c>
      <c r="K424">
        <f t="shared" si="64"/>
        <v>4.7136869092503191E-2</v>
      </c>
      <c r="L424">
        <f t="shared" si="65"/>
        <v>6.0758682478319566E-2</v>
      </c>
      <c r="N424">
        <f t="shared" si="66"/>
        <v>4.7119471562277422E-2</v>
      </c>
      <c r="O424">
        <f t="shared" si="67"/>
        <v>6.0562972721272409E-2</v>
      </c>
      <c r="Q424">
        <f t="shared" si="68"/>
        <v>7.1889050221263071</v>
      </c>
      <c r="R424">
        <f t="shared" si="69"/>
        <v>9.2428778855922058</v>
      </c>
    </row>
    <row r="425" spans="1:18" x14ac:dyDescent="0.3">
      <c r="A425">
        <v>7</v>
      </c>
      <c r="B425">
        <v>10</v>
      </c>
      <c r="E425">
        <f t="shared" si="60"/>
        <v>3.8564269272052781E-2</v>
      </c>
      <c r="F425">
        <f t="shared" si="61"/>
        <v>5.5115457800830797E-2</v>
      </c>
      <c r="H425">
        <f t="shared" si="62"/>
        <v>3.8565602350683285E-2</v>
      </c>
      <c r="I425">
        <f t="shared" si="63"/>
        <v>5.496010948406934E-2</v>
      </c>
      <c r="K425">
        <f t="shared" si="64"/>
        <v>3.8409143815026761E-2</v>
      </c>
      <c r="L425">
        <f t="shared" si="65"/>
        <v>5.5003652301633461E-2</v>
      </c>
      <c r="N425">
        <f t="shared" si="66"/>
        <v>3.8410762193170335E-2</v>
      </c>
      <c r="O425">
        <f t="shared" si="67"/>
        <v>5.4849034173129106E-2</v>
      </c>
      <c r="Q425">
        <f t="shared" si="68"/>
        <v>7.1539497776309329</v>
      </c>
      <c r="R425">
        <f t="shared" si="69"/>
        <v>10.219928253759663</v>
      </c>
    </row>
    <row r="426" spans="1:18" x14ac:dyDescent="0.3">
      <c r="A426">
        <v>8</v>
      </c>
      <c r="B426">
        <v>-10</v>
      </c>
      <c r="E426">
        <f t="shared" si="60"/>
        <v>3.8029563806284618E-2</v>
      </c>
      <c r="F426">
        <f t="shared" si="61"/>
        <v>-4.7644046771077475E-2</v>
      </c>
      <c r="H426">
        <f t="shared" si="62"/>
        <v>3.8013470804877651E-2</v>
      </c>
      <c r="I426">
        <f t="shared" si="63"/>
        <v>-4.7504974126944481E-2</v>
      </c>
      <c r="K426">
        <f t="shared" si="64"/>
        <v>3.8169087446898425E-2</v>
      </c>
      <c r="L426">
        <f t="shared" si="65"/>
        <v>-4.7723302076910543E-2</v>
      </c>
      <c r="N426">
        <f t="shared" si="66"/>
        <v>3.8152663045282378E-2</v>
      </c>
      <c r="O426">
        <f t="shared" si="67"/>
        <v>-4.7583658404790383E-2</v>
      </c>
      <c r="Q426">
        <f t="shared" si="68"/>
        <v>8.1523647851033427</v>
      </c>
      <c r="R426">
        <f t="shared" si="69"/>
        <v>-10.190455981379722</v>
      </c>
    </row>
    <row r="427" spans="1:18" x14ac:dyDescent="0.3">
      <c r="A427">
        <v>8</v>
      </c>
      <c r="B427">
        <v>-9</v>
      </c>
      <c r="E427">
        <f t="shared" si="60"/>
        <v>4.5751362246610819E-2</v>
      </c>
      <c r="F427">
        <f t="shared" si="61"/>
        <v>-5.1591961682348364E-2</v>
      </c>
      <c r="H427">
        <f t="shared" si="62"/>
        <v>4.5714490716399263E-2</v>
      </c>
      <c r="I427">
        <f t="shared" si="63"/>
        <v>-5.1421668084239376E-2</v>
      </c>
      <c r="K427">
        <f t="shared" si="64"/>
        <v>4.5922253064255673E-2</v>
      </c>
      <c r="L427">
        <f t="shared" si="65"/>
        <v>-5.1669719029744494E-2</v>
      </c>
      <c r="N427">
        <f t="shared" si="66"/>
        <v>4.5884866691736172E-2</v>
      </c>
      <c r="O427">
        <f t="shared" si="67"/>
        <v>-5.1498745512947336E-2</v>
      </c>
      <c r="Q427">
        <f t="shared" si="68"/>
        <v>8.1832729727190028</v>
      </c>
      <c r="R427">
        <f t="shared" si="69"/>
        <v>-9.2061820943092787</v>
      </c>
    </row>
    <row r="428" spans="1:18" x14ac:dyDescent="0.3">
      <c r="A428">
        <v>8</v>
      </c>
      <c r="B428">
        <v>-8</v>
      </c>
      <c r="E428">
        <f t="shared" si="60"/>
        <v>5.5173534570576666E-2</v>
      </c>
      <c r="F428">
        <f t="shared" si="61"/>
        <v>-5.5311641040089995E-2</v>
      </c>
      <c r="H428">
        <f t="shared" si="62"/>
        <v>5.5104869006325385E-2</v>
      </c>
      <c r="I428">
        <f t="shared" si="63"/>
        <v>-5.5104869006325385E-2</v>
      </c>
      <c r="K428">
        <f t="shared" si="64"/>
        <v>5.5381083455895895E-2</v>
      </c>
      <c r="L428">
        <f t="shared" si="65"/>
        <v>-5.5381083455895895E-2</v>
      </c>
      <c r="N428">
        <f t="shared" si="66"/>
        <v>5.5311641040089995E-2</v>
      </c>
      <c r="O428">
        <f t="shared" si="67"/>
        <v>-5.5173534570576666E-2</v>
      </c>
      <c r="Q428">
        <f t="shared" si="68"/>
        <v>8.2209711280728879</v>
      </c>
      <c r="R428">
        <f t="shared" si="69"/>
        <v>-8.2209711280728879</v>
      </c>
    </row>
    <row r="429" spans="1:18" x14ac:dyDescent="0.3">
      <c r="A429">
        <v>8</v>
      </c>
      <c r="B429">
        <v>-7</v>
      </c>
      <c r="E429">
        <f t="shared" si="60"/>
        <v>6.6533944335994299E-2</v>
      </c>
      <c r="F429">
        <f t="shared" si="61"/>
        <v>-5.8373335393657071E-2</v>
      </c>
      <c r="H429">
        <f t="shared" si="62"/>
        <v>6.6418108200803794E-2</v>
      </c>
      <c r="I429">
        <f t="shared" si="63"/>
        <v>-5.8126209549018051E-2</v>
      </c>
      <c r="K429">
        <f t="shared" si="64"/>
        <v>6.6782050427120335E-2</v>
      </c>
      <c r="L429">
        <f t="shared" si="65"/>
        <v>-5.8423846368657217E-2</v>
      </c>
      <c r="N429">
        <f t="shared" si="66"/>
        <v>6.6665080650791186E-2</v>
      </c>
      <c r="O429">
        <f t="shared" si="67"/>
        <v>-5.8175894350690434E-2</v>
      </c>
      <c r="Q429">
        <f t="shared" si="68"/>
        <v>8.266399183614709</v>
      </c>
      <c r="R429">
        <f t="shared" si="69"/>
        <v>-7.2330992856620231</v>
      </c>
    </row>
    <row r="430" spans="1:18" x14ac:dyDescent="0.3">
      <c r="A430">
        <v>8</v>
      </c>
      <c r="B430">
        <v>-6</v>
      </c>
      <c r="E430">
        <f t="shared" si="60"/>
        <v>7.994772404192324E-2</v>
      </c>
      <c r="F430">
        <f t="shared" si="61"/>
        <v>-6.0135897558442876E-2</v>
      </c>
      <c r="H430">
        <f t="shared" si="62"/>
        <v>7.97645150101641E-2</v>
      </c>
      <c r="I430">
        <f t="shared" si="63"/>
        <v>-5.9848281549448969E-2</v>
      </c>
      <c r="K430">
        <f t="shared" si="64"/>
        <v>8.0236516993370061E-2</v>
      </c>
      <c r="L430">
        <f t="shared" si="65"/>
        <v>-6.0152282451850649E-2</v>
      </c>
      <c r="N430">
        <f t="shared" si="66"/>
        <v>8.0051723959522841E-2</v>
      </c>
      <c r="O430">
        <f t="shared" si="67"/>
        <v>-5.9863898441640681E-2</v>
      </c>
      <c r="Q430">
        <f t="shared" si="68"/>
        <v>8.32000048000498</v>
      </c>
      <c r="R430">
        <f t="shared" si="69"/>
        <v>-6.2400003600013836</v>
      </c>
    </row>
    <row r="431" spans="1:18" x14ac:dyDescent="0.3">
      <c r="A431">
        <v>8</v>
      </c>
      <c r="B431">
        <v>-5</v>
      </c>
      <c r="E431">
        <f t="shared" si="60"/>
        <v>9.5257598116170517E-2</v>
      </c>
      <c r="F431">
        <f t="shared" si="61"/>
        <v>-5.9729732986484887E-2</v>
      </c>
      <c r="H431">
        <f t="shared" si="62"/>
        <v>9.4982967237656424E-2</v>
      </c>
      <c r="I431">
        <f t="shared" si="63"/>
        <v>-5.9408822204826302E-2</v>
      </c>
      <c r="K431">
        <f t="shared" si="64"/>
        <v>9.5579812569658779E-2</v>
      </c>
      <c r="L431">
        <f t="shared" si="65"/>
        <v>-5.9692523745005922E-2</v>
      </c>
      <c r="N431">
        <f t="shared" si="66"/>
        <v>9.5303097685749433E-2</v>
      </c>
      <c r="O431">
        <f t="shared" si="67"/>
        <v>-5.9371093314842659E-2</v>
      </c>
      <c r="Q431">
        <f t="shared" si="68"/>
        <v>8.3811234756092343</v>
      </c>
      <c r="R431">
        <f t="shared" si="69"/>
        <v>-5.2382021722511594</v>
      </c>
    </row>
    <row r="432" spans="1:18" x14ac:dyDescent="0.3">
      <c r="A432">
        <v>8</v>
      </c>
      <c r="B432">
        <v>-4</v>
      </c>
      <c r="E432">
        <f t="shared" si="60"/>
        <v>0.11183092992117269</v>
      </c>
      <c r="F432">
        <f t="shared" si="61"/>
        <v>-5.612541038597027E-2</v>
      </c>
      <c r="H432">
        <f t="shared" si="62"/>
        <v>0.11144087473225464</v>
      </c>
      <c r="I432">
        <f t="shared" si="63"/>
        <v>-5.5790000958344702E-2</v>
      </c>
      <c r="K432">
        <f t="shared" si="64"/>
        <v>0.1121676000742366</v>
      </c>
      <c r="L432">
        <f t="shared" si="65"/>
        <v>-5.6013607546458573E-2</v>
      </c>
      <c r="N432">
        <f t="shared" si="66"/>
        <v>0.1117750293048258</v>
      </c>
      <c r="O432">
        <f t="shared" si="67"/>
        <v>-5.5678198118134209E-2</v>
      </c>
      <c r="Q432">
        <f t="shared" si="68"/>
        <v>8.4472144340324888</v>
      </c>
      <c r="R432">
        <f t="shared" si="69"/>
        <v>-4.2236072170089081</v>
      </c>
    </row>
    <row r="433" spans="1:18" x14ac:dyDescent="0.3">
      <c r="A433">
        <v>8</v>
      </c>
      <c r="B433">
        <v>-3</v>
      </c>
      <c r="E433">
        <f t="shared" si="60"/>
        <v>0.12836709102946858</v>
      </c>
      <c r="F433">
        <f t="shared" si="61"/>
        <v>-4.8358566207597042E-2</v>
      </c>
      <c r="H433">
        <f t="shared" si="62"/>
        <v>0.12784570719451649</v>
      </c>
      <c r="I433">
        <f t="shared" si="63"/>
        <v>-4.804189496323278E-2</v>
      </c>
      <c r="K433">
        <f t="shared" si="64"/>
        <v>0.128684699363807</v>
      </c>
      <c r="L433">
        <f t="shared" si="65"/>
        <v>-4.8156101514115514E-2</v>
      </c>
      <c r="N433">
        <f t="shared" si="66"/>
        <v>0.12816064024298163</v>
      </c>
      <c r="O433">
        <f t="shared" si="67"/>
        <v>-4.7840238992074298E-2</v>
      </c>
      <c r="Q433">
        <f t="shared" si="68"/>
        <v>8.5130581378307735</v>
      </c>
      <c r="R433">
        <f t="shared" si="69"/>
        <v>-3.1923968016770194</v>
      </c>
    </row>
    <row r="434" spans="1:18" x14ac:dyDescent="0.3">
      <c r="A434">
        <v>8</v>
      </c>
      <c r="B434">
        <v>-2</v>
      </c>
      <c r="E434">
        <f t="shared" si="60"/>
        <v>0.14286706059011742</v>
      </c>
      <c r="F434">
        <f t="shared" si="61"/>
        <v>-3.5940274316162195E-2</v>
      </c>
      <c r="H434">
        <f t="shared" si="62"/>
        <v>0.14221782867363916</v>
      </c>
      <c r="I434">
        <f t="shared" si="63"/>
        <v>-3.5687619929340157E-2</v>
      </c>
      <c r="K434">
        <f t="shared" si="64"/>
        <v>0.14311999647382992</v>
      </c>
      <c r="L434">
        <f t="shared" si="65"/>
        <v>-3.5645656193106577E-2</v>
      </c>
      <c r="N434">
        <f t="shared" si="66"/>
        <v>0.14246843200504949</v>
      </c>
      <c r="O434">
        <f t="shared" si="67"/>
        <v>-3.5394778987521663E-2</v>
      </c>
      <c r="Q434">
        <f t="shared" si="68"/>
        <v>8.5706733177426351</v>
      </c>
      <c r="R434">
        <f t="shared" si="69"/>
        <v>-2.1426683294261304</v>
      </c>
    </row>
    <row r="435" spans="1:18" x14ac:dyDescent="0.3">
      <c r="A435">
        <v>8</v>
      </c>
      <c r="B435">
        <v>-1</v>
      </c>
      <c r="E435">
        <f t="shared" si="60"/>
        <v>0.15296052095094578</v>
      </c>
      <c r="F435">
        <f t="shared" si="61"/>
        <v>-1.9335435063886762E-2</v>
      </c>
      <c r="H435">
        <f t="shared" si="62"/>
        <v>0.15221553659012035</v>
      </c>
      <c r="I435">
        <f t="shared" si="63"/>
        <v>-1.9193219969540768E-2</v>
      </c>
      <c r="K435">
        <f t="shared" si="64"/>
        <v>0.15310212876720117</v>
      </c>
      <c r="L435">
        <f t="shared" si="65"/>
        <v>-1.897010106126773E-2</v>
      </c>
      <c r="N435">
        <f t="shared" si="66"/>
        <v>0.15235576235077741</v>
      </c>
      <c r="O435">
        <f t="shared" si="67"/>
        <v>-1.883048748155676E-2</v>
      </c>
      <c r="Q435">
        <f t="shared" si="68"/>
        <v>8.6106339486590446</v>
      </c>
      <c r="R435">
        <f t="shared" si="69"/>
        <v>-1.0763292435762519</v>
      </c>
    </row>
    <row r="436" spans="1:18" x14ac:dyDescent="0.3">
      <c r="A436">
        <v>8</v>
      </c>
      <c r="B436">
        <v>0</v>
      </c>
      <c r="E436">
        <f t="shared" si="60"/>
        <v>0.15664099059748046</v>
      </c>
      <c r="F436">
        <f t="shared" si="61"/>
        <v>-1.9604629611699682E-4</v>
      </c>
      <c r="H436">
        <f t="shared" si="62"/>
        <v>0.15585974181819576</v>
      </c>
      <c r="I436">
        <f t="shared" si="63"/>
        <v>-1.9458145045967012E-4</v>
      </c>
      <c r="K436">
        <f t="shared" si="64"/>
        <v>0.15664099059748046</v>
      </c>
      <c r="L436">
        <f t="shared" si="65"/>
        <v>1.9604629611699682E-4</v>
      </c>
      <c r="N436">
        <f t="shared" si="66"/>
        <v>0.15585974181819576</v>
      </c>
      <c r="O436">
        <f t="shared" si="67"/>
        <v>1.9458145045967012E-4</v>
      </c>
      <c r="Q436">
        <f t="shared" si="68"/>
        <v>8.6250014648313531</v>
      </c>
      <c r="R436">
        <f t="shared" si="69"/>
        <v>0</v>
      </c>
    </row>
    <row r="437" spans="1:18" x14ac:dyDescent="0.3">
      <c r="A437">
        <v>8</v>
      </c>
      <c r="B437">
        <v>1</v>
      </c>
      <c r="E437">
        <f t="shared" si="60"/>
        <v>0.15310212876720117</v>
      </c>
      <c r="F437">
        <f t="shared" si="61"/>
        <v>1.897010106126773E-2</v>
      </c>
      <c r="H437">
        <f t="shared" si="62"/>
        <v>0.15235576235077741</v>
      </c>
      <c r="I437">
        <f t="shared" si="63"/>
        <v>1.883048748155676E-2</v>
      </c>
      <c r="K437">
        <f t="shared" si="64"/>
        <v>0.15296052095094578</v>
      </c>
      <c r="L437">
        <f t="shared" si="65"/>
        <v>1.9335435063886762E-2</v>
      </c>
      <c r="N437">
        <f t="shared" si="66"/>
        <v>0.15221553659012035</v>
      </c>
      <c r="O437">
        <f t="shared" si="67"/>
        <v>1.9193219969540768E-2</v>
      </c>
      <c r="Q437">
        <f t="shared" si="68"/>
        <v>8.6106339486590446</v>
      </c>
      <c r="R437">
        <f t="shared" si="69"/>
        <v>1.0763292435762519</v>
      </c>
    </row>
    <row r="438" spans="1:18" x14ac:dyDescent="0.3">
      <c r="A438">
        <v>8</v>
      </c>
      <c r="B438">
        <v>2</v>
      </c>
      <c r="E438">
        <f t="shared" si="60"/>
        <v>0.14311999647382992</v>
      </c>
      <c r="F438">
        <f t="shared" si="61"/>
        <v>3.5645656193106577E-2</v>
      </c>
      <c r="H438">
        <f t="shared" si="62"/>
        <v>0.14246843200504949</v>
      </c>
      <c r="I438">
        <f t="shared" si="63"/>
        <v>3.5394778987521663E-2</v>
      </c>
      <c r="K438">
        <f t="shared" si="64"/>
        <v>0.14286706059011742</v>
      </c>
      <c r="L438">
        <f t="shared" si="65"/>
        <v>3.5940274316162195E-2</v>
      </c>
      <c r="N438">
        <f t="shared" si="66"/>
        <v>0.14221782867363916</v>
      </c>
      <c r="O438">
        <f t="shared" si="67"/>
        <v>3.5687619929340157E-2</v>
      </c>
      <c r="Q438">
        <f t="shared" si="68"/>
        <v>8.5706733177426369</v>
      </c>
      <c r="R438">
        <f t="shared" si="69"/>
        <v>2.1426683294261304</v>
      </c>
    </row>
    <row r="439" spans="1:18" x14ac:dyDescent="0.3">
      <c r="A439">
        <v>8</v>
      </c>
      <c r="B439">
        <v>3</v>
      </c>
      <c r="E439">
        <f t="shared" si="60"/>
        <v>0.128684699363807</v>
      </c>
      <c r="F439">
        <f t="shared" si="61"/>
        <v>4.8156101514115514E-2</v>
      </c>
      <c r="H439">
        <f t="shared" si="62"/>
        <v>0.12816064024298163</v>
      </c>
      <c r="I439">
        <f t="shared" si="63"/>
        <v>4.7840238992074298E-2</v>
      </c>
      <c r="K439">
        <f t="shared" si="64"/>
        <v>0.12836709102946858</v>
      </c>
      <c r="L439">
        <f t="shared" si="65"/>
        <v>4.8358566207597042E-2</v>
      </c>
      <c r="N439">
        <f t="shared" si="66"/>
        <v>0.12784570719451649</v>
      </c>
      <c r="O439">
        <f t="shared" si="67"/>
        <v>4.804189496323278E-2</v>
      </c>
      <c r="Q439">
        <f t="shared" si="68"/>
        <v>8.5130581378307735</v>
      </c>
      <c r="R439">
        <f t="shared" si="69"/>
        <v>3.1923968016770194</v>
      </c>
    </row>
    <row r="440" spans="1:18" x14ac:dyDescent="0.3">
      <c r="A440">
        <v>8</v>
      </c>
      <c r="B440">
        <v>4</v>
      </c>
      <c r="E440">
        <f t="shared" si="60"/>
        <v>0.1121676000742366</v>
      </c>
      <c r="F440">
        <f t="shared" si="61"/>
        <v>5.6013607546458573E-2</v>
      </c>
      <c r="H440">
        <f t="shared" si="62"/>
        <v>0.1117750293048258</v>
      </c>
      <c r="I440">
        <f t="shared" si="63"/>
        <v>5.5678198118134209E-2</v>
      </c>
      <c r="K440">
        <f t="shared" si="64"/>
        <v>0.11183092992117269</v>
      </c>
      <c r="L440">
        <f t="shared" si="65"/>
        <v>5.612541038597027E-2</v>
      </c>
      <c r="N440">
        <f t="shared" si="66"/>
        <v>0.11144087473225464</v>
      </c>
      <c r="O440">
        <f t="shared" si="67"/>
        <v>5.5790000958344702E-2</v>
      </c>
      <c r="Q440">
        <f t="shared" si="68"/>
        <v>8.4472144340324888</v>
      </c>
      <c r="R440">
        <f t="shared" si="69"/>
        <v>4.2236072170089081</v>
      </c>
    </row>
    <row r="441" spans="1:18" x14ac:dyDescent="0.3">
      <c r="A441">
        <v>8</v>
      </c>
      <c r="B441">
        <v>5</v>
      </c>
      <c r="E441">
        <f t="shared" si="60"/>
        <v>9.5579812569658779E-2</v>
      </c>
      <c r="F441">
        <f t="shared" si="61"/>
        <v>5.9692523745005922E-2</v>
      </c>
      <c r="H441">
        <f t="shared" si="62"/>
        <v>9.5303097685749433E-2</v>
      </c>
      <c r="I441">
        <f t="shared" si="63"/>
        <v>5.9371093314842659E-2</v>
      </c>
      <c r="K441">
        <f t="shared" si="64"/>
        <v>9.5257598116170517E-2</v>
      </c>
      <c r="L441">
        <f t="shared" si="65"/>
        <v>5.9729732986484887E-2</v>
      </c>
      <c r="N441">
        <f t="shared" si="66"/>
        <v>9.4982967237656424E-2</v>
      </c>
      <c r="O441">
        <f t="shared" si="67"/>
        <v>5.9408822204826302E-2</v>
      </c>
      <c r="Q441">
        <f t="shared" si="68"/>
        <v>8.3811234756092343</v>
      </c>
      <c r="R441">
        <f t="shared" si="69"/>
        <v>5.2382021722511594</v>
      </c>
    </row>
    <row r="442" spans="1:18" x14ac:dyDescent="0.3">
      <c r="A442">
        <v>8</v>
      </c>
      <c r="B442">
        <v>6</v>
      </c>
      <c r="E442">
        <f t="shared" si="60"/>
        <v>8.0236516993370061E-2</v>
      </c>
      <c r="F442">
        <f t="shared" si="61"/>
        <v>6.0152282451850649E-2</v>
      </c>
      <c r="H442">
        <f t="shared" si="62"/>
        <v>8.0051723959522841E-2</v>
      </c>
      <c r="I442">
        <f t="shared" si="63"/>
        <v>5.9863898441640681E-2</v>
      </c>
      <c r="K442">
        <f t="shared" si="64"/>
        <v>7.994772404192324E-2</v>
      </c>
      <c r="L442">
        <f t="shared" si="65"/>
        <v>6.0135897558442876E-2</v>
      </c>
      <c r="N442">
        <f t="shared" si="66"/>
        <v>7.97645150101641E-2</v>
      </c>
      <c r="O442">
        <f t="shared" si="67"/>
        <v>5.9848281549448969E-2</v>
      </c>
      <c r="Q442">
        <f t="shared" si="68"/>
        <v>8.32000048000498</v>
      </c>
      <c r="R442">
        <f t="shared" si="69"/>
        <v>6.2400003600013836</v>
      </c>
    </row>
    <row r="443" spans="1:18" x14ac:dyDescent="0.3">
      <c r="A443">
        <v>8</v>
      </c>
      <c r="B443">
        <v>7</v>
      </c>
      <c r="E443">
        <f t="shared" si="60"/>
        <v>6.6782050427120335E-2</v>
      </c>
      <c r="F443">
        <f t="shared" si="61"/>
        <v>5.8423846368657217E-2</v>
      </c>
      <c r="H443">
        <f t="shared" si="62"/>
        <v>6.6665080650791186E-2</v>
      </c>
      <c r="I443">
        <f t="shared" si="63"/>
        <v>5.8175894350690434E-2</v>
      </c>
      <c r="K443">
        <f t="shared" si="64"/>
        <v>6.6533944335994299E-2</v>
      </c>
      <c r="L443">
        <f t="shared" si="65"/>
        <v>5.8373335393657071E-2</v>
      </c>
      <c r="N443">
        <f t="shared" si="66"/>
        <v>6.6418108200803794E-2</v>
      </c>
      <c r="O443">
        <f t="shared" si="67"/>
        <v>5.8126209549018051E-2</v>
      </c>
      <c r="Q443">
        <f t="shared" si="68"/>
        <v>8.266399183614709</v>
      </c>
      <c r="R443">
        <f t="shared" si="69"/>
        <v>7.2330992856620231</v>
      </c>
    </row>
    <row r="444" spans="1:18" x14ac:dyDescent="0.3">
      <c r="A444">
        <v>8</v>
      </c>
      <c r="B444">
        <v>8</v>
      </c>
      <c r="E444">
        <f t="shared" si="60"/>
        <v>5.5381083455895895E-2</v>
      </c>
      <c r="F444">
        <f t="shared" si="61"/>
        <v>5.5381083455895895E-2</v>
      </c>
      <c r="H444">
        <f t="shared" si="62"/>
        <v>5.5311641040089995E-2</v>
      </c>
      <c r="I444">
        <f t="shared" si="63"/>
        <v>5.5173534570576666E-2</v>
      </c>
      <c r="K444">
        <f t="shared" si="64"/>
        <v>5.5173534570576666E-2</v>
      </c>
      <c r="L444">
        <f t="shared" si="65"/>
        <v>5.5311641040089995E-2</v>
      </c>
      <c r="N444">
        <f t="shared" si="66"/>
        <v>5.5104869006325385E-2</v>
      </c>
      <c r="O444">
        <f t="shared" si="67"/>
        <v>5.5104869006325385E-2</v>
      </c>
      <c r="Q444">
        <f t="shared" si="68"/>
        <v>8.2209711280728879</v>
      </c>
      <c r="R444">
        <f t="shared" si="69"/>
        <v>8.2209711280728879</v>
      </c>
    </row>
    <row r="445" spans="1:18" x14ac:dyDescent="0.3">
      <c r="A445">
        <v>8</v>
      </c>
      <c r="B445">
        <v>9</v>
      </c>
      <c r="E445">
        <f t="shared" si="60"/>
        <v>4.5922253064255673E-2</v>
      </c>
      <c r="F445">
        <f t="shared" si="61"/>
        <v>5.1669719029744494E-2</v>
      </c>
      <c r="H445">
        <f t="shared" si="62"/>
        <v>4.5884866691736172E-2</v>
      </c>
      <c r="I445">
        <f t="shared" si="63"/>
        <v>5.1498745512947336E-2</v>
      </c>
      <c r="K445">
        <f t="shared" si="64"/>
        <v>4.5751362246610819E-2</v>
      </c>
      <c r="L445">
        <f t="shared" si="65"/>
        <v>5.1591961682348364E-2</v>
      </c>
      <c r="N445">
        <f t="shared" si="66"/>
        <v>4.5714490716399263E-2</v>
      </c>
      <c r="O445">
        <f t="shared" si="67"/>
        <v>5.1421668084239376E-2</v>
      </c>
      <c r="Q445">
        <f t="shared" si="68"/>
        <v>8.1832729727190028</v>
      </c>
      <c r="R445">
        <f t="shared" si="69"/>
        <v>9.2061820943092787</v>
      </c>
    </row>
    <row r="446" spans="1:18" x14ac:dyDescent="0.3">
      <c r="A446">
        <v>8</v>
      </c>
      <c r="B446">
        <v>10</v>
      </c>
      <c r="E446">
        <f t="shared" si="60"/>
        <v>3.8169087446898425E-2</v>
      </c>
      <c r="F446">
        <f t="shared" si="61"/>
        <v>4.7723302076910543E-2</v>
      </c>
      <c r="H446">
        <f t="shared" si="62"/>
        <v>3.8152663045282378E-2</v>
      </c>
      <c r="I446">
        <f t="shared" si="63"/>
        <v>4.7583658404790383E-2</v>
      </c>
      <c r="K446">
        <f t="shared" si="64"/>
        <v>3.8029563806284618E-2</v>
      </c>
      <c r="L446">
        <f t="shared" si="65"/>
        <v>4.7644046771077475E-2</v>
      </c>
      <c r="N446">
        <f t="shared" si="66"/>
        <v>3.8013470804877651E-2</v>
      </c>
      <c r="O446">
        <f t="shared" si="67"/>
        <v>4.7504974126944481E-2</v>
      </c>
      <c r="Q446">
        <f t="shared" si="68"/>
        <v>8.1523647851033427</v>
      </c>
      <c r="R446">
        <f t="shared" si="69"/>
        <v>10.190455981379722</v>
      </c>
    </row>
    <row r="447" spans="1:18" x14ac:dyDescent="0.3">
      <c r="A447">
        <v>9</v>
      </c>
      <c r="B447">
        <v>-10</v>
      </c>
      <c r="E447">
        <f t="shared" si="60"/>
        <v>3.6912132077102977E-2</v>
      </c>
      <c r="F447">
        <f t="shared" si="61"/>
        <v>-4.1100160410656367E-2</v>
      </c>
      <c r="H447">
        <f t="shared" si="62"/>
        <v>3.688416671256043E-2</v>
      </c>
      <c r="I447">
        <f t="shared" si="63"/>
        <v>-4.0977858911512753E-2</v>
      </c>
      <c r="K447">
        <f t="shared" si="64"/>
        <v>3.7034817892529652E-2</v>
      </c>
      <c r="L447">
        <f t="shared" si="65"/>
        <v>-4.1154374943979E-2</v>
      </c>
      <c r="N447">
        <f t="shared" si="66"/>
        <v>3.700651558641576E-2</v>
      </c>
      <c r="O447">
        <f t="shared" si="67"/>
        <v>-4.103164158804589E-2</v>
      </c>
      <c r="Q447">
        <f t="shared" si="68"/>
        <v>9.1478376322686081</v>
      </c>
      <c r="R447">
        <f t="shared" si="69"/>
        <v>-10.164264035854194</v>
      </c>
    </row>
    <row r="448" spans="1:18" x14ac:dyDescent="0.3">
      <c r="A448">
        <v>9</v>
      </c>
      <c r="B448">
        <v>-9</v>
      </c>
      <c r="E448">
        <f t="shared" si="60"/>
        <v>4.3599987591678838E-2</v>
      </c>
      <c r="F448">
        <f t="shared" si="61"/>
        <v>-4.3696984227032956E-2</v>
      </c>
      <c r="H448">
        <f t="shared" si="62"/>
        <v>4.3551731347124992E-2</v>
      </c>
      <c r="I448">
        <f t="shared" si="63"/>
        <v>-4.3551731347124992E-2</v>
      </c>
      <c r="K448">
        <f t="shared" si="64"/>
        <v>4.3745725456077578E-2</v>
      </c>
      <c r="L448">
        <f t="shared" si="65"/>
        <v>-4.3745725456077578E-2</v>
      </c>
      <c r="N448">
        <f t="shared" si="66"/>
        <v>4.3696984227032956E-2</v>
      </c>
      <c r="O448">
        <f t="shared" si="67"/>
        <v>-4.3599987591678838E-2</v>
      </c>
      <c r="Q448">
        <f t="shared" si="68"/>
        <v>9.1745944286219139</v>
      </c>
      <c r="R448">
        <f t="shared" si="69"/>
        <v>-9.1745944286219139</v>
      </c>
    </row>
    <row r="449" spans="1:18" x14ac:dyDescent="0.3">
      <c r="A449">
        <v>9</v>
      </c>
      <c r="B449">
        <v>-8</v>
      </c>
      <c r="E449">
        <f t="shared" si="60"/>
        <v>5.1498745512947336E-2</v>
      </c>
      <c r="F449">
        <f t="shared" si="61"/>
        <v>-4.5884866691736172E-2</v>
      </c>
      <c r="H449">
        <f t="shared" si="62"/>
        <v>5.1421668084239376E-2</v>
      </c>
      <c r="I449">
        <f t="shared" si="63"/>
        <v>-4.5714490716399263E-2</v>
      </c>
      <c r="K449">
        <f t="shared" si="64"/>
        <v>5.1669719029744494E-2</v>
      </c>
      <c r="L449">
        <f t="shared" si="65"/>
        <v>-4.5922253064255673E-2</v>
      </c>
      <c r="N449">
        <f t="shared" si="66"/>
        <v>5.1591961682348364E-2</v>
      </c>
      <c r="O449">
        <f t="shared" si="67"/>
        <v>-4.5751362246610819E-2</v>
      </c>
      <c r="Q449">
        <f t="shared" si="68"/>
        <v>9.2061820943092787</v>
      </c>
      <c r="R449">
        <f t="shared" si="69"/>
        <v>-8.1832729727190028</v>
      </c>
    </row>
    <row r="450" spans="1:18" x14ac:dyDescent="0.3">
      <c r="A450">
        <v>9</v>
      </c>
      <c r="B450">
        <v>-7</v>
      </c>
      <c r="E450">
        <f t="shared" si="60"/>
        <v>6.0679799233101947E-2</v>
      </c>
      <c r="F450">
        <f t="shared" si="61"/>
        <v>-4.7315394062741337E-2</v>
      </c>
      <c r="H450">
        <f t="shared" si="62"/>
        <v>6.0562972721272409E-2</v>
      </c>
      <c r="I450">
        <f t="shared" si="63"/>
        <v>-4.7119471562277422E-2</v>
      </c>
      <c r="K450">
        <f t="shared" si="64"/>
        <v>6.0876431159511073E-2</v>
      </c>
      <c r="L450">
        <f t="shared" si="65"/>
        <v>-4.7333287408785583E-2</v>
      </c>
      <c r="N450">
        <f t="shared" si="66"/>
        <v>6.0758682478319566E-2</v>
      </c>
      <c r="O450">
        <f t="shared" si="67"/>
        <v>-4.7136869092503191E-2</v>
      </c>
      <c r="Q450">
        <f t="shared" si="68"/>
        <v>9.2428778855922058</v>
      </c>
      <c r="R450">
        <f t="shared" si="69"/>
        <v>-7.188905022126308</v>
      </c>
    </row>
    <row r="451" spans="1:18" x14ac:dyDescent="0.3">
      <c r="A451">
        <v>9</v>
      </c>
      <c r="B451">
        <v>-6</v>
      </c>
      <c r="E451">
        <f t="shared" si="60"/>
        <v>7.1090888700298616E-2</v>
      </c>
      <c r="F451">
        <f t="shared" si="61"/>
        <v>-4.7525722034348683E-2</v>
      </c>
      <c r="H451">
        <f t="shared" si="62"/>
        <v>7.0921295816597188E-2</v>
      </c>
      <c r="I451">
        <f t="shared" si="63"/>
        <v>-4.7307101871004342E-2</v>
      </c>
      <c r="K451">
        <f t="shared" si="64"/>
        <v>7.1310304550603221E-2</v>
      </c>
      <c r="L451">
        <f t="shared" si="65"/>
        <v>-4.7513762431380786E-2</v>
      </c>
      <c r="N451">
        <f t="shared" si="66"/>
        <v>7.1139514719816735E-2</v>
      </c>
      <c r="O451">
        <f t="shared" si="67"/>
        <v>-4.7294749519611795E-2</v>
      </c>
      <c r="Q451">
        <f t="shared" si="68"/>
        <v>9.2844620037873149</v>
      </c>
      <c r="R451">
        <f t="shared" si="69"/>
        <v>-6.1896413358563453</v>
      </c>
    </row>
    <row r="452" spans="1:18" x14ac:dyDescent="0.3">
      <c r="A452">
        <v>9</v>
      </c>
      <c r="B452">
        <v>-5</v>
      </c>
      <c r="E452">
        <f t="shared" si="60"/>
        <v>8.2469147182781949E-2</v>
      </c>
      <c r="F452">
        <f t="shared" si="61"/>
        <v>-4.5958890699192165E-2</v>
      </c>
      <c r="H452">
        <f t="shared" si="62"/>
        <v>8.2233021230635667E-2</v>
      </c>
      <c r="I452">
        <f t="shared" si="63"/>
        <v>-4.5725575623250247E-2</v>
      </c>
      <c r="K452">
        <f t="shared" si="64"/>
        <v>8.2703278801118246E-2</v>
      </c>
      <c r="L452">
        <f t="shared" si="65"/>
        <v>-4.5905379445781991E-2</v>
      </c>
      <c r="N452">
        <f t="shared" si="66"/>
        <v>8.2465689821649646E-2</v>
      </c>
      <c r="O452">
        <f t="shared" si="67"/>
        <v>-4.5671897026640595E-2</v>
      </c>
      <c r="Q452">
        <f t="shared" si="68"/>
        <v>9.3298711370361858</v>
      </c>
      <c r="R452">
        <f t="shared" si="69"/>
        <v>-5.1832617427948646</v>
      </c>
    </row>
    <row r="453" spans="1:18" x14ac:dyDescent="0.3">
      <c r="A453">
        <v>9</v>
      </c>
      <c r="B453">
        <v>-4</v>
      </c>
      <c r="E453">
        <f t="shared" si="60"/>
        <v>9.4248116886326672E-2</v>
      </c>
      <c r="F453">
        <f t="shared" si="61"/>
        <v>-4.2039482615591754E-2</v>
      </c>
      <c r="H453">
        <f t="shared" si="62"/>
        <v>9.3933835016068404E-2</v>
      </c>
      <c r="I453">
        <f t="shared" si="63"/>
        <v>-4.1806290612034877E-2</v>
      </c>
      <c r="K453">
        <f t="shared" si="64"/>
        <v>9.4482031000363065E-2</v>
      </c>
      <c r="L453">
        <f t="shared" si="65"/>
        <v>-4.1933626662007638E-2</v>
      </c>
      <c r="N453">
        <f t="shared" si="66"/>
        <v>9.4166104412075069E-2</v>
      </c>
      <c r="O453">
        <f t="shared" si="67"/>
        <v>-4.1700638912783528E-2</v>
      </c>
      <c r="Q453">
        <f t="shared" si="68"/>
        <v>9.3768300873148327</v>
      </c>
      <c r="R453">
        <f t="shared" si="69"/>
        <v>-4.1674800388024176</v>
      </c>
    </row>
    <row r="454" spans="1:18" x14ac:dyDescent="0.3">
      <c r="A454">
        <v>9</v>
      </c>
      <c r="B454">
        <v>-3</v>
      </c>
      <c r="E454">
        <f t="shared" si="60"/>
        <v>0.10550271758712416</v>
      </c>
      <c r="F454">
        <f t="shared" si="61"/>
        <v>-3.5324046711595516E-2</v>
      </c>
      <c r="H454">
        <f t="shared" si="62"/>
        <v>0.10510532446140128</v>
      </c>
      <c r="I454">
        <f t="shared" si="63"/>
        <v>-3.5112877539269463E-2</v>
      </c>
      <c r="K454">
        <f t="shared" si="64"/>
        <v>0.10571435743225191</v>
      </c>
      <c r="L454">
        <f t="shared" si="65"/>
        <v>-3.5159725108168324E-2</v>
      </c>
      <c r="N454">
        <f t="shared" si="66"/>
        <v>0.10531532460470273</v>
      </c>
      <c r="O454">
        <f t="shared" si="67"/>
        <v>-3.4949258664601683E-2</v>
      </c>
      <c r="Q454">
        <f t="shared" si="68"/>
        <v>9.4216377240854801</v>
      </c>
      <c r="R454">
        <f t="shared" si="69"/>
        <v>-3.1405459080236349</v>
      </c>
    </row>
    <row r="455" spans="1:18" x14ac:dyDescent="0.3">
      <c r="A455">
        <v>9</v>
      </c>
      <c r="B455">
        <v>-2</v>
      </c>
      <c r="E455">
        <f t="shared" ref="E455:E488" si="70">$D$2*G$3/(($A455-E$3)^2+($B455-F$3)^2)^(3/2)*($A455-E$3)</f>
        <v>0.11500152918872522</v>
      </c>
      <c r="F455">
        <f t="shared" ref="F455:F488" si="71">$D$2*G$3/(($A455-E$3)^2+($B455-F$3)^2)^(3/2)*($B455-F$3)</f>
        <v>-2.5712244012162142E-2</v>
      </c>
      <c r="H455">
        <f t="shared" ref="H455:H488" si="72">$D$2*J$3/(($A455-H$3)^2+($B455-I$3)^2)^(3/2)*($A455-H$3)</f>
        <v>0.11452781293113656</v>
      </c>
      <c r="I455">
        <f t="shared" ref="I455:I488" si="73">$D$2*J$3/(($A455-H$3)^2+($B455-I$3)^2)^(3/2)*($B455-I$3)</f>
        <v>-2.5549489899176967E-2</v>
      </c>
      <c r="K455">
        <f t="shared" ref="K455:K488" si="74">$D$2*M$3/(($A455-K$3)^2+($B455-L$3)^2)^(3/2)*($A455-K$3)</f>
        <v>0.1151643436018928</v>
      </c>
      <c r="L455">
        <f t="shared" ref="L455:L488" si="75">$D$2*M$3/(($A455-K$3)^2+($B455-L$3)^2)^(3/2)*($B455-L$3)</f>
        <v>-2.5492440908539117E-2</v>
      </c>
      <c r="N455">
        <f t="shared" ref="N455:N488" si="76">$D$2*P$3/(($A455-N$3)^2+($B455-O$3)^2)^(3/2)*($A455-N$3)</f>
        <v>0.11468927091981698</v>
      </c>
      <c r="O455">
        <f t="shared" ref="O455:O488" si="77">$D$2*P$3/(($A455-N$3)^2+($B455-O$3)^2)^(3/2)*($B455-O$3)</f>
        <v>-2.5330926651546706E-2</v>
      </c>
      <c r="Q455">
        <f t="shared" ref="Q455:Q488" si="78">SUM(E455,H455,K455,N455)+A455</f>
        <v>9.459382956641571</v>
      </c>
      <c r="R455">
        <f t="shared" ref="R455:R488" si="79">SUM(F455,I455,L455,O455)+B455</f>
        <v>-2.1020851014714248</v>
      </c>
    </row>
    <row r="456" spans="1:18" x14ac:dyDescent="0.3">
      <c r="A456">
        <v>9</v>
      </c>
      <c r="B456">
        <v>-1</v>
      </c>
      <c r="E456">
        <f t="shared" si="70"/>
        <v>0.12142543519747236</v>
      </c>
      <c r="F456">
        <f t="shared" si="71"/>
        <v>-1.3641789716289997E-2</v>
      </c>
      <c r="H456">
        <f t="shared" si="72"/>
        <v>0.1208969876026825</v>
      </c>
      <c r="I456">
        <f t="shared" si="73"/>
        <v>-1.3552270530378394E-2</v>
      </c>
      <c r="K456">
        <f t="shared" si="74"/>
        <v>0.12151451097831649</v>
      </c>
      <c r="L456">
        <f t="shared" si="75"/>
        <v>-1.3381464501505375E-2</v>
      </c>
      <c r="N456">
        <f t="shared" si="76"/>
        <v>0.12098528707215539</v>
      </c>
      <c r="O456">
        <f t="shared" si="77"/>
        <v>-1.3293610899160249E-2</v>
      </c>
      <c r="Q456">
        <f t="shared" si="78"/>
        <v>9.4848222208506261</v>
      </c>
      <c r="R456">
        <f t="shared" si="79"/>
        <v>-1.053869135647334</v>
      </c>
    </row>
    <row r="457" spans="1:18" x14ac:dyDescent="0.3">
      <c r="A457">
        <v>9</v>
      </c>
      <c r="B457">
        <v>0</v>
      </c>
      <c r="E457">
        <f t="shared" si="70"/>
        <v>0.12373136682940547</v>
      </c>
      <c r="F457">
        <f t="shared" si="71"/>
        <v>-1.3763222116730309E-4</v>
      </c>
      <c r="H457">
        <f t="shared" si="72"/>
        <v>0.1231826706618212</v>
      </c>
      <c r="I457">
        <f t="shared" si="73"/>
        <v>-1.367177254848182E-4</v>
      </c>
      <c r="K457">
        <f t="shared" si="74"/>
        <v>0.12373136682940547</v>
      </c>
      <c r="L457">
        <f t="shared" si="75"/>
        <v>1.3763222116730309E-4</v>
      </c>
      <c r="N457">
        <f t="shared" si="76"/>
        <v>0.1231826706618212</v>
      </c>
      <c r="O457">
        <f t="shared" si="77"/>
        <v>1.367177254848182E-4</v>
      </c>
      <c r="Q457">
        <f t="shared" si="78"/>
        <v>9.4938280749824528</v>
      </c>
      <c r="R457">
        <f t="shared" si="79"/>
        <v>0</v>
      </c>
    </row>
    <row r="458" spans="1:18" x14ac:dyDescent="0.3">
      <c r="A458">
        <v>9</v>
      </c>
      <c r="B458">
        <v>1</v>
      </c>
      <c r="E458">
        <f t="shared" si="70"/>
        <v>0.12151451097831649</v>
      </c>
      <c r="F458">
        <f t="shared" si="71"/>
        <v>1.3381464501505375E-2</v>
      </c>
      <c r="H458">
        <f t="shared" si="72"/>
        <v>0.12098528707215539</v>
      </c>
      <c r="I458">
        <f t="shared" si="73"/>
        <v>1.3293610899160249E-2</v>
      </c>
      <c r="K458">
        <f t="shared" si="74"/>
        <v>0.12142543519747236</v>
      </c>
      <c r="L458">
        <f t="shared" si="75"/>
        <v>1.3641789716289997E-2</v>
      </c>
      <c r="N458">
        <f t="shared" si="76"/>
        <v>0.1208969876026825</v>
      </c>
      <c r="O458">
        <f t="shared" si="77"/>
        <v>1.3552270530378394E-2</v>
      </c>
      <c r="Q458">
        <f t="shared" si="78"/>
        <v>9.4848222208506261</v>
      </c>
      <c r="R458">
        <f t="shared" si="79"/>
        <v>1.053869135647334</v>
      </c>
    </row>
    <row r="459" spans="1:18" x14ac:dyDescent="0.3">
      <c r="A459">
        <v>9</v>
      </c>
      <c r="B459">
        <v>2</v>
      </c>
      <c r="E459">
        <f t="shared" si="70"/>
        <v>0.1151643436018928</v>
      </c>
      <c r="F459">
        <f t="shared" si="71"/>
        <v>2.5492440908539117E-2</v>
      </c>
      <c r="H459">
        <f t="shared" si="72"/>
        <v>0.11468927091981698</v>
      </c>
      <c r="I459">
        <f t="shared" si="73"/>
        <v>2.5330926651546706E-2</v>
      </c>
      <c r="K459">
        <f t="shared" si="74"/>
        <v>0.11500152918872522</v>
      </c>
      <c r="L459">
        <f t="shared" si="75"/>
        <v>2.5712244012162142E-2</v>
      </c>
      <c r="N459">
        <f t="shared" si="76"/>
        <v>0.11452781293113656</v>
      </c>
      <c r="O459">
        <f t="shared" si="77"/>
        <v>2.5549489899176967E-2</v>
      </c>
      <c r="Q459">
        <f t="shared" si="78"/>
        <v>9.459382956641571</v>
      </c>
      <c r="R459">
        <f t="shared" si="79"/>
        <v>2.1020851014714248</v>
      </c>
    </row>
    <row r="460" spans="1:18" x14ac:dyDescent="0.3">
      <c r="A460">
        <v>9</v>
      </c>
      <c r="B460">
        <v>3</v>
      </c>
      <c r="E460">
        <f t="shared" si="70"/>
        <v>0.10571435743225191</v>
      </c>
      <c r="F460">
        <f t="shared" si="71"/>
        <v>3.5159725108168324E-2</v>
      </c>
      <c r="H460">
        <f t="shared" si="72"/>
        <v>0.10531532460470273</v>
      </c>
      <c r="I460">
        <f t="shared" si="73"/>
        <v>3.4949258664601683E-2</v>
      </c>
      <c r="K460">
        <f t="shared" si="74"/>
        <v>0.10550271758712416</v>
      </c>
      <c r="L460">
        <f t="shared" si="75"/>
        <v>3.5324046711595516E-2</v>
      </c>
      <c r="N460">
        <f t="shared" si="76"/>
        <v>0.10510532446140128</v>
      </c>
      <c r="O460">
        <f t="shared" si="77"/>
        <v>3.5112877539269463E-2</v>
      </c>
      <c r="Q460">
        <f t="shared" si="78"/>
        <v>9.4216377240854801</v>
      </c>
      <c r="R460">
        <f t="shared" si="79"/>
        <v>3.1405459080236349</v>
      </c>
    </row>
    <row r="461" spans="1:18" x14ac:dyDescent="0.3">
      <c r="A461">
        <v>9</v>
      </c>
      <c r="B461">
        <v>4</v>
      </c>
      <c r="E461">
        <f t="shared" si="70"/>
        <v>9.4482031000363065E-2</v>
      </c>
      <c r="F461">
        <f t="shared" si="71"/>
        <v>4.1933626662007638E-2</v>
      </c>
      <c r="H461">
        <f t="shared" si="72"/>
        <v>9.4166104412075069E-2</v>
      </c>
      <c r="I461">
        <f t="shared" si="73"/>
        <v>4.1700638912783528E-2</v>
      </c>
      <c r="K461">
        <f t="shared" si="74"/>
        <v>9.4248116886326672E-2</v>
      </c>
      <c r="L461">
        <f t="shared" si="75"/>
        <v>4.2039482615591754E-2</v>
      </c>
      <c r="N461">
        <f t="shared" si="76"/>
        <v>9.3933835016068404E-2</v>
      </c>
      <c r="O461">
        <f t="shared" si="77"/>
        <v>4.1806290612034877E-2</v>
      </c>
      <c r="Q461">
        <f t="shared" si="78"/>
        <v>9.3768300873148327</v>
      </c>
      <c r="R461">
        <f t="shared" si="79"/>
        <v>4.1674800388024176</v>
      </c>
    </row>
    <row r="462" spans="1:18" x14ac:dyDescent="0.3">
      <c r="A462">
        <v>9</v>
      </c>
      <c r="B462">
        <v>5</v>
      </c>
      <c r="E462">
        <f t="shared" si="70"/>
        <v>8.2703278801118246E-2</v>
      </c>
      <c r="F462">
        <f t="shared" si="71"/>
        <v>4.5905379445781991E-2</v>
      </c>
      <c r="H462">
        <f t="shared" si="72"/>
        <v>8.2465689821649646E-2</v>
      </c>
      <c r="I462">
        <f t="shared" si="73"/>
        <v>4.5671897026640595E-2</v>
      </c>
      <c r="K462">
        <f t="shared" si="74"/>
        <v>8.2469147182781949E-2</v>
      </c>
      <c r="L462">
        <f t="shared" si="75"/>
        <v>4.5958890699192165E-2</v>
      </c>
      <c r="N462">
        <f t="shared" si="76"/>
        <v>8.2233021230635667E-2</v>
      </c>
      <c r="O462">
        <f t="shared" si="77"/>
        <v>4.5725575623250247E-2</v>
      </c>
      <c r="Q462">
        <f t="shared" si="78"/>
        <v>9.3298711370361858</v>
      </c>
      <c r="R462">
        <f t="shared" si="79"/>
        <v>5.1832617427948646</v>
      </c>
    </row>
    <row r="463" spans="1:18" x14ac:dyDescent="0.3">
      <c r="A463">
        <v>9</v>
      </c>
      <c r="B463">
        <v>6</v>
      </c>
      <c r="E463">
        <f t="shared" si="70"/>
        <v>7.1310304550603221E-2</v>
      </c>
      <c r="F463">
        <f t="shared" si="71"/>
        <v>4.7513762431380786E-2</v>
      </c>
      <c r="H463">
        <f t="shared" si="72"/>
        <v>7.1139514719816735E-2</v>
      </c>
      <c r="I463">
        <f t="shared" si="73"/>
        <v>4.7294749519611795E-2</v>
      </c>
      <c r="K463">
        <f t="shared" si="74"/>
        <v>7.1090888700298616E-2</v>
      </c>
      <c r="L463">
        <f t="shared" si="75"/>
        <v>4.7525722034348683E-2</v>
      </c>
      <c r="N463">
        <f t="shared" si="76"/>
        <v>7.0921295816597188E-2</v>
      </c>
      <c r="O463">
        <f t="shared" si="77"/>
        <v>4.7307101871004342E-2</v>
      </c>
      <c r="Q463">
        <f t="shared" si="78"/>
        <v>9.2844620037873149</v>
      </c>
      <c r="R463">
        <f t="shared" si="79"/>
        <v>6.1896413358563453</v>
      </c>
    </row>
    <row r="464" spans="1:18" x14ac:dyDescent="0.3">
      <c r="A464">
        <v>9</v>
      </c>
      <c r="B464">
        <v>7</v>
      </c>
      <c r="E464">
        <f t="shared" si="70"/>
        <v>6.0876431159511073E-2</v>
      </c>
      <c r="F464">
        <f t="shared" si="71"/>
        <v>4.7333287408785583E-2</v>
      </c>
      <c r="H464">
        <f t="shared" si="72"/>
        <v>6.0758682478319566E-2</v>
      </c>
      <c r="I464">
        <f t="shared" si="73"/>
        <v>4.7136869092503191E-2</v>
      </c>
      <c r="K464">
        <f t="shared" si="74"/>
        <v>6.0679799233101947E-2</v>
      </c>
      <c r="L464">
        <f t="shared" si="75"/>
        <v>4.7315394062741337E-2</v>
      </c>
      <c r="N464">
        <f t="shared" si="76"/>
        <v>6.0562972721272409E-2</v>
      </c>
      <c r="O464">
        <f t="shared" si="77"/>
        <v>4.7119471562277422E-2</v>
      </c>
      <c r="Q464">
        <f t="shared" si="78"/>
        <v>9.2428778855922058</v>
      </c>
      <c r="R464">
        <f t="shared" si="79"/>
        <v>7.1889050221263071</v>
      </c>
    </row>
    <row r="465" spans="1:18" x14ac:dyDescent="0.3">
      <c r="A465">
        <v>9</v>
      </c>
      <c r="B465">
        <v>8</v>
      </c>
      <c r="E465">
        <f t="shared" si="70"/>
        <v>5.1669719029744494E-2</v>
      </c>
      <c r="F465">
        <f t="shared" si="71"/>
        <v>4.5922253064255673E-2</v>
      </c>
      <c r="H465">
        <f t="shared" si="72"/>
        <v>5.1591961682348364E-2</v>
      </c>
      <c r="I465">
        <f t="shared" si="73"/>
        <v>4.5751362246610819E-2</v>
      </c>
      <c r="K465">
        <f t="shared" si="74"/>
        <v>5.1498745512947336E-2</v>
      </c>
      <c r="L465">
        <f t="shared" si="75"/>
        <v>4.5884866691736172E-2</v>
      </c>
      <c r="N465">
        <f t="shared" si="76"/>
        <v>5.1421668084239376E-2</v>
      </c>
      <c r="O465">
        <f t="shared" si="77"/>
        <v>4.5714490716399263E-2</v>
      </c>
      <c r="Q465">
        <f t="shared" si="78"/>
        <v>9.2061820943092787</v>
      </c>
      <c r="R465">
        <f t="shared" si="79"/>
        <v>8.1832729727190028</v>
      </c>
    </row>
    <row r="466" spans="1:18" x14ac:dyDescent="0.3">
      <c r="A466">
        <v>9</v>
      </c>
      <c r="B466">
        <v>9</v>
      </c>
      <c r="E466">
        <f t="shared" si="70"/>
        <v>4.3745725456077578E-2</v>
      </c>
      <c r="F466">
        <f t="shared" si="71"/>
        <v>4.3745725456077578E-2</v>
      </c>
      <c r="H466">
        <f t="shared" si="72"/>
        <v>4.3696984227032956E-2</v>
      </c>
      <c r="I466">
        <f t="shared" si="73"/>
        <v>4.3599987591678838E-2</v>
      </c>
      <c r="K466">
        <f t="shared" si="74"/>
        <v>4.3599987591678838E-2</v>
      </c>
      <c r="L466">
        <f t="shared" si="75"/>
        <v>4.3696984227032956E-2</v>
      </c>
      <c r="N466">
        <f t="shared" si="76"/>
        <v>4.3551731347124992E-2</v>
      </c>
      <c r="O466">
        <f t="shared" si="77"/>
        <v>4.3551731347124992E-2</v>
      </c>
      <c r="Q466">
        <f t="shared" si="78"/>
        <v>9.1745944286219139</v>
      </c>
      <c r="R466">
        <f t="shared" si="79"/>
        <v>9.1745944286219139</v>
      </c>
    </row>
    <row r="467" spans="1:18" x14ac:dyDescent="0.3">
      <c r="A467">
        <v>9</v>
      </c>
      <c r="B467">
        <v>10</v>
      </c>
      <c r="E467">
        <f t="shared" si="70"/>
        <v>3.7034817892529652E-2</v>
      </c>
      <c r="F467">
        <f t="shared" si="71"/>
        <v>4.1154374943979E-2</v>
      </c>
      <c r="H467">
        <f t="shared" si="72"/>
        <v>3.700651558641576E-2</v>
      </c>
      <c r="I467">
        <f t="shared" si="73"/>
        <v>4.103164158804589E-2</v>
      </c>
      <c r="K467">
        <f t="shared" si="74"/>
        <v>3.6912132077102977E-2</v>
      </c>
      <c r="L467">
        <f t="shared" si="75"/>
        <v>4.1100160410656367E-2</v>
      </c>
      <c r="N467">
        <f t="shared" si="76"/>
        <v>3.688416671256043E-2</v>
      </c>
      <c r="O467">
        <f t="shared" si="77"/>
        <v>4.0977858911512753E-2</v>
      </c>
      <c r="Q467">
        <f t="shared" si="78"/>
        <v>9.1478376322686081</v>
      </c>
      <c r="R467">
        <f t="shared" si="79"/>
        <v>10.164264035854194</v>
      </c>
    </row>
    <row r="468" spans="1:18" x14ac:dyDescent="0.3">
      <c r="A468">
        <v>10</v>
      </c>
      <c r="B468">
        <v>-10</v>
      </c>
      <c r="E468">
        <f t="shared" si="70"/>
        <v>3.5319930740358725E-2</v>
      </c>
      <c r="F468">
        <f t="shared" si="71"/>
        <v>-3.5390641312411493E-2</v>
      </c>
      <c r="H468">
        <f t="shared" si="72"/>
        <v>3.5284734305981134E-2</v>
      </c>
      <c r="I468">
        <f t="shared" si="73"/>
        <v>-3.5284734305981134E-2</v>
      </c>
      <c r="K468">
        <f t="shared" si="74"/>
        <v>3.5426155945061551E-2</v>
      </c>
      <c r="L468">
        <f t="shared" si="75"/>
        <v>-3.5426155945061551E-2</v>
      </c>
      <c r="N468">
        <f t="shared" si="76"/>
        <v>3.5390641312411493E-2</v>
      </c>
      <c r="O468">
        <f t="shared" si="77"/>
        <v>-3.5319930740358725E-2</v>
      </c>
      <c r="Q468">
        <f t="shared" si="78"/>
        <v>10.141421462303812</v>
      </c>
      <c r="R468">
        <f t="shared" si="79"/>
        <v>-10.141421462303812</v>
      </c>
    </row>
    <row r="469" spans="1:18" x14ac:dyDescent="0.3">
      <c r="A469">
        <v>10</v>
      </c>
      <c r="B469">
        <v>-9</v>
      </c>
      <c r="E469">
        <f t="shared" si="70"/>
        <v>4.103164158804589E-2</v>
      </c>
      <c r="F469">
        <f t="shared" si="71"/>
        <v>-3.700651558641576E-2</v>
      </c>
      <c r="H469">
        <f t="shared" si="72"/>
        <v>4.0977858911512753E-2</v>
      </c>
      <c r="I469">
        <f t="shared" si="73"/>
        <v>-3.688416671256043E-2</v>
      </c>
      <c r="K469">
        <f t="shared" si="74"/>
        <v>4.1154374943979E-2</v>
      </c>
      <c r="L469">
        <f t="shared" si="75"/>
        <v>-3.7034817892529652E-2</v>
      </c>
      <c r="N469">
        <f t="shared" si="76"/>
        <v>4.1100160410656367E-2</v>
      </c>
      <c r="O469">
        <f t="shared" si="77"/>
        <v>-3.6912132077102977E-2</v>
      </c>
      <c r="Q469">
        <f t="shared" si="78"/>
        <v>10.164264035854194</v>
      </c>
      <c r="R469">
        <f t="shared" si="79"/>
        <v>-9.1478376322686081</v>
      </c>
    </row>
    <row r="470" spans="1:18" x14ac:dyDescent="0.3">
      <c r="A470">
        <v>10</v>
      </c>
      <c r="B470">
        <v>-8</v>
      </c>
      <c r="E470">
        <f t="shared" si="70"/>
        <v>4.7583658404790383E-2</v>
      </c>
      <c r="F470">
        <f t="shared" si="71"/>
        <v>-3.8152663045282378E-2</v>
      </c>
      <c r="H470">
        <f t="shared" si="72"/>
        <v>4.7504974126944481E-2</v>
      </c>
      <c r="I470">
        <f t="shared" si="73"/>
        <v>-3.8013470804877651E-2</v>
      </c>
      <c r="K470">
        <f t="shared" si="74"/>
        <v>4.7723302076910543E-2</v>
      </c>
      <c r="L470">
        <f t="shared" si="75"/>
        <v>-3.8169087446898425E-2</v>
      </c>
      <c r="N470">
        <f t="shared" si="76"/>
        <v>4.7644046771077475E-2</v>
      </c>
      <c r="O470">
        <f t="shared" si="77"/>
        <v>-3.8029563806284618E-2</v>
      </c>
      <c r="Q470">
        <f t="shared" si="78"/>
        <v>10.190455981379722</v>
      </c>
      <c r="R470">
        <f t="shared" si="79"/>
        <v>-8.1523647851033427</v>
      </c>
    </row>
    <row r="471" spans="1:18" x14ac:dyDescent="0.3">
      <c r="A471">
        <v>10</v>
      </c>
      <c r="B471">
        <v>-7</v>
      </c>
      <c r="E471">
        <f t="shared" si="70"/>
        <v>5.496010948406934E-2</v>
      </c>
      <c r="F471">
        <f t="shared" si="71"/>
        <v>-3.8565602350683285E-2</v>
      </c>
      <c r="H471">
        <f t="shared" si="72"/>
        <v>5.4849034173129106E-2</v>
      </c>
      <c r="I471">
        <f t="shared" si="73"/>
        <v>-3.8410762193170335E-2</v>
      </c>
      <c r="K471">
        <f t="shared" si="74"/>
        <v>5.5115457800830797E-2</v>
      </c>
      <c r="L471">
        <f t="shared" si="75"/>
        <v>-3.8564269272052781E-2</v>
      </c>
      <c r="N471">
        <f t="shared" si="76"/>
        <v>5.5003652301633461E-2</v>
      </c>
      <c r="O471">
        <f t="shared" si="77"/>
        <v>-3.8409143815026761E-2</v>
      </c>
      <c r="Q471">
        <f t="shared" si="78"/>
        <v>10.219928253759663</v>
      </c>
      <c r="R471">
        <f t="shared" si="79"/>
        <v>-7.1539497776309329</v>
      </c>
    </row>
    <row r="472" spans="1:18" x14ac:dyDescent="0.3">
      <c r="A472">
        <v>10</v>
      </c>
      <c r="B472">
        <v>-6</v>
      </c>
      <c r="E472">
        <f t="shared" si="70"/>
        <v>6.3043378773711259E-2</v>
      </c>
      <c r="F472">
        <f t="shared" si="71"/>
        <v>-3.7926997640641107E-2</v>
      </c>
      <c r="H472">
        <f t="shared" si="72"/>
        <v>6.2891761034197122E-2</v>
      </c>
      <c r="I472">
        <f t="shared" si="73"/>
        <v>-3.7760188193359114E-2</v>
      </c>
      <c r="K472">
        <f t="shared" si="74"/>
        <v>6.3210725591992908E-2</v>
      </c>
      <c r="L472">
        <f t="shared" si="75"/>
        <v>-3.7901125755359116E-2</v>
      </c>
      <c r="N472">
        <f t="shared" si="76"/>
        <v>6.3058214448025243E-2</v>
      </c>
      <c r="O472">
        <f t="shared" si="77"/>
        <v>-3.7734136318049075E-2</v>
      </c>
      <c r="Q472">
        <f t="shared" si="78"/>
        <v>10.252204079847926</v>
      </c>
      <c r="R472">
        <f t="shared" si="79"/>
        <v>-6.1513224479074085</v>
      </c>
    </row>
    <row r="473" spans="1:18" x14ac:dyDescent="0.3">
      <c r="A473">
        <v>10</v>
      </c>
      <c r="B473">
        <v>-5</v>
      </c>
      <c r="E473">
        <f t="shared" si="70"/>
        <v>7.1568314207772807E-2</v>
      </c>
      <c r="F473">
        <f t="shared" si="71"/>
        <v>-3.5891617035129303E-2</v>
      </c>
      <c r="H473">
        <f t="shared" si="72"/>
        <v>7.1368477352667367E-2</v>
      </c>
      <c r="I473">
        <f t="shared" si="73"/>
        <v>-3.5719887266419927E-2</v>
      </c>
      <c r="K473">
        <f t="shared" si="74"/>
        <v>7.1740560128851188E-2</v>
      </c>
      <c r="L473">
        <f t="shared" si="75"/>
        <v>-3.5834373878174924E-2</v>
      </c>
      <c r="N473">
        <f t="shared" si="76"/>
        <v>7.1539692892568479E-2</v>
      </c>
      <c r="O473">
        <f t="shared" si="77"/>
        <v>-3.5662644109282389E-2</v>
      </c>
      <c r="Q473">
        <f t="shared" si="78"/>
        <v>10.286217044581861</v>
      </c>
      <c r="R473">
        <f t="shared" si="79"/>
        <v>-5.1431085222890065</v>
      </c>
    </row>
    <row r="474" spans="1:18" x14ac:dyDescent="0.3">
      <c r="A474">
        <v>10</v>
      </c>
      <c r="B474">
        <v>-4</v>
      </c>
      <c r="E474">
        <f t="shared" si="70"/>
        <v>8.0085083751482586E-2</v>
      </c>
      <c r="F474">
        <f t="shared" si="71"/>
        <v>-3.2146264849193709E-2</v>
      </c>
      <c r="H474">
        <f t="shared" si="72"/>
        <v>7.9831708231189874E-2</v>
      </c>
      <c r="I474">
        <f t="shared" si="73"/>
        <v>-3.1980534466240898E-2</v>
      </c>
      <c r="K474">
        <f t="shared" si="74"/>
        <v>8.0251235057187467E-2</v>
      </c>
      <c r="L474">
        <f t="shared" si="75"/>
        <v>-3.2052295082900702E-2</v>
      </c>
      <c r="N474">
        <f t="shared" si="76"/>
        <v>7.9996763134503865E-2</v>
      </c>
      <c r="O474">
        <f t="shared" si="77"/>
        <v>-3.1886821668998047E-2</v>
      </c>
      <c r="Q474">
        <f t="shared" si="78"/>
        <v>10.320164790174363</v>
      </c>
      <c r="R474">
        <f t="shared" si="79"/>
        <v>-4.1280659160673334</v>
      </c>
    </row>
    <row r="475" spans="1:18" x14ac:dyDescent="0.3">
      <c r="A475">
        <v>10</v>
      </c>
      <c r="B475">
        <v>-3</v>
      </c>
      <c r="E475">
        <f t="shared" si="70"/>
        <v>8.7955255883108222E-2</v>
      </c>
      <c r="F475">
        <f t="shared" si="71"/>
        <v>-2.6501033053869444E-2</v>
      </c>
      <c r="H475">
        <f t="shared" si="72"/>
        <v>8.7647814364336024E-2</v>
      </c>
      <c r="I475">
        <f t="shared" si="73"/>
        <v>-2.6355636487177963E-2</v>
      </c>
      <c r="K475">
        <f t="shared" si="74"/>
        <v>8.8100890276671395E-2</v>
      </c>
      <c r="L475">
        <f t="shared" si="75"/>
        <v>-2.6368534727452202E-2</v>
      </c>
      <c r="N475">
        <f t="shared" si="76"/>
        <v>8.7792407670914327E-2</v>
      </c>
      <c r="O475">
        <f t="shared" si="77"/>
        <v>-2.6223706187415971E-2</v>
      </c>
      <c r="Q475">
        <f t="shared" si="78"/>
        <v>10.351496368195029</v>
      </c>
      <c r="R475">
        <f t="shared" si="79"/>
        <v>-3.1054489104559155</v>
      </c>
    </row>
    <row r="476" spans="1:18" x14ac:dyDescent="0.3">
      <c r="A476">
        <v>10</v>
      </c>
      <c r="B476">
        <v>-2</v>
      </c>
      <c r="E476">
        <f t="shared" si="70"/>
        <v>9.4409829722394645E-2</v>
      </c>
      <c r="F476">
        <f t="shared" si="71"/>
        <v>-1.8995371145346666E-2</v>
      </c>
      <c r="H476">
        <f t="shared" si="72"/>
        <v>9.4054856148846927E-2</v>
      </c>
      <c r="I476">
        <f t="shared" si="73"/>
        <v>-1.8886139945972259E-2</v>
      </c>
      <c r="K476">
        <f t="shared" si="74"/>
        <v>9.4519036942597404E-2</v>
      </c>
      <c r="L476">
        <f t="shared" si="75"/>
        <v>-1.8828116468044928E-2</v>
      </c>
      <c r="N476">
        <f t="shared" si="76"/>
        <v>9.4163234873340176E-2</v>
      </c>
      <c r="O476">
        <f t="shared" si="77"/>
        <v>-1.8719763975818874E-2</v>
      </c>
      <c r="Q476">
        <f t="shared" si="78"/>
        <v>10.377146957687179</v>
      </c>
      <c r="R476">
        <f t="shared" si="79"/>
        <v>-2.0754293915351827</v>
      </c>
    </row>
    <row r="477" spans="1:18" x14ac:dyDescent="0.3">
      <c r="A477">
        <v>10</v>
      </c>
      <c r="B477">
        <v>-1</v>
      </c>
      <c r="E477">
        <f t="shared" si="70"/>
        <v>9.8683411860440967E-2</v>
      </c>
      <c r="F477">
        <f t="shared" si="71"/>
        <v>-9.9770015995040411E-3</v>
      </c>
      <c r="H477">
        <f t="shared" si="72"/>
        <v>9.8295421846345307E-2</v>
      </c>
      <c r="I477">
        <f t="shared" si="73"/>
        <v>-9.9179196867940824E-3</v>
      </c>
      <c r="K477">
        <f t="shared" si="74"/>
        <v>9.8742169356352244E-2</v>
      </c>
      <c r="L477">
        <f t="shared" si="75"/>
        <v>-9.7852600263051773E-3</v>
      </c>
      <c r="N477">
        <f t="shared" si="76"/>
        <v>9.8353716929430637E-2</v>
      </c>
      <c r="O477">
        <f t="shared" si="77"/>
        <v>-9.7272906853283041E-3</v>
      </c>
      <c r="Q477">
        <f t="shared" si="78"/>
        <v>10.394074719992568</v>
      </c>
      <c r="R477">
        <f t="shared" si="79"/>
        <v>-1.0394074719979316</v>
      </c>
    </row>
    <row r="478" spans="1:18" x14ac:dyDescent="0.3">
      <c r="A478">
        <v>10</v>
      </c>
      <c r="B478">
        <v>0</v>
      </c>
      <c r="E478">
        <f t="shared" si="70"/>
        <v>0.10020014979918619</v>
      </c>
      <c r="F478">
        <f t="shared" si="71"/>
        <v>-1.0030045024943562E-4</v>
      </c>
      <c r="H478">
        <f t="shared" si="72"/>
        <v>9.9800150199188711E-2</v>
      </c>
      <c r="I478">
        <f t="shared" si="73"/>
        <v>-9.9700449749439267E-5</v>
      </c>
      <c r="K478">
        <f t="shared" si="74"/>
        <v>0.10020014979918619</v>
      </c>
      <c r="L478">
        <f t="shared" si="75"/>
        <v>1.0030045024943562E-4</v>
      </c>
      <c r="N478">
        <f t="shared" si="76"/>
        <v>9.9800150199188711E-2</v>
      </c>
      <c r="O478">
        <f t="shared" si="77"/>
        <v>9.9700449749439267E-5</v>
      </c>
      <c r="Q478">
        <f t="shared" si="78"/>
        <v>10.40000059999675</v>
      </c>
      <c r="R478">
        <f t="shared" si="79"/>
        <v>0</v>
      </c>
    </row>
    <row r="479" spans="1:18" x14ac:dyDescent="0.3">
      <c r="A479">
        <v>10</v>
      </c>
      <c r="B479">
        <v>1</v>
      </c>
      <c r="E479">
        <f t="shared" si="70"/>
        <v>9.8742169356352244E-2</v>
      </c>
      <c r="F479">
        <f t="shared" si="71"/>
        <v>9.7852600263051773E-3</v>
      </c>
      <c r="H479">
        <f t="shared" si="72"/>
        <v>9.8353716929430637E-2</v>
      </c>
      <c r="I479">
        <f t="shared" si="73"/>
        <v>9.7272906853283041E-3</v>
      </c>
      <c r="K479">
        <f t="shared" si="74"/>
        <v>9.8683411860440967E-2</v>
      </c>
      <c r="L479">
        <f t="shared" si="75"/>
        <v>9.9770015995040411E-3</v>
      </c>
      <c r="N479">
        <f t="shared" si="76"/>
        <v>9.8295421846345307E-2</v>
      </c>
      <c r="O479">
        <f t="shared" si="77"/>
        <v>9.9179196867940824E-3</v>
      </c>
      <c r="Q479">
        <f t="shared" si="78"/>
        <v>10.394074719992568</v>
      </c>
      <c r="R479">
        <f t="shared" si="79"/>
        <v>1.0394074719979316</v>
      </c>
    </row>
    <row r="480" spans="1:18" x14ac:dyDescent="0.3">
      <c r="A480">
        <v>10</v>
      </c>
      <c r="B480">
        <v>2</v>
      </c>
      <c r="E480">
        <f t="shared" si="70"/>
        <v>9.4519036942597404E-2</v>
      </c>
      <c r="F480">
        <f t="shared" si="71"/>
        <v>1.8828116468044928E-2</v>
      </c>
      <c r="H480">
        <f t="shared" si="72"/>
        <v>9.4163234873340176E-2</v>
      </c>
      <c r="I480">
        <f t="shared" si="73"/>
        <v>1.8719763975818874E-2</v>
      </c>
      <c r="K480">
        <f t="shared" si="74"/>
        <v>9.4409829722394645E-2</v>
      </c>
      <c r="L480">
        <f t="shared" si="75"/>
        <v>1.8995371145346666E-2</v>
      </c>
      <c r="N480">
        <f t="shared" si="76"/>
        <v>9.4054856148846927E-2</v>
      </c>
      <c r="O480">
        <f t="shared" si="77"/>
        <v>1.8886139945972259E-2</v>
      </c>
      <c r="Q480">
        <f t="shared" si="78"/>
        <v>10.377146957687179</v>
      </c>
      <c r="R480">
        <f t="shared" si="79"/>
        <v>2.0754293915351827</v>
      </c>
    </row>
    <row r="481" spans="1:18" x14ac:dyDescent="0.3">
      <c r="A481">
        <v>10</v>
      </c>
      <c r="B481">
        <v>3</v>
      </c>
      <c r="E481">
        <f t="shared" si="70"/>
        <v>8.8100890276671395E-2</v>
      </c>
      <c r="F481">
        <f t="shared" si="71"/>
        <v>2.6368534727452202E-2</v>
      </c>
      <c r="H481">
        <f t="shared" si="72"/>
        <v>8.7792407670914327E-2</v>
      </c>
      <c r="I481">
        <f t="shared" si="73"/>
        <v>2.6223706187415971E-2</v>
      </c>
      <c r="K481">
        <f t="shared" si="74"/>
        <v>8.7955255883108222E-2</v>
      </c>
      <c r="L481">
        <f t="shared" si="75"/>
        <v>2.6501033053869444E-2</v>
      </c>
      <c r="N481">
        <f t="shared" si="76"/>
        <v>8.7647814364336024E-2</v>
      </c>
      <c r="O481">
        <f t="shared" si="77"/>
        <v>2.6355636487177963E-2</v>
      </c>
      <c r="Q481">
        <f t="shared" si="78"/>
        <v>10.351496368195029</v>
      </c>
      <c r="R481">
        <f t="shared" si="79"/>
        <v>3.1054489104559155</v>
      </c>
    </row>
    <row r="482" spans="1:18" x14ac:dyDescent="0.3">
      <c r="A482">
        <v>10</v>
      </c>
      <c r="B482">
        <v>4</v>
      </c>
      <c r="E482">
        <f t="shared" si="70"/>
        <v>8.0251235057187467E-2</v>
      </c>
      <c r="F482">
        <f t="shared" si="71"/>
        <v>3.2052295082900702E-2</v>
      </c>
      <c r="H482">
        <f t="shared" si="72"/>
        <v>7.9996763134503865E-2</v>
      </c>
      <c r="I482">
        <f t="shared" si="73"/>
        <v>3.1886821668998047E-2</v>
      </c>
      <c r="K482">
        <f t="shared" si="74"/>
        <v>8.0085083751482586E-2</v>
      </c>
      <c r="L482">
        <f t="shared" si="75"/>
        <v>3.2146264849193709E-2</v>
      </c>
      <c r="N482">
        <f t="shared" si="76"/>
        <v>7.9831708231189874E-2</v>
      </c>
      <c r="O482">
        <f t="shared" si="77"/>
        <v>3.1980534466240898E-2</v>
      </c>
      <c r="Q482">
        <f t="shared" si="78"/>
        <v>10.320164790174363</v>
      </c>
      <c r="R482">
        <f t="shared" si="79"/>
        <v>4.1280659160673334</v>
      </c>
    </row>
    <row r="483" spans="1:18" x14ac:dyDescent="0.3">
      <c r="A483">
        <v>10</v>
      </c>
      <c r="B483">
        <v>5</v>
      </c>
      <c r="E483">
        <f t="shared" si="70"/>
        <v>7.1740560128851188E-2</v>
      </c>
      <c r="F483">
        <f t="shared" si="71"/>
        <v>3.5834373878174924E-2</v>
      </c>
      <c r="H483">
        <f t="shared" si="72"/>
        <v>7.1539692892568479E-2</v>
      </c>
      <c r="I483">
        <f t="shared" si="73"/>
        <v>3.5662644109282389E-2</v>
      </c>
      <c r="K483">
        <f t="shared" si="74"/>
        <v>7.1568314207772807E-2</v>
      </c>
      <c r="L483">
        <f t="shared" si="75"/>
        <v>3.5891617035129303E-2</v>
      </c>
      <c r="N483">
        <f t="shared" si="76"/>
        <v>7.1368477352667367E-2</v>
      </c>
      <c r="O483">
        <f t="shared" si="77"/>
        <v>3.5719887266419927E-2</v>
      </c>
      <c r="Q483">
        <f t="shared" si="78"/>
        <v>10.286217044581861</v>
      </c>
      <c r="R483">
        <f t="shared" si="79"/>
        <v>5.1431085222890065</v>
      </c>
    </row>
    <row r="484" spans="1:18" x14ac:dyDescent="0.3">
      <c r="A484">
        <v>10</v>
      </c>
      <c r="B484">
        <v>6</v>
      </c>
      <c r="E484">
        <f t="shared" si="70"/>
        <v>6.3210725591992908E-2</v>
      </c>
      <c r="F484">
        <f t="shared" si="71"/>
        <v>3.7901125755359116E-2</v>
      </c>
      <c r="H484">
        <f t="shared" si="72"/>
        <v>6.3058214448025243E-2</v>
      </c>
      <c r="I484">
        <f t="shared" si="73"/>
        <v>3.7734136318049075E-2</v>
      </c>
      <c r="K484">
        <f t="shared" si="74"/>
        <v>6.3043378773711259E-2</v>
      </c>
      <c r="L484">
        <f t="shared" si="75"/>
        <v>3.7926997640641107E-2</v>
      </c>
      <c r="N484">
        <f t="shared" si="76"/>
        <v>6.2891761034197122E-2</v>
      </c>
      <c r="O484">
        <f t="shared" si="77"/>
        <v>3.7760188193359114E-2</v>
      </c>
      <c r="Q484">
        <f t="shared" si="78"/>
        <v>10.252204079847926</v>
      </c>
      <c r="R484">
        <f t="shared" si="79"/>
        <v>6.1513224479074085</v>
      </c>
    </row>
    <row r="485" spans="1:18" x14ac:dyDescent="0.3">
      <c r="A485">
        <v>10</v>
      </c>
      <c r="B485">
        <v>7</v>
      </c>
      <c r="E485">
        <f t="shared" si="70"/>
        <v>5.5115457800830797E-2</v>
      </c>
      <c r="F485">
        <f t="shared" si="71"/>
        <v>3.8564269272052781E-2</v>
      </c>
      <c r="H485">
        <f t="shared" si="72"/>
        <v>5.5003652301633461E-2</v>
      </c>
      <c r="I485">
        <f t="shared" si="73"/>
        <v>3.8409143815026761E-2</v>
      </c>
      <c r="K485">
        <f t="shared" si="74"/>
        <v>5.496010948406934E-2</v>
      </c>
      <c r="L485">
        <f t="shared" si="75"/>
        <v>3.8565602350683285E-2</v>
      </c>
      <c r="N485">
        <f t="shared" si="76"/>
        <v>5.4849034173129106E-2</v>
      </c>
      <c r="O485">
        <f t="shared" si="77"/>
        <v>3.8410762193170335E-2</v>
      </c>
      <c r="Q485">
        <f t="shared" si="78"/>
        <v>10.219928253759663</v>
      </c>
      <c r="R485">
        <f t="shared" si="79"/>
        <v>7.1539497776309329</v>
      </c>
    </row>
    <row r="486" spans="1:18" x14ac:dyDescent="0.3">
      <c r="A486">
        <v>10</v>
      </c>
      <c r="B486">
        <v>8</v>
      </c>
      <c r="E486">
        <f t="shared" si="70"/>
        <v>4.7723302076910543E-2</v>
      </c>
      <c r="F486">
        <f t="shared" si="71"/>
        <v>3.8169087446898425E-2</v>
      </c>
      <c r="H486">
        <f t="shared" si="72"/>
        <v>4.7644046771077475E-2</v>
      </c>
      <c r="I486">
        <f t="shared" si="73"/>
        <v>3.8029563806284618E-2</v>
      </c>
      <c r="K486">
        <f t="shared" si="74"/>
        <v>4.7583658404790383E-2</v>
      </c>
      <c r="L486">
        <f t="shared" si="75"/>
        <v>3.8152663045282378E-2</v>
      </c>
      <c r="N486">
        <f t="shared" si="76"/>
        <v>4.7504974126944481E-2</v>
      </c>
      <c r="O486">
        <f t="shared" si="77"/>
        <v>3.8013470804877651E-2</v>
      </c>
      <c r="Q486">
        <f t="shared" si="78"/>
        <v>10.190455981379722</v>
      </c>
      <c r="R486">
        <f t="shared" si="79"/>
        <v>8.1523647851033427</v>
      </c>
    </row>
    <row r="487" spans="1:18" x14ac:dyDescent="0.3">
      <c r="A487">
        <v>10</v>
      </c>
      <c r="B487">
        <v>9</v>
      </c>
      <c r="E487">
        <f t="shared" si="70"/>
        <v>4.1154374943979E-2</v>
      </c>
      <c r="F487">
        <f t="shared" si="71"/>
        <v>3.7034817892529652E-2</v>
      </c>
      <c r="H487">
        <f t="shared" si="72"/>
        <v>4.1100160410656367E-2</v>
      </c>
      <c r="I487">
        <f t="shared" si="73"/>
        <v>3.6912132077102977E-2</v>
      </c>
      <c r="K487">
        <f t="shared" si="74"/>
        <v>4.103164158804589E-2</v>
      </c>
      <c r="L487">
        <f t="shared" si="75"/>
        <v>3.700651558641576E-2</v>
      </c>
      <c r="N487">
        <f t="shared" si="76"/>
        <v>4.0977858911512753E-2</v>
      </c>
      <c r="O487">
        <f t="shared" si="77"/>
        <v>3.688416671256043E-2</v>
      </c>
      <c r="Q487">
        <f t="shared" si="78"/>
        <v>10.164264035854194</v>
      </c>
      <c r="R487">
        <f t="shared" si="79"/>
        <v>9.1478376322686081</v>
      </c>
    </row>
    <row r="488" spans="1:18" x14ac:dyDescent="0.3">
      <c r="A488">
        <v>10</v>
      </c>
      <c r="B488">
        <v>10</v>
      </c>
      <c r="E488">
        <f t="shared" si="70"/>
        <v>3.5426155945061551E-2</v>
      </c>
      <c r="F488">
        <f t="shared" si="71"/>
        <v>3.5426155945061551E-2</v>
      </c>
      <c r="H488">
        <f t="shared" si="72"/>
        <v>3.5390641312411493E-2</v>
      </c>
      <c r="I488">
        <f t="shared" si="73"/>
        <v>3.5319930740358725E-2</v>
      </c>
      <c r="K488">
        <f t="shared" si="74"/>
        <v>3.5319930740358725E-2</v>
      </c>
      <c r="L488">
        <f t="shared" si="75"/>
        <v>3.5390641312411493E-2</v>
      </c>
      <c r="N488">
        <f t="shared" si="76"/>
        <v>3.5284734305981134E-2</v>
      </c>
      <c r="O488">
        <f t="shared" si="77"/>
        <v>3.5284734305981134E-2</v>
      </c>
      <c r="Q488">
        <f t="shared" si="78"/>
        <v>10.141421462303812</v>
      </c>
      <c r="R488">
        <f t="shared" si="79"/>
        <v>10.141421462303812</v>
      </c>
    </row>
  </sheetData>
  <phoneticPr fontId="1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DB224-5ECA-46C7-A97F-A3E7C44635A5}">
  <sheetPr codeName="Sheet2"/>
  <dimension ref="A1:J408"/>
  <sheetViews>
    <sheetView zoomScale="96" zoomScaleNormal="120" workbookViewId="0">
      <selection activeCell="L25" sqref="L25"/>
    </sheetView>
  </sheetViews>
  <sheetFormatPr defaultRowHeight="16.5" x14ac:dyDescent="0.3"/>
  <sheetData>
    <row r="1" spans="1:10" x14ac:dyDescent="0.3">
      <c r="A1" t="s">
        <v>27</v>
      </c>
      <c r="E1" t="s">
        <v>29</v>
      </c>
      <c r="F1" t="s">
        <v>30</v>
      </c>
    </row>
    <row r="2" spans="1:10" x14ac:dyDescent="0.3">
      <c r="A2" t="s">
        <v>31</v>
      </c>
      <c r="E2" t="s">
        <v>28</v>
      </c>
    </row>
    <row r="3" spans="1:10" x14ac:dyDescent="0.3">
      <c r="A3" t="s">
        <v>40</v>
      </c>
      <c r="D3" s="1" t="s">
        <v>32</v>
      </c>
      <c r="E3" s="1">
        <v>3.5</v>
      </c>
    </row>
    <row r="5" spans="1:10" x14ac:dyDescent="0.3">
      <c r="A5" t="s">
        <v>29</v>
      </c>
    </row>
    <row r="6" spans="1:10" x14ac:dyDescent="0.3">
      <c r="A6" t="s">
        <v>33</v>
      </c>
      <c r="B6" t="s">
        <v>34</v>
      </c>
      <c r="D6" t="s">
        <v>35</v>
      </c>
      <c r="E6" t="s">
        <v>36</v>
      </c>
      <c r="H6" t="s">
        <v>35</v>
      </c>
      <c r="I6" t="s">
        <v>37</v>
      </c>
      <c r="J6" t="s">
        <v>38</v>
      </c>
    </row>
    <row r="7" spans="1:10" x14ac:dyDescent="0.3">
      <c r="A7">
        <v>0</v>
      </c>
      <c r="B7">
        <f>$E$3*A7*(1-A7)</f>
        <v>0</v>
      </c>
      <c r="D7">
        <v>0</v>
      </c>
      <c r="E7" s="1">
        <v>0.1</v>
      </c>
      <c r="F7" s="1" t="s">
        <v>39</v>
      </c>
      <c r="H7">
        <v>0</v>
      </c>
      <c r="I7">
        <f>$E$7</f>
        <v>0.1</v>
      </c>
      <c r="J7">
        <v>0</v>
      </c>
    </row>
    <row r="8" spans="1:10" x14ac:dyDescent="0.3">
      <c r="A8">
        <f>A7+0.01</f>
        <v>0.01</v>
      </c>
      <c r="B8">
        <f t="shared" ref="B8:B71" si="0">$E$3*A8*(1-A8)</f>
        <v>3.465E-2</v>
      </c>
      <c r="D8">
        <f>D7+1</f>
        <v>1</v>
      </c>
      <c r="E8">
        <f>$E$3*E7*(1-E7)</f>
        <v>0.31500000000000006</v>
      </c>
      <c r="H8">
        <v>0</v>
      </c>
      <c r="I8">
        <f>$E$7</f>
        <v>0.1</v>
      </c>
      <c r="J8">
        <f>$E$3*I8*(1-I8)</f>
        <v>0.31500000000000006</v>
      </c>
    </row>
    <row r="9" spans="1:10" x14ac:dyDescent="0.3">
      <c r="A9">
        <f t="shared" ref="A9:A72" si="1">A8+0.01</f>
        <v>0.02</v>
      </c>
      <c r="B9">
        <f t="shared" si="0"/>
        <v>6.8600000000000008E-2</v>
      </c>
      <c r="D9">
        <f t="shared" ref="D9:D72" si="2">D8+1</f>
        <v>2</v>
      </c>
      <c r="E9">
        <f t="shared" ref="E9:E72" si="3">$E$3*E8*(1-E8)</f>
        <v>0.75521250000000006</v>
      </c>
      <c r="H9">
        <f>H7+1</f>
        <v>1</v>
      </c>
      <c r="I9">
        <f>J8</f>
        <v>0.31500000000000006</v>
      </c>
      <c r="J9">
        <f>I9</f>
        <v>0.31500000000000006</v>
      </c>
    </row>
    <row r="10" spans="1:10" x14ac:dyDescent="0.3">
      <c r="A10">
        <f t="shared" si="1"/>
        <v>0.03</v>
      </c>
      <c r="B10">
        <f t="shared" si="0"/>
        <v>0.10185</v>
      </c>
      <c r="D10">
        <f t="shared" si="2"/>
        <v>3</v>
      </c>
      <c r="E10">
        <f t="shared" si="3"/>
        <v>0.64703302945312491</v>
      </c>
      <c r="H10">
        <f>H7+1</f>
        <v>1</v>
      </c>
      <c r="I10">
        <f>J8</f>
        <v>0.31500000000000006</v>
      </c>
      <c r="J10">
        <f>$E$3*I10*(1-I10)</f>
        <v>0.75521250000000006</v>
      </c>
    </row>
    <row r="11" spans="1:10" x14ac:dyDescent="0.3">
      <c r="A11">
        <f t="shared" si="1"/>
        <v>0.04</v>
      </c>
      <c r="B11">
        <f t="shared" si="0"/>
        <v>0.13440000000000002</v>
      </c>
      <c r="D11">
        <f t="shared" si="2"/>
        <v>4</v>
      </c>
      <c r="E11">
        <f t="shared" si="3"/>
        <v>0.79933450887442781</v>
      </c>
      <c r="H11">
        <f>H9+1</f>
        <v>2</v>
      </c>
      <c r="I11">
        <f t="shared" ref="I11" si="4">J10</f>
        <v>0.75521250000000006</v>
      </c>
      <c r="J11">
        <f t="shared" ref="J11" si="5">I11</f>
        <v>0.75521250000000006</v>
      </c>
    </row>
    <row r="12" spans="1:10" x14ac:dyDescent="0.3">
      <c r="A12">
        <f t="shared" si="1"/>
        <v>0.05</v>
      </c>
      <c r="B12">
        <f t="shared" si="0"/>
        <v>0.16625000000000001</v>
      </c>
      <c r="D12">
        <f t="shared" si="2"/>
        <v>5</v>
      </c>
      <c r="E12">
        <f t="shared" si="3"/>
        <v>0.56139598128916779</v>
      </c>
      <c r="H12">
        <f t="shared" ref="H12" si="6">H9+1</f>
        <v>2</v>
      </c>
      <c r="I12">
        <f t="shared" ref="I12" si="7">J10</f>
        <v>0.75521250000000006</v>
      </c>
      <c r="J12">
        <f t="shared" ref="J12" si="8">$E$3*I12*(1-I12)</f>
        <v>0.64703302945312491</v>
      </c>
    </row>
    <row r="13" spans="1:10" x14ac:dyDescent="0.3">
      <c r="A13">
        <f t="shared" si="1"/>
        <v>6.0000000000000005E-2</v>
      </c>
      <c r="B13">
        <f t="shared" si="0"/>
        <v>0.19740000000000002</v>
      </c>
      <c r="D13">
        <f t="shared" si="2"/>
        <v>6</v>
      </c>
      <c r="E13">
        <f t="shared" si="3"/>
        <v>0.86180686718539057</v>
      </c>
      <c r="H13">
        <f t="shared" ref="H13" si="9">H11+1</f>
        <v>3</v>
      </c>
      <c r="I13">
        <f t="shared" ref="I13" si="10">J12</f>
        <v>0.64703302945312491</v>
      </c>
      <c r="J13">
        <f t="shared" ref="J13" si="11">I13</f>
        <v>0.64703302945312491</v>
      </c>
    </row>
    <row r="14" spans="1:10" x14ac:dyDescent="0.3">
      <c r="A14">
        <f t="shared" si="1"/>
        <v>7.0000000000000007E-2</v>
      </c>
      <c r="B14">
        <f t="shared" si="0"/>
        <v>0.22785</v>
      </c>
      <c r="D14">
        <f t="shared" si="2"/>
        <v>7</v>
      </c>
      <c r="E14">
        <f t="shared" si="3"/>
        <v>0.416835268001226</v>
      </c>
      <c r="H14">
        <f t="shared" ref="H14" si="12">H11+1</f>
        <v>3</v>
      </c>
      <c r="I14">
        <f t="shared" ref="I14" si="13">J12</f>
        <v>0.64703302945312491</v>
      </c>
      <c r="J14">
        <f t="shared" ref="J14" si="14">$E$3*I14*(1-I14)</f>
        <v>0.79933450887442781</v>
      </c>
    </row>
    <row r="15" spans="1:10" x14ac:dyDescent="0.3">
      <c r="A15">
        <f t="shared" si="1"/>
        <v>0.08</v>
      </c>
      <c r="B15">
        <f t="shared" si="0"/>
        <v>0.25760000000000005</v>
      </c>
      <c r="D15">
        <f t="shared" si="2"/>
        <v>8</v>
      </c>
      <c r="E15">
        <f t="shared" si="3"/>
        <v>0.85079269573050242</v>
      </c>
      <c r="H15">
        <f t="shared" ref="H15" si="15">H13+1</f>
        <v>4</v>
      </c>
      <c r="I15">
        <f t="shared" ref="I15" si="16">J14</f>
        <v>0.79933450887442781</v>
      </c>
      <c r="J15">
        <f t="shared" ref="J15" si="17">I15</f>
        <v>0.79933450887442781</v>
      </c>
    </row>
    <row r="16" spans="1:10" x14ac:dyDescent="0.3">
      <c r="A16">
        <f t="shared" si="1"/>
        <v>0.09</v>
      </c>
      <c r="B16">
        <f t="shared" si="0"/>
        <v>0.28665000000000002</v>
      </c>
      <c r="D16">
        <f t="shared" si="2"/>
        <v>9</v>
      </c>
      <c r="E16">
        <f t="shared" si="3"/>
        <v>0.44430569617744498</v>
      </c>
      <c r="H16">
        <f t="shared" ref="H16" si="18">H13+1</f>
        <v>4</v>
      </c>
      <c r="I16">
        <f t="shared" ref="I16" si="19">J14</f>
        <v>0.79933450887442781</v>
      </c>
      <c r="J16">
        <f t="shared" ref="J16" si="20">$E$3*I16*(1-I16)</f>
        <v>0.56139598128916779</v>
      </c>
    </row>
    <row r="17" spans="1:10" x14ac:dyDescent="0.3">
      <c r="A17">
        <f t="shared" si="1"/>
        <v>9.9999999999999992E-2</v>
      </c>
      <c r="B17">
        <f t="shared" si="0"/>
        <v>0.315</v>
      </c>
      <c r="D17">
        <f t="shared" si="2"/>
        <v>10</v>
      </c>
      <c r="E17">
        <f t="shared" si="3"/>
        <v>0.86414350582602328</v>
      </c>
      <c r="H17">
        <f t="shared" ref="H17" si="21">H15+1</f>
        <v>5</v>
      </c>
      <c r="I17">
        <f t="shared" ref="I17" si="22">J16</f>
        <v>0.56139598128916779</v>
      </c>
      <c r="J17">
        <f t="shared" ref="J17" si="23">I17</f>
        <v>0.56139598128916779</v>
      </c>
    </row>
    <row r="18" spans="1:10" x14ac:dyDescent="0.3">
      <c r="A18">
        <f t="shared" si="1"/>
        <v>0.10999999999999999</v>
      </c>
      <c r="B18">
        <f t="shared" si="0"/>
        <v>0.34264999999999995</v>
      </c>
      <c r="D18">
        <f t="shared" si="2"/>
        <v>11</v>
      </c>
      <c r="E18">
        <f t="shared" si="3"/>
        <v>0.41089827507656534</v>
      </c>
      <c r="H18">
        <f t="shared" ref="H18" si="24">H15+1</f>
        <v>5</v>
      </c>
      <c r="I18">
        <f t="shared" ref="I18" si="25">J16</f>
        <v>0.56139598128916779</v>
      </c>
      <c r="J18">
        <f t="shared" ref="J18" si="26">$E$3*I18*(1-I18)</f>
        <v>0.86180686718539057</v>
      </c>
    </row>
    <row r="19" spans="1:10" x14ac:dyDescent="0.3">
      <c r="A19">
        <f t="shared" si="1"/>
        <v>0.11999999999999998</v>
      </c>
      <c r="B19">
        <f t="shared" si="0"/>
        <v>0.36959999999999993</v>
      </c>
      <c r="D19">
        <f t="shared" si="2"/>
        <v>12</v>
      </c>
      <c r="E19">
        <f t="shared" si="3"/>
        <v>0.84721308915484006</v>
      </c>
      <c r="H19">
        <f t="shared" ref="H19" si="27">H17+1</f>
        <v>6</v>
      </c>
      <c r="I19">
        <f t="shared" ref="I19" si="28">J18</f>
        <v>0.86180686718539057</v>
      </c>
      <c r="J19">
        <f t="shared" ref="J19" si="29">I19</f>
        <v>0.86180686718539057</v>
      </c>
    </row>
    <row r="20" spans="1:10" x14ac:dyDescent="0.3">
      <c r="A20">
        <f t="shared" si="1"/>
        <v>0.12999999999999998</v>
      </c>
      <c r="B20">
        <f t="shared" si="0"/>
        <v>0.39584999999999992</v>
      </c>
      <c r="D20">
        <f t="shared" si="2"/>
        <v>13</v>
      </c>
      <c r="E20">
        <f t="shared" si="3"/>
        <v>0.45305074751843583</v>
      </c>
      <c r="H20">
        <f t="shared" ref="H20" si="30">H17+1</f>
        <v>6</v>
      </c>
      <c r="I20">
        <f t="shared" ref="I20" si="31">J18</f>
        <v>0.86180686718539057</v>
      </c>
      <c r="J20">
        <f t="shared" ref="J20" si="32">$E$3*I20*(1-I20)</f>
        <v>0.416835268001226</v>
      </c>
    </row>
    <row r="21" spans="1:10" x14ac:dyDescent="0.3">
      <c r="A21">
        <f t="shared" si="1"/>
        <v>0.13999999999999999</v>
      </c>
      <c r="B21">
        <f t="shared" si="0"/>
        <v>0.42139999999999994</v>
      </c>
      <c r="D21">
        <f t="shared" si="2"/>
        <v>14</v>
      </c>
      <c r="E21">
        <f t="shared" si="3"/>
        <v>0.86728518691997825</v>
      </c>
      <c r="H21">
        <f t="shared" ref="H21" si="33">H19+1</f>
        <v>7</v>
      </c>
      <c r="I21">
        <f t="shared" ref="I21" si="34">J20</f>
        <v>0.416835268001226</v>
      </c>
      <c r="J21">
        <f t="shared" ref="J21" si="35">I21</f>
        <v>0.416835268001226</v>
      </c>
    </row>
    <row r="22" spans="1:10" x14ac:dyDescent="0.3">
      <c r="A22">
        <f t="shared" si="1"/>
        <v>0.15</v>
      </c>
      <c r="B22">
        <f t="shared" si="0"/>
        <v>0.44624999999999998</v>
      </c>
      <c r="D22">
        <f t="shared" si="2"/>
        <v>15</v>
      </c>
      <c r="E22">
        <f t="shared" si="3"/>
        <v>0.40285557014204826</v>
      </c>
      <c r="H22">
        <f t="shared" ref="H22" si="36">H19+1</f>
        <v>7</v>
      </c>
      <c r="I22">
        <f t="shared" ref="I22" si="37">J20</f>
        <v>0.416835268001226</v>
      </c>
      <c r="J22">
        <f t="shared" ref="J22" si="38">$E$3*I22*(1-I22)</f>
        <v>0.85079269573050242</v>
      </c>
    </row>
    <row r="23" spans="1:10" x14ac:dyDescent="0.3">
      <c r="A23">
        <f t="shared" si="1"/>
        <v>0.16</v>
      </c>
      <c r="B23">
        <f t="shared" si="0"/>
        <v>0.47040000000000004</v>
      </c>
      <c r="D23">
        <f t="shared" si="2"/>
        <v>16</v>
      </c>
      <c r="E23">
        <f t="shared" si="3"/>
        <v>0.84197035911650731</v>
      </c>
      <c r="H23">
        <f t="shared" ref="H23" si="39">H21+1</f>
        <v>8</v>
      </c>
      <c r="I23">
        <f t="shared" ref="I23" si="40">J22</f>
        <v>0.85079269573050242</v>
      </c>
      <c r="J23">
        <f t="shared" ref="J23" si="41">I23</f>
        <v>0.85079269573050242</v>
      </c>
    </row>
    <row r="24" spans="1:10" x14ac:dyDescent="0.3">
      <c r="A24">
        <f t="shared" si="1"/>
        <v>0.17</v>
      </c>
      <c r="B24">
        <f t="shared" si="0"/>
        <v>0.49385000000000007</v>
      </c>
      <c r="D24">
        <f t="shared" si="2"/>
        <v>17</v>
      </c>
      <c r="E24">
        <f t="shared" si="3"/>
        <v>0.46569695720004461</v>
      </c>
      <c r="H24">
        <f t="shared" ref="H24" si="42">H21+1</f>
        <v>8</v>
      </c>
      <c r="I24">
        <f t="shared" ref="I24" si="43">J22</f>
        <v>0.85079269573050242</v>
      </c>
      <c r="J24">
        <f t="shared" ref="J24" si="44">$E$3*I24*(1-I24)</f>
        <v>0.44430569617744498</v>
      </c>
    </row>
    <row r="25" spans="1:10" x14ac:dyDescent="0.3">
      <c r="A25">
        <f t="shared" si="1"/>
        <v>0.18000000000000002</v>
      </c>
      <c r="B25">
        <f t="shared" si="0"/>
        <v>0.51660000000000006</v>
      </c>
      <c r="D25">
        <f t="shared" si="2"/>
        <v>18</v>
      </c>
      <c r="E25">
        <f t="shared" si="3"/>
        <v>0.87088155439132542</v>
      </c>
      <c r="H25">
        <f t="shared" ref="H25" si="45">H23+1</f>
        <v>9</v>
      </c>
      <c r="I25">
        <f t="shared" ref="I25" si="46">J24</f>
        <v>0.44430569617744498</v>
      </c>
      <c r="J25">
        <f t="shared" ref="J25" si="47">I25</f>
        <v>0.44430569617744498</v>
      </c>
    </row>
    <row r="26" spans="1:10" x14ac:dyDescent="0.3">
      <c r="A26">
        <f t="shared" si="1"/>
        <v>0.19000000000000003</v>
      </c>
      <c r="B26">
        <f t="shared" si="0"/>
        <v>0.53865000000000007</v>
      </c>
      <c r="D26">
        <f t="shared" si="2"/>
        <v>19</v>
      </c>
      <c r="E26">
        <f t="shared" si="3"/>
        <v>0.39356405414296014</v>
      </c>
      <c r="H26">
        <f t="shared" ref="H26" si="48">H23+1</f>
        <v>9</v>
      </c>
      <c r="I26">
        <f t="shared" ref="I26" si="49">J24</f>
        <v>0.44430569617744498</v>
      </c>
      <c r="J26">
        <f t="shared" ref="J26" si="50">$E$3*I26*(1-I26)</f>
        <v>0.86414350582602328</v>
      </c>
    </row>
    <row r="27" spans="1:10" x14ac:dyDescent="0.3">
      <c r="A27">
        <f t="shared" si="1"/>
        <v>0.20000000000000004</v>
      </c>
      <c r="B27">
        <f t="shared" si="0"/>
        <v>0.56000000000000005</v>
      </c>
      <c r="D27">
        <f t="shared" si="2"/>
        <v>20</v>
      </c>
      <c r="E27">
        <f t="shared" si="3"/>
        <v>0.8353498630033106</v>
      </c>
      <c r="H27">
        <f t="shared" ref="H27" si="51">H25+1</f>
        <v>10</v>
      </c>
      <c r="I27">
        <f t="shared" ref="I27" si="52">J26</f>
        <v>0.86414350582602328</v>
      </c>
      <c r="J27">
        <f t="shared" ref="J27" si="53">I27</f>
        <v>0.86414350582602328</v>
      </c>
    </row>
    <row r="28" spans="1:10" x14ac:dyDescent="0.3">
      <c r="A28">
        <f t="shared" si="1"/>
        <v>0.21000000000000005</v>
      </c>
      <c r="B28">
        <f t="shared" si="0"/>
        <v>0.58065000000000011</v>
      </c>
      <c r="D28">
        <f t="shared" si="2"/>
        <v>21</v>
      </c>
      <c r="E28">
        <f t="shared" si="3"/>
        <v>0.48139164284281283</v>
      </c>
      <c r="H28">
        <f t="shared" ref="H28" si="54">H25+1</f>
        <v>10</v>
      </c>
      <c r="I28">
        <f t="shared" ref="I28" si="55">J26</f>
        <v>0.86414350582602328</v>
      </c>
      <c r="J28">
        <f t="shared" ref="J28" si="56">$E$3*I28*(1-I28)</f>
        <v>0.41089827507656534</v>
      </c>
    </row>
    <row r="29" spans="1:10" x14ac:dyDescent="0.3">
      <c r="A29">
        <f t="shared" si="1"/>
        <v>0.22000000000000006</v>
      </c>
      <c r="B29">
        <f t="shared" si="0"/>
        <v>0.60060000000000013</v>
      </c>
      <c r="D29">
        <f t="shared" si="2"/>
        <v>22</v>
      </c>
      <c r="E29">
        <f t="shared" si="3"/>
        <v>0.87378805165368689</v>
      </c>
      <c r="H29">
        <f t="shared" ref="H29" si="57">H27+1</f>
        <v>11</v>
      </c>
      <c r="I29">
        <f t="shared" ref="I29" si="58">J28</f>
        <v>0.41089827507656534</v>
      </c>
      <c r="J29">
        <f t="shared" ref="J29" si="59">I29</f>
        <v>0.41089827507656534</v>
      </c>
    </row>
    <row r="30" spans="1:10" x14ac:dyDescent="0.3">
      <c r="A30">
        <f t="shared" si="1"/>
        <v>0.23000000000000007</v>
      </c>
      <c r="B30">
        <f t="shared" si="0"/>
        <v>0.61985000000000012</v>
      </c>
      <c r="D30">
        <f t="shared" si="2"/>
        <v>23</v>
      </c>
      <c r="E30">
        <f t="shared" si="3"/>
        <v>0.38598872354329244</v>
      </c>
      <c r="H30">
        <f t="shared" ref="H30" si="60">H27+1</f>
        <v>11</v>
      </c>
      <c r="I30">
        <f t="shared" ref="I30" si="61">J28</f>
        <v>0.41089827507656534</v>
      </c>
      <c r="J30">
        <f t="shared" ref="J30" si="62">$E$3*I30*(1-I30)</f>
        <v>0.84721308915484006</v>
      </c>
    </row>
    <row r="31" spans="1:10" x14ac:dyDescent="0.3">
      <c r="A31">
        <f t="shared" si="1"/>
        <v>0.24000000000000007</v>
      </c>
      <c r="B31">
        <f t="shared" si="0"/>
        <v>0.63840000000000019</v>
      </c>
      <c r="D31">
        <f t="shared" si="2"/>
        <v>24</v>
      </c>
      <c r="E31">
        <f t="shared" si="3"/>
        <v>0.82950500094249269</v>
      </c>
      <c r="H31">
        <f t="shared" ref="H31" si="63">H29+1</f>
        <v>12</v>
      </c>
      <c r="I31">
        <f t="shared" ref="I31" si="64">J30</f>
        <v>0.84721308915484006</v>
      </c>
      <c r="J31">
        <f t="shared" ref="J31" si="65">I31</f>
        <v>0.84721308915484006</v>
      </c>
    </row>
    <row r="32" spans="1:10" x14ac:dyDescent="0.3">
      <c r="A32">
        <f t="shared" si="1"/>
        <v>0.25000000000000006</v>
      </c>
      <c r="B32">
        <f t="shared" si="0"/>
        <v>0.65625000000000022</v>
      </c>
      <c r="D32">
        <f t="shared" si="2"/>
        <v>25</v>
      </c>
      <c r="E32">
        <f t="shared" si="3"/>
        <v>0.49499259023860764</v>
      </c>
      <c r="H32">
        <f t="shared" ref="H32" si="66">H29+1</f>
        <v>12</v>
      </c>
      <c r="I32">
        <f>J30</f>
        <v>0.84721308915484006</v>
      </c>
      <c r="J32">
        <f t="shared" ref="J32" si="67">$E$3*I32*(1-I32)</f>
        <v>0.45305074751843583</v>
      </c>
    </row>
    <row r="33" spans="1:10" x14ac:dyDescent="0.3">
      <c r="A33">
        <f t="shared" si="1"/>
        <v>0.26000000000000006</v>
      </c>
      <c r="B33">
        <f t="shared" si="0"/>
        <v>0.67340000000000022</v>
      </c>
      <c r="D33">
        <f t="shared" si="2"/>
        <v>26</v>
      </c>
      <c r="E33">
        <f t="shared" si="3"/>
        <v>0.87491224046618532</v>
      </c>
      <c r="H33">
        <f t="shared" ref="H33" si="68">H31+1</f>
        <v>13</v>
      </c>
      <c r="I33">
        <f t="shared" ref="I33" si="69">J32</f>
        <v>0.45305074751843583</v>
      </c>
      <c r="J33">
        <f t="shared" ref="J33" si="70">I33</f>
        <v>0.45305074751843583</v>
      </c>
    </row>
    <row r="34" spans="1:10" x14ac:dyDescent="0.3">
      <c r="A34">
        <f t="shared" si="1"/>
        <v>0.27000000000000007</v>
      </c>
      <c r="B34">
        <f t="shared" si="0"/>
        <v>0.68985000000000019</v>
      </c>
      <c r="D34">
        <f t="shared" si="2"/>
        <v>27</v>
      </c>
      <c r="E34">
        <f t="shared" si="3"/>
        <v>0.38304284182018827</v>
      </c>
      <c r="H34">
        <f t="shared" ref="H34" si="71">H31+1</f>
        <v>13</v>
      </c>
      <c r="I34">
        <f t="shared" ref="I34" si="72">J32</f>
        <v>0.45305074751843583</v>
      </c>
      <c r="J34">
        <f t="shared" ref="J34" si="73">$E$3*I34*(1-I34)</f>
        <v>0.86728518691997825</v>
      </c>
    </row>
    <row r="35" spans="1:10" x14ac:dyDescent="0.3">
      <c r="A35">
        <f t="shared" si="1"/>
        <v>0.28000000000000008</v>
      </c>
      <c r="B35">
        <f t="shared" si="0"/>
        <v>0.70560000000000023</v>
      </c>
      <c r="D35">
        <f t="shared" si="2"/>
        <v>28</v>
      </c>
      <c r="E35">
        <f t="shared" si="3"/>
        <v>0.82712358102675865</v>
      </c>
      <c r="H35">
        <f t="shared" ref="H35" si="74">H33+1</f>
        <v>14</v>
      </c>
      <c r="I35">
        <f t="shared" ref="I35" si="75">J34</f>
        <v>0.86728518691997825</v>
      </c>
      <c r="J35">
        <f t="shared" ref="J35" si="76">I35</f>
        <v>0.86728518691997825</v>
      </c>
    </row>
    <row r="36" spans="1:10" x14ac:dyDescent="0.3">
      <c r="A36">
        <f t="shared" si="1"/>
        <v>0.29000000000000009</v>
      </c>
      <c r="B36">
        <f t="shared" si="0"/>
        <v>0.72065000000000023</v>
      </c>
      <c r="D36">
        <f t="shared" si="2"/>
        <v>29</v>
      </c>
      <c r="E36">
        <f t="shared" si="3"/>
        <v>0.50046556957680388</v>
      </c>
      <c r="H36">
        <f t="shared" ref="H36" si="77">H33+1</f>
        <v>14</v>
      </c>
      <c r="I36">
        <f t="shared" ref="I36" si="78">J34</f>
        <v>0.86728518691997825</v>
      </c>
      <c r="J36">
        <f t="shared" ref="J36" si="79">$E$3*I36*(1-I36)</f>
        <v>0.40285557014204826</v>
      </c>
    </row>
    <row r="37" spans="1:10" x14ac:dyDescent="0.3">
      <c r="A37">
        <f t="shared" si="1"/>
        <v>0.3000000000000001</v>
      </c>
      <c r="B37">
        <f t="shared" si="0"/>
        <v>0.7350000000000001</v>
      </c>
      <c r="D37">
        <f t="shared" si="2"/>
        <v>30</v>
      </c>
      <c r="E37">
        <f t="shared" si="3"/>
        <v>0.87499924135739204</v>
      </c>
      <c r="H37">
        <f t="shared" ref="H37" si="80">H35+1</f>
        <v>15</v>
      </c>
      <c r="I37">
        <f t="shared" ref="I37" si="81">J36</f>
        <v>0.40285557014204826</v>
      </c>
      <c r="J37">
        <f t="shared" ref="J37" si="82">I37</f>
        <v>0.40285557014204826</v>
      </c>
    </row>
    <row r="38" spans="1:10" x14ac:dyDescent="0.3">
      <c r="A38">
        <f t="shared" si="1"/>
        <v>0.31000000000000011</v>
      </c>
      <c r="B38">
        <f t="shared" si="0"/>
        <v>0.74865000000000026</v>
      </c>
      <c r="D38">
        <f t="shared" si="2"/>
        <v>31</v>
      </c>
      <c r="E38">
        <f t="shared" si="3"/>
        <v>0.38281449143483154</v>
      </c>
      <c r="H38">
        <f t="shared" ref="H38" si="83">H35+1</f>
        <v>15</v>
      </c>
      <c r="I38">
        <f t="shared" ref="I38" si="84">J36</f>
        <v>0.40285557014204826</v>
      </c>
      <c r="J38">
        <f t="shared" ref="J38" si="85">$E$3*I38*(1-I38)</f>
        <v>0.84197035911650731</v>
      </c>
    </row>
    <row r="39" spans="1:10" x14ac:dyDescent="0.3">
      <c r="A39">
        <f t="shared" si="1"/>
        <v>0.32000000000000012</v>
      </c>
      <c r="B39">
        <f t="shared" si="0"/>
        <v>0.76160000000000017</v>
      </c>
      <c r="D39">
        <f t="shared" si="2"/>
        <v>32</v>
      </c>
      <c r="E39">
        <f t="shared" si="3"/>
        <v>0.82693644803812993</v>
      </c>
      <c r="H39">
        <f t="shared" ref="H39" si="86">H37+1</f>
        <v>16</v>
      </c>
      <c r="I39">
        <f t="shared" ref="I39" si="87">J38</f>
        <v>0.84197035911650731</v>
      </c>
      <c r="J39">
        <f t="shared" ref="J39" si="88">I39</f>
        <v>0.84197035911650731</v>
      </c>
    </row>
    <row r="40" spans="1:10" x14ac:dyDescent="0.3">
      <c r="A40">
        <f t="shared" si="1"/>
        <v>0.33000000000000013</v>
      </c>
      <c r="B40">
        <f t="shared" si="0"/>
        <v>0.77385000000000026</v>
      </c>
      <c r="D40">
        <f t="shared" si="2"/>
        <v>33</v>
      </c>
      <c r="E40">
        <f t="shared" si="3"/>
        <v>0.5008939563047391</v>
      </c>
      <c r="H40">
        <f t="shared" ref="H40" si="89">H37+1</f>
        <v>16</v>
      </c>
      <c r="I40">
        <f t="shared" ref="I40" si="90">J38</f>
        <v>0.84197035911650731</v>
      </c>
      <c r="J40">
        <f t="shared" ref="J40" si="91">$E$3*I40*(1-I40)</f>
        <v>0.46569695720004461</v>
      </c>
    </row>
    <row r="41" spans="1:10" x14ac:dyDescent="0.3">
      <c r="A41">
        <f t="shared" si="1"/>
        <v>0.34000000000000014</v>
      </c>
      <c r="B41">
        <f t="shared" si="0"/>
        <v>0.78540000000000021</v>
      </c>
      <c r="D41">
        <f t="shared" si="2"/>
        <v>34</v>
      </c>
      <c r="E41">
        <f t="shared" si="3"/>
        <v>0.87499720294743832</v>
      </c>
      <c r="H41">
        <f t="shared" ref="H41" si="92">H39+1</f>
        <v>17</v>
      </c>
      <c r="I41">
        <f t="shared" ref="I41" si="93">J40</f>
        <v>0.46569695720004461</v>
      </c>
      <c r="J41">
        <f t="shared" ref="J41" si="94">I41</f>
        <v>0.46569695720004461</v>
      </c>
    </row>
    <row r="42" spans="1:10" x14ac:dyDescent="0.3">
      <c r="A42">
        <f t="shared" si="1"/>
        <v>0.35000000000000014</v>
      </c>
      <c r="B42">
        <f t="shared" si="0"/>
        <v>0.79625000000000024</v>
      </c>
      <c r="D42">
        <f t="shared" si="2"/>
        <v>35</v>
      </c>
      <c r="E42">
        <f t="shared" si="3"/>
        <v>0.38281984223559218</v>
      </c>
      <c r="H42">
        <f t="shared" ref="H42" si="95">H39+1</f>
        <v>17</v>
      </c>
      <c r="I42">
        <f t="shared" ref="I42" si="96">J40</f>
        <v>0.46569695720004461</v>
      </c>
      <c r="J42">
        <f t="shared" ref="J42" si="97">$E$3*I42*(1-I42)</f>
        <v>0.87088155439132542</v>
      </c>
    </row>
    <row r="43" spans="1:10" x14ac:dyDescent="0.3">
      <c r="A43">
        <f t="shared" si="1"/>
        <v>0.36000000000000015</v>
      </c>
      <c r="B43">
        <f t="shared" si="0"/>
        <v>0.80640000000000012</v>
      </c>
      <c r="D43">
        <f t="shared" si="2"/>
        <v>36</v>
      </c>
      <c r="E43">
        <f t="shared" si="3"/>
        <v>0.82694083719207978</v>
      </c>
      <c r="H43">
        <f t="shared" ref="H43" si="98">H41+1</f>
        <v>18</v>
      </c>
      <c r="I43">
        <f t="shared" ref="I43" si="99">J42</f>
        <v>0.87088155439132542</v>
      </c>
      <c r="J43">
        <f t="shared" ref="J43" si="100">I43</f>
        <v>0.87088155439132542</v>
      </c>
    </row>
    <row r="44" spans="1:10" x14ac:dyDescent="0.3">
      <c r="A44">
        <f t="shared" si="1"/>
        <v>0.37000000000000016</v>
      </c>
      <c r="B44">
        <f t="shared" si="0"/>
        <v>0.81585000000000019</v>
      </c>
      <c r="D44">
        <f t="shared" si="2"/>
        <v>37</v>
      </c>
      <c r="E44">
        <f t="shared" si="3"/>
        <v>0.50088391141649691</v>
      </c>
      <c r="H44">
        <f t="shared" ref="H44" si="101">H41+1</f>
        <v>18</v>
      </c>
      <c r="I44">
        <f t="shared" ref="I44" si="102">J42</f>
        <v>0.87088155439132542</v>
      </c>
      <c r="J44">
        <f t="shared" ref="J44" si="103">$E$3*I44*(1-I44)</f>
        <v>0.39356405414296014</v>
      </c>
    </row>
    <row r="45" spans="1:10" x14ac:dyDescent="0.3">
      <c r="A45">
        <f t="shared" si="1"/>
        <v>0.38000000000000017</v>
      </c>
      <c r="B45">
        <f t="shared" si="0"/>
        <v>0.82460000000000011</v>
      </c>
      <c r="D45">
        <f t="shared" si="2"/>
        <v>38</v>
      </c>
      <c r="E45">
        <f t="shared" si="3"/>
        <v>0.8749972654521273</v>
      </c>
      <c r="H45">
        <f t="shared" ref="H45" si="104">H43+1</f>
        <v>19</v>
      </c>
      <c r="I45">
        <f t="shared" ref="I45" si="105">J44</f>
        <v>0.39356405414296014</v>
      </c>
      <c r="J45">
        <f t="shared" ref="J45" si="106">I45</f>
        <v>0.39356405414296014</v>
      </c>
    </row>
    <row r="46" spans="1:10" x14ac:dyDescent="0.3">
      <c r="A46">
        <f t="shared" si="1"/>
        <v>0.39000000000000018</v>
      </c>
      <c r="B46">
        <f t="shared" si="0"/>
        <v>0.83265000000000022</v>
      </c>
      <c r="D46">
        <f t="shared" si="2"/>
        <v>39</v>
      </c>
      <c r="E46">
        <f t="shared" si="3"/>
        <v>0.38281967816199369</v>
      </c>
      <c r="H46">
        <f t="shared" ref="H46" si="107">H43+1</f>
        <v>19</v>
      </c>
      <c r="I46">
        <f t="shared" ref="I46" si="108">J44</f>
        <v>0.39356405414296014</v>
      </c>
      <c r="J46">
        <f t="shared" ref="J46" si="109">$E$3*I46*(1-I46)</f>
        <v>0.8353498630033106</v>
      </c>
    </row>
    <row r="47" spans="1:10" x14ac:dyDescent="0.3">
      <c r="A47">
        <f t="shared" si="1"/>
        <v>0.40000000000000019</v>
      </c>
      <c r="B47">
        <f t="shared" si="0"/>
        <v>0.84000000000000019</v>
      </c>
      <c r="D47">
        <f t="shared" si="2"/>
        <v>40</v>
      </c>
      <c r="E47">
        <f t="shared" si="3"/>
        <v>0.82694070260879438</v>
      </c>
      <c r="H47">
        <f t="shared" ref="H47" si="110">H45+1</f>
        <v>20</v>
      </c>
      <c r="I47">
        <f t="shared" ref="I47" si="111">J46</f>
        <v>0.8353498630033106</v>
      </c>
      <c r="J47">
        <f t="shared" ref="J47" si="112">I47</f>
        <v>0.8353498630033106</v>
      </c>
    </row>
    <row r="48" spans="1:10" x14ac:dyDescent="0.3">
      <c r="A48">
        <f t="shared" si="1"/>
        <v>0.4100000000000002</v>
      </c>
      <c r="B48">
        <f t="shared" si="0"/>
        <v>0.84665000000000024</v>
      </c>
      <c r="D48">
        <f t="shared" si="2"/>
        <v>41</v>
      </c>
      <c r="E48">
        <f t="shared" si="3"/>
        <v>0.50088421942183758</v>
      </c>
      <c r="H48">
        <f t="shared" ref="H48" si="113">H45+1</f>
        <v>20</v>
      </c>
      <c r="I48">
        <f t="shared" ref="I48" si="114">J46</f>
        <v>0.8353498630033106</v>
      </c>
      <c r="J48">
        <f t="shared" ref="J48" si="115">$E$3*I48*(1-I48)</f>
        <v>0.48139164284281283</v>
      </c>
    </row>
    <row r="49" spans="1:10" x14ac:dyDescent="0.3">
      <c r="A49">
        <f t="shared" si="1"/>
        <v>0.42000000000000021</v>
      </c>
      <c r="B49">
        <f t="shared" si="0"/>
        <v>0.85260000000000014</v>
      </c>
      <c r="D49">
        <f t="shared" si="2"/>
        <v>42</v>
      </c>
      <c r="E49">
        <f t="shared" si="3"/>
        <v>0.87499726354604912</v>
      </c>
      <c r="H49">
        <f t="shared" ref="H49" si="116">H47+1</f>
        <v>21</v>
      </c>
      <c r="I49">
        <f t="shared" ref="I49" si="117">J48</f>
        <v>0.48139164284281283</v>
      </c>
      <c r="J49">
        <f t="shared" ref="J49" si="118">I49</f>
        <v>0.48139164284281283</v>
      </c>
    </row>
    <row r="50" spans="1:10" x14ac:dyDescent="0.3">
      <c r="A50">
        <f t="shared" si="1"/>
        <v>0.43000000000000022</v>
      </c>
      <c r="B50">
        <f t="shared" si="0"/>
        <v>0.85785000000000022</v>
      </c>
      <c r="D50">
        <f t="shared" si="2"/>
        <v>43</v>
      </c>
      <c r="E50">
        <f t="shared" si="3"/>
        <v>0.38281968316541243</v>
      </c>
      <c r="H50">
        <f t="shared" ref="H50" si="119">H47+1</f>
        <v>21</v>
      </c>
      <c r="I50">
        <f t="shared" ref="I50" si="120">J48</f>
        <v>0.48139164284281283</v>
      </c>
      <c r="J50">
        <f t="shared" ref="J50" si="121">$E$3*I50*(1-I50)</f>
        <v>0.87378805165368689</v>
      </c>
    </row>
    <row r="51" spans="1:10" x14ac:dyDescent="0.3">
      <c r="A51">
        <f t="shared" si="1"/>
        <v>0.44000000000000022</v>
      </c>
      <c r="B51">
        <f t="shared" si="0"/>
        <v>0.86240000000000017</v>
      </c>
      <c r="D51">
        <f t="shared" si="2"/>
        <v>44</v>
      </c>
      <c r="E51">
        <f t="shared" si="3"/>
        <v>0.82694070671290987</v>
      </c>
      <c r="H51">
        <f t="shared" ref="H51" si="122">H49+1</f>
        <v>22</v>
      </c>
      <c r="I51">
        <f t="shared" ref="I51" si="123">J50</f>
        <v>0.87378805165368689</v>
      </c>
      <c r="J51">
        <f t="shared" ref="J51" si="124">I51</f>
        <v>0.87378805165368689</v>
      </c>
    </row>
    <row r="52" spans="1:10" x14ac:dyDescent="0.3">
      <c r="A52">
        <f t="shared" si="1"/>
        <v>0.45000000000000023</v>
      </c>
      <c r="B52">
        <f t="shared" si="0"/>
        <v>0.86625000000000019</v>
      </c>
      <c r="D52">
        <f t="shared" si="2"/>
        <v>45</v>
      </c>
      <c r="E52">
        <f t="shared" si="3"/>
        <v>0.50088421002922068</v>
      </c>
      <c r="H52">
        <f t="shared" ref="H52" si="125">H49+1</f>
        <v>22</v>
      </c>
      <c r="I52">
        <f t="shared" ref="I52" si="126">J50</f>
        <v>0.87378805165368689</v>
      </c>
      <c r="J52">
        <f t="shared" ref="J52" si="127">$E$3*I52*(1-I52)</f>
        <v>0.38598872354329244</v>
      </c>
    </row>
    <row r="53" spans="1:10" x14ac:dyDescent="0.3">
      <c r="A53">
        <f t="shared" si="1"/>
        <v>0.46000000000000024</v>
      </c>
      <c r="B53">
        <f t="shared" si="0"/>
        <v>0.86940000000000006</v>
      </c>
      <c r="D53">
        <f t="shared" si="2"/>
        <v>46</v>
      </c>
      <c r="E53">
        <f t="shared" si="3"/>
        <v>0.87499726360418473</v>
      </c>
      <c r="H53">
        <f t="shared" ref="H53" si="128">H51+1</f>
        <v>23</v>
      </c>
      <c r="I53">
        <f t="shared" ref="I53" si="129">J52</f>
        <v>0.38598872354329244</v>
      </c>
      <c r="J53">
        <f t="shared" ref="J53" si="130">I53</f>
        <v>0.38598872354329244</v>
      </c>
    </row>
    <row r="54" spans="1:10" x14ac:dyDescent="0.3">
      <c r="A54">
        <f t="shared" si="1"/>
        <v>0.47000000000000025</v>
      </c>
      <c r="B54">
        <f t="shared" si="0"/>
        <v>0.87185000000000012</v>
      </c>
      <c r="D54">
        <f t="shared" si="2"/>
        <v>47</v>
      </c>
      <c r="E54">
        <f t="shared" si="3"/>
        <v>0.38281968301280761</v>
      </c>
      <c r="H54">
        <f t="shared" ref="H54" si="131">H51+1</f>
        <v>23</v>
      </c>
      <c r="I54">
        <f t="shared" ref="I54" si="132">J52</f>
        <v>0.38598872354329244</v>
      </c>
      <c r="J54">
        <f t="shared" ref="J54" si="133">$E$3*I54*(1-I54)</f>
        <v>0.82950500094249269</v>
      </c>
    </row>
    <row r="55" spans="1:10" x14ac:dyDescent="0.3">
      <c r="A55">
        <f t="shared" si="1"/>
        <v>0.48000000000000026</v>
      </c>
      <c r="B55">
        <f t="shared" si="0"/>
        <v>0.87360000000000004</v>
      </c>
      <c r="D55">
        <f t="shared" si="2"/>
        <v>48</v>
      </c>
      <c r="E55">
        <f t="shared" si="3"/>
        <v>0.82694070658773378</v>
      </c>
      <c r="H55">
        <f t="shared" ref="H55" si="134">H53+1</f>
        <v>24</v>
      </c>
      <c r="I55">
        <f t="shared" ref="I55" si="135">J54</f>
        <v>0.82950500094249269</v>
      </c>
      <c r="J55">
        <f t="shared" ref="J55" si="136">I55</f>
        <v>0.82950500094249269</v>
      </c>
    </row>
    <row r="56" spans="1:10" x14ac:dyDescent="0.3">
      <c r="A56">
        <f t="shared" si="1"/>
        <v>0.49000000000000027</v>
      </c>
      <c r="B56">
        <f t="shared" si="0"/>
        <v>0.87465000000000015</v>
      </c>
      <c r="D56">
        <f t="shared" si="2"/>
        <v>49</v>
      </c>
      <c r="E56">
        <f t="shared" si="3"/>
        <v>0.50088421031569685</v>
      </c>
      <c r="H56">
        <f t="shared" ref="H56" si="137">H53+1</f>
        <v>24</v>
      </c>
      <c r="I56">
        <f t="shared" ref="I56" si="138">J54</f>
        <v>0.82950500094249269</v>
      </c>
      <c r="J56">
        <f t="shared" ref="J56" si="139">$E$3*I56*(1-I56)</f>
        <v>0.49499259023860764</v>
      </c>
    </row>
    <row r="57" spans="1:10" x14ac:dyDescent="0.3">
      <c r="A57">
        <f t="shared" si="1"/>
        <v>0.50000000000000022</v>
      </c>
      <c r="B57">
        <f t="shared" si="0"/>
        <v>0.875</v>
      </c>
      <c r="D57">
        <f t="shared" si="2"/>
        <v>50</v>
      </c>
      <c r="E57">
        <f t="shared" si="3"/>
        <v>0.87499726360241159</v>
      </c>
      <c r="H57">
        <f t="shared" ref="H57" si="140">H55+1</f>
        <v>25</v>
      </c>
      <c r="I57">
        <f t="shared" ref="I57" si="141">J56</f>
        <v>0.49499259023860764</v>
      </c>
      <c r="J57">
        <f t="shared" ref="J57" si="142">I57</f>
        <v>0.49499259023860764</v>
      </c>
    </row>
    <row r="58" spans="1:10" x14ac:dyDescent="0.3">
      <c r="A58">
        <f t="shared" si="1"/>
        <v>0.51000000000000023</v>
      </c>
      <c r="B58">
        <f t="shared" si="0"/>
        <v>0.87465000000000004</v>
      </c>
      <c r="D58">
        <f t="shared" si="2"/>
        <v>51</v>
      </c>
      <c r="E58">
        <f t="shared" si="3"/>
        <v>0.38281968301746205</v>
      </c>
      <c r="H58">
        <f t="shared" ref="H58" si="143">H55+1</f>
        <v>25</v>
      </c>
      <c r="I58">
        <f t="shared" ref="I58" si="144">J56</f>
        <v>0.49499259023860764</v>
      </c>
      <c r="J58">
        <f t="shared" ref="J58" si="145">$E$3*I58*(1-I58)</f>
        <v>0.87491224046618532</v>
      </c>
    </row>
    <row r="59" spans="1:10" x14ac:dyDescent="0.3">
      <c r="A59">
        <f t="shared" si="1"/>
        <v>0.52000000000000024</v>
      </c>
      <c r="B59">
        <f t="shared" si="0"/>
        <v>0.87359999999999993</v>
      </c>
      <c r="D59">
        <f t="shared" si="2"/>
        <v>52</v>
      </c>
      <c r="E59">
        <f t="shared" si="3"/>
        <v>0.82694070659155172</v>
      </c>
      <c r="H59">
        <f t="shared" ref="H59" si="146">H57+1</f>
        <v>26</v>
      </c>
      <c r="I59">
        <f t="shared" ref="I59" si="147">J58</f>
        <v>0.87491224046618532</v>
      </c>
      <c r="J59">
        <f t="shared" ref="J59" si="148">I59</f>
        <v>0.87491224046618532</v>
      </c>
    </row>
    <row r="60" spans="1:10" x14ac:dyDescent="0.3">
      <c r="A60">
        <f t="shared" si="1"/>
        <v>0.53000000000000025</v>
      </c>
      <c r="B60">
        <f t="shared" si="0"/>
        <v>0.8718499999999999</v>
      </c>
      <c r="D60">
        <f t="shared" si="2"/>
        <v>53</v>
      </c>
      <c r="E60">
        <f t="shared" si="3"/>
        <v>0.50088421030695907</v>
      </c>
      <c r="H60">
        <f t="shared" ref="H60" si="149">H57+1</f>
        <v>26</v>
      </c>
      <c r="I60">
        <f t="shared" ref="I60" si="150">J58</f>
        <v>0.87491224046618532</v>
      </c>
      <c r="J60">
        <f t="shared" ref="J60" si="151">$E$3*I60*(1-I60)</f>
        <v>0.38304284182018827</v>
      </c>
    </row>
    <row r="61" spans="1:10" x14ac:dyDescent="0.3">
      <c r="A61">
        <f t="shared" si="1"/>
        <v>0.54000000000000026</v>
      </c>
      <c r="B61">
        <f t="shared" si="0"/>
        <v>0.86939999999999995</v>
      </c>
      <c r="D61">
        <f t="shared" si="2"/>
        <v>54</v>
      </c>
      <c r="E61">
        <f t="shared" si="3"/>
        <v>0.87499726360246577</v>
      </c>
      <c r="H61">
        <f t="shared" ref="H61" si="152">H59+1</f>
        <v>27</v>
      </c>
      <c r="I61">
        <f t="shared" ref="I61" si="153">J60</f>
        <v>0.38304284182018827</v>
      </c>
      <c r="J61">
        <f t="shared" ref="J61" si="154">I61</f>
        <v>0.38304284182018827</v>
      </c>
    </row>
    <row r="62" spans="1:10" x14ac:dyDescent="0.3">
      <c r="A62">
        <f t="shared" si="1"/>
        <v>0.55000000000000027</v>
      </c>
      <c r="B62">
        <f t="shared" si="0"/>
        <v>0.86624999999999985</v>
      </c>
      <c r="D62">
        <f t="shared" si="2"/>
        <v>55</v>
      </c>
      <c r="E62">
        <f t="shared" si="3"/>
        <v>0.38281968301731983</v>
      </c>
      <c r="H62">
        <f t="shared" ref="H62" si="155">H59+1</f>
        <v>27</v>
      </c>
      <c r="I62">
        <f t="shared" ref="I62" si="156">J60</f>
        <v>0.38304284182018827</v>
      </c>
      <c r="J62">
        <f t="shared" ref="J62" si="157">$E$3*I62*(1-I62)</f>
        <v>0.82712358102675865</v>
      </c>
    </row>
    <row r="63" spans="1:10" x14ac:dyDescent="0.3">
      <c r="A63">
        <f t="shared" si="1"/>
        <v>0.56000000000000028</v>
      </c>
      <c r="B63">
        <f t="shared" si="0"/>
        <v>0.86239999999999983</v>
      </c>
      <c r="D63">
        <f t="shared" si="2"/>
        <v>56</v>
      </c>
      <c r="E63">
        <f t="shared" si="3"/>
        <v>0.82694070659143515</v>
      </c>
      <c r="H63">
        <f t="shared" ref="H63" si="158">H61+1</f>
        <v>28</v>
      </c>
      <c r="I63">
        <f t="shared" ref="I63" si="159">J62</f>
        <v>0.82712358102675865</v>
      </c>
      <c r="J63">
        <f t="shared" ref="J63" si="160">I63</f>
        <v>0.82712358102675865</v>
      </c>
    </row>
    <row r="64" spans="1:10" x14ac:dyDescent="0.3">
      <c r="A64">
        <f t="shared" si="1"/>
        <v>0.57000000000000028</v>
      </c>
      <c r="B64">
        <f t="shared" si="0"/>
        <v>0.85784999999999989</v>
      </c>
      <c r="D64">
        <f t="shared" si="2"/>
        <v>57</v>
      </c>
      <c r="E64">
        <f t="shared" si="3"/>
        <v>0.50088421030722596</v>
      </c>
      <c r="H64">
        <f t="shared" ref="H64" si="161">H61+1</f>
        <v>28</v>
      </c>
      <c r="I64">
        <f t="shared" ref="I64" si="162">J62</f>
        <v>0.82712358102675865</v>
      </c>
      <c r="J64">
        <f t="shared" ref="J64" si="163">$E$3*I64*(1-I64)</f>
        <v>0.50046556957680388</v>
      </c>
    </row>
    <row r="65" spans="1:10" x14ac:dyDescent="0.3">
      <c r="A65">
        <f t="shared" si="1"/>
        <v>0.58000000000000029</v>
      </c>
      <c r="B65">
        <f t="shared" si="0"/>
        <v>0.85259999999999991</v>
      </c>
      <c r="D65">
        <f t="shared" si="2"/>
        <v>58</v>
      </c>
      <c r="E65">
        <f t="shared" si="3"/>
        <v>0.8749972636024641</v>
      </c>
      <c r="H65">
        <f t="shared" ref="H65" si="164">H63+1</f>
        <v>29</v>
      </c>
      <c r="I65">
        <f t="shared" ref="I65" si="165">J64</f>
        <v>0.50046556957680388</v>
      </c>
      <c r="J65">
        <f t="shared" ref="J65" si="166">I65</f>
        <v>0.50046556957680388</v>
      </c>
    </row>
    <row r="66" spans="1:10" x14ac:dyDescent="0.3">
      <c r="A66">
        <f t="shared" si="1"/>
        <v>0.5900000000000003</v>
      </c>
      <c r="B66">
        <f t="shared" si="0"/>
        <v>0.8466499999999999</v>
      </c>
      <c r="D66">
        <f t="shared" si="2"/>
        <v>59</v>
      </c>
      <c r="E66">
        <f t="shared" si="3"/>
        <v>0.38281968301732416</v>
      </c>
      <c r="H66">
        <f t="shared" ref="H66" si="167">H63+1</f>
        <v>29</v>
      </c>
      <c r="I66">
        <f t="shared" ref="I66" si="168">J64</f>
        <v>0.50046556957680388</v>
      </c>
      <c r="J66">
        <f t="shared" ref="J66" si="169">$E$3*I66*(1-I66)</f>
        <v>0.87499924135739204</v>
      </c>
    </row>
    <row r="67" spans="1:10" x14ac:dyDescent="0.3">
      <c r="A67">
        <f t="shared" si="1"/>
        <v>0.60000000000000031</v>
      </c>
      <c r="B67">
        <f t="shared" si="0"/>
        <v>0.83999999999999975</v>
      </c>
      <c r="D67">
        <f t="shared" si="2"/>
        <v>60</v>
      </c>
      <c r="E67">
        <f t="shared" si="3"/>
        <v>0.8269407065914387</v>
      </c>
      <c r="H67">
        <f t="shared" ref="H67" si="170">H65+1</f>
        <v>30</v>
      </c>
      <c r="I67">
        <f t="shared" ref="I67" si="171">J66</f>
        <v>0.87499924135739204</v>
      </c>
      <c r="J67">
        <f t="shared" ref="J67" si="172">I67</f>
        <v>0.87499924135739204</v>
      </c>
    </row>
    <row r="68" spans="1:10" x14ac:dyDescent="0.3">
      <c r="A68">
        <f t="shared" si="1"/>
        <v>0.61000000000000032</v>
      </c>
      <c r="B68">
        <f t="shared" si="0"/>
        <v>0.83264999999999978</v>
      </c>
      <c r="D68">
        <f t="shared" si="2"/>
        <v>61</v>
      </c>
      <c r="E68">
        <f t="shared" si="3"/>
        <v>0.50088421030721786</v>
      </c>
      <c r="H68">
        <f t="shared" ref="H68" si="173">H65+1</f>
        <v>30</v>
      </c>
      <c r="I68">
        <f t="shared" ref="I68" si="174">J66</f>
        <v>0.87499924135739204</v>
      </c>
      <c r="J68">
        <f t="shared" ref="J68" si="175">$E$3*I68*(1-I68)</f>
        <v>0.38281449143483154</v>
      </c>
    </row>
    <row r="69" spans="1:10" x14ac:dyDescent="0.3">
      <c r="A69">
        <f t="shared" si="1"/>
        <v>0.62000000000000033</v>
      </c>
      <c r="B69">
        <f t="shared" si="0"/>
        <v>0.82459999999999978</v>
      </c>
      <c r="D69">
        <f t="shared" si="2"/>
        <v>62</v>
      </c>
      <c r="E69">
        <f t="shared" si="3"/>
        <v>0.8749972636024641</v>
      </c>
      <c r="H69">
        <f t="shared" ref="H69" si="176">H67+1</f>
        <v>31</v>
      </c>
      <c r="I69">
        <f t="shared" ref="I69" si="177">J68</f>
        <v>0.38281449143483154</v>
      </c>
      <c r="J69">
        <f t="shared" ref="J69" si="178">I69</f>
        <v>0.38281449143483154</v>
      </c>
    </row>
    <row r="70" spans="1:10" x14ac:dyDescent="0.3">
      <c r="A70">
        <f t="shared" si="1"/>
        <v>0.63000000000000034</v>
      </c>
      <c r="B70">
        <f t="shared" si="0"/>
        <v>0.81584999999999963</v>
      </c>
      <c r="D70">
        <f t="shared" si="2"/>
        <v>63</v>
      </c>
      <c r="E70">
        <f t="shared" si="3"/>
        <v>0.38281968301732416</v>
      </c>
      <c r="H70">
        <f t="shared" ref="H70" si="179">H67+1</f>
        <v>31</v>
      </c>
      <c r="I70">
        <f t="shared" ref="I70" si="180">J68</f>
        <v>0.38281449143483154</v>
      </c>
      <c r="J70">
        <f t="shared" ref="J70" si="181">$E$3*I70*(1-I70)</f>
        <v>0.82693644803812993</v>
      </c>
    </row>
    <row r="71" spans="1:10" x14ac:dyDescent="0.3">
      <c r="A71">
        <f t="shared" si="1"/>
        <v>0.64000000000000035</v>
      </c>
      <c r="B71">
        <f t="shared" si="0"/>
        <v>0.80639999999999967</v>
      </c>
      <c r="D71">
        <f t="shared" si="2"/>
        <v>64</v>
      </c>
      <c r="E71">
        <f t="shared" si="3"/>
        <v>0.8269407065914387</v>
      </c>
      <c r="H71">
        <f t="shared" ref="H71" si="182">H69+1</f>
        <v>32</v>
      </c>
      <c r="I71">
        <f t="shared" ref="I71" si="183">J70</f>
        <v>0.82693644803812993</v>
      </c>
      <c r="J71">
        <f t="shared" ref="J71" si="184">I71</f>
        <v>0.82693644803812993</v>
      </c>
    </row>
    <row r="72" spans="1:10" x14ac:dyDescent="0.3">
      <c r="A72">
        <f t="shared" si="1"/>
        <v>0.65000000000000036</v>
      </c>
      <c r="B72">
        <f t="shared" ref="B72:B107" si="185">$E$3*A72*(1-A72)</f>
        <v>0.79624999999999968</v>
      </c>
      <c r="D72">
        <f t="shared" si="2"/>
        <v>65</v>
      </c>
      <c r="E72">
        <f t="shared" si="3"/>
        <v>0.50088421030721786</v>
      </c>
      <c r="H72">
        <f t="shared" ref="H72" si="186">H69+1</f>
        <v>32</v>
      </c>
      <c r="I72">
        <f t="shared" ref="I72" si="187">J70</f>
        <v>0.82693644803812993</v>
      </c>
      <c r="J72">
        <f t="shared" ref="J72" si="188">$E$3*I72*(1-I72)</f>
        <v>0.5008939563047391</v>
      </c>
    </row>
    <row r="73" spans="1:10" x14ac:dyDescent="0.3">
      <c r="A73">
        <f t="shared" ref="A73:A107" si="189">A72+0.01</f>
        <v>0.66000000000000036</v>
      </c>
      <c r="B73">
        <f t="shared" si="185"/>
        <v>0.78539999999999965</v>
      </c>
      <c r="D73">
        <f t="shared" ref="D73:D136" si="190">D72+1</f>
        <v>66</v>
      </c>
      <c r="E73">
        <f t="shared" ref="E73:E136" si="191">$E$3*E72*(1-E72)</f>
        <v>0.8749972636024641</v>
      </c>
      <c r="H73">
        <f t="shared" ref="H73" si="192">H71+1</f>
        <v>33</v>
      </c>
      <c r="I73">
        <f t="shared" ref="I73" si="193">J72</f>
        <v>0.5008939563047391</v>
      </c>
      <c r="J73">
        <f t="shared" ref="J73" si="194">I73</f>
        <v>0.5008939563047391</v>
      </c>
    </row>
    <row r="74" spans="1:10" x14ac:dyDescent="0.3">
      <c r="A74">
        <f t="shared" si="189"/>
        <v>0.67000000000000037</v>
      </c>
      <c r="B74">
        <f t="shared" si="185"/>
        <v>0.77384999999999959</v>
      </c>
      <c r="D74">
        <f t="shared" si="190"/>
        <v>67</v>
      </c>
      <c r="E74">
        <f t="shared" si="191"/>
        <v>0.38281968301732416</v>
      </c>
      <c r="H74">
        <f t="shared" ref="H74" si="195">H71+1</f>
        <v>33</v>
      </c>
      <c r="I74">
        <f t="shared" ref="I74" si="196">J72</f>
        <v>0.5008939563047391</v>
      </c>
      <c r="J74">
        <f t="shared" ref="J74" si="197">$E$3*I74*(1-I74)</f>
        <v>0.87499720294743832</v>
      </c>
    </row>
    <row r="75" spans="1:10" x14ac:dyDescent="0.3">
      <c r="A75">
        <f t="shared" si="189"/>
        <v>0.68000000000000038</v>
      </c>
      <c r="B75">
        <f t="shared" si="185"/>
        <v>0.7615999999999995</v>
      </c>
      <c r="D75">
        <f t="shared" si="190"/>
        <v>68</v>
      </c>
      <c r="E75">
        <f t="shared" si="191"/>
        <v>0.8269407065914387</v>
      </c>
      <c r="H75">
        <f t="shared" ref="H75" si="198">H73+1</f>
        <v>34</v>
      </c>
      <c r="I75">
        <f t="shared" ref="I75" si="199">J74</f>
        <v>0.87499720294743832</v>
      </c>
      <c r="J75">
        <f t="shared" ref="J75" si="200">I75</f>
        <v>0.87499720294743832</v>
      </c>
    </row>
    <row r="76" spans="1:10" x14ac:dyDescent="0.3">
      <c r="A76">
        <f t="shared" si="189"/>
        <v>0.69000000000000039</v>
      </c>
      <c r="B76">
        <f t="shared" si="185"/>
        <v>0.74864999999999948</v>
      </c>
      <c r="D76">
        <f t="shared" si="190"/>
        <v>69</v>
      </c>
      <c r="E76">
        <f t="shared" si="191"/>
        <v>0.50088421030721786</v>
      </c>
      <c r="H76">
        <f t="shared" ref="H76" si="201">H73+1</f>
        <v>34</v>
      </c>
      <c r="I76">
        <f t="shared" ref="I76" si="202">J74</f>
        <v>0.87499720294743832</v>
      </c>
      <c r="J76">
        <f t="shared" ref="J76" si="203">$E$3*I76*(1-I76)</f>
        <v>0.38281984223559218</v>
      </c>
    </row>
    <row r="77" spans="1:10" x14ac:dyDescent="0.3">
      <c r="A77">
        <f t="shared" si="189"/>
        <v>0.7000000000000004</v>
      </c>
      <c r="B77">
        <f t="shared" si="185"/>
        <v>0.73499999999999943</v>
      </c>
      <c r="D77">
        <f t="shared" si="190"/>
        <v>70</v>
      </c>
      <c r="E77">
        <f t="shared" si="191"/>
        <v>0.8749972636024641</v>
      </c>
      <c r="H77">
        <f t="shared" ref="H77" si="204">H75+1</f>
        <v>35</v>
      </c>
      <c r="I77">
        <f t="shared" ref="I77" si="205">J76</f>
        <v>0.38281984223559218</v>
      </c>
      <c r="J77">
        <f t="shared" ref="J77" si="206">I77</f>
        <v>0.38281984223559218</v>
      </c>
    </row>
    <row r="78" spans="1:10" x14ac:dyDescent="0.3">
      <c r="A78">
        <f t="shared" si="189"/>
        <v>0.71000000000000041</v>
      </c>
      <c r="B78">
        <f t="shared" si="185"/>
        <v>0.72064999999999935</v>
      </c>
      <c r="D78">
        <f t="shared" si="190"/>
        <v>71</v>
      </c>
      <c r="E78">
        <f t="shared" si="191"/>
        <v>0.38281968301732416</v>
      </c>
      <c r="H78">
        <f t="shared" ref="H78" si="207">H75+1</f>
        <v>35</v>
      </c>
      <c r="I78">
        <f t="shared" ref="I78" si="208">J76</f>
        <v>0.38281984223559218</v>
      </c>
      <c r="J78">
        <f t="shared" ref="J78" si="209">$E$3*I78*(1-I78)</f>
        <v>0.82694083719207978</v>
      </c>
    </row>
    <row r="79" spans="1:10" x14ac:dyDescent="0.3">
      <c r="A79">
        <f t="shared" si="189"/>
        <v>0.72000000000000042</v>
      </c>
      <c r="B79">
        <f t="shared" si="185"/>
        <v>0.70559999999999934</v>
      </c>
      <c r="D79">
        <f t="shared" si="190"/>
        <v>72</v>
      </c>
      <c r="E79">
        <f t="shared" si="191"/>
        <v>0.8269407065914387</v>
      </c>
      <c r="H79">
        <f t="shared" ref="H79" si="210">H77+1</f>
        <v>36</v>
      </c>
      <c r="I79">
        <f t="shared" ref="I79" si="211">J78</f>
        <v>0.82694083719207978</v>
      </c>
      <c r="J79">
        <f t="shared" ref="J79" si="212">I79</f>
        <v>0.82694083719207978</v>
      </c>
    </row>
    <row r="80" spans="1:10" x14ac:dyDescent="0.3">
      <c r="A80">
        <f t="shared" si="189"/>
        <v>0.73000000000000043</v>
      </c>
      <c r="B80">
        <f t="shared" si="185"/>
        <v>0.6898499999999993</v>
      </c>
      <c r="D80">
        <f t="shared" si="190"/>
        <v>73</v>
      </c>
      <c r="E80">
        <f t="shared" si="191"/>
        <v>0.50088421030721786</v>
      </c>
      <c r="H80">
        <f t="shared" ref="H80" si="213">H77+1</f>
        <v>36</v>
      </c>
      <c r="I80">
        <f t="shared" ref="I80" si="214">J78</f>
        <v>0.82694083719207978</v>
      </c>
      <c r="J80">
        <f t="shared" ref="J80" si="215">$E$3*I80*(1-I80)</f>
        <v>0.50088391141649691</v>
      </c>
    </row>
    <row r="81" spans="1:10" x14ac:dyDescent="0.3">
      <c r="A81">
        <f t="shared" si="189"/>
        <v>0.74000000000000044</v>
      </c>
      <c r="B81">
        <f t="shared" si="185"/>
        <v>0.67339999999999933</v>
      </c>
      <c r="D81">
        <f t="shared" si="190"/>
        <v>74</v>
      </c>
      <c r="E81">
        <f t="shared" si="191"/>
        <v>0.8749972636024641</v>
      </c>
      <c r="H81">
        <f t="shared" ref="H81" si="216">H79+1</f>
        <v>37</v>
      </c>
      <c r="I81">
        <f t="shared" ref="I81" si="217">J80</f>
        <v>0.50088391141649691</v>
      </c>
      <c r="J81">
        <f t="shared" ref="J81" si="218">I81</f>
        <v>0.50088391141649691</v>
      </c>
    </row>
    <row r="82" spans="1:10" x14ac:dyDescent="0.3">
      <c r="A82">
        <f t="shared" si="189"/>
        <v>0.75000000000000044</v>
      </c>
      <c r="B82">
        <f t="shared" si="185"/>
        <v>0.65624999999999933</v>
      </c>
      <c r="D82">
        <f t="shared" si="190"/>
        <v>75</v>
      </c>
      <c r="E82">
        <f t="shared" si="191"/>
        <v>0.38281968301732416</v>
      </c>
      <c r="H82">
        <f t="shared" ref="H82" si="219">H79+1</f>
        <v>37</v>
      </c>
      <c r="I82">
        <f t="shared" ref="I82" si="220">J80</f>
        <v>0.50088391141649691</v>
      </c>
      <c r="J82">
        <f t="shared" ref="J82" si="221">$E$3*I82*(1-I82)</f>
        <v>0.8749972654521273</v>
      </c>
    </row>
    <row r="83" spans="1:10" x14ac:dyDescent="0.3">
      <c r="A83">
        <f t="shared" si="189"/>
        <v>0.76000000000000045</v>
      </c>
      <c r="B83">
        <f t="shared" si="185"/>
        <v>0.63839999999999919</v>
      </c>
      <c r="D83">
        <f t="shared" si="190"/>
        <v>76</v>
      </c>
      <c r="E83">
        <f t="shared" si="191"/>
        <v>0.8269407065914387</v>
      </c>
      <c r="H83">
        <f t="shared" ref="H83" si="222">H81+1</f>
        <v>38</v>
      </c>
      <c r="I83">
        <f t="shared" ref="I83" si="223">J82</f>
        <v>0.8749972654521273</v>
      </c>
      <c r="J83">
        <f t="shared" ref="J83" si="224">I83</f>
        <v>0.8749972654521273</v>
      </c>
    </row>
    <row r="84" spans="1:10" x14ac:dyDescent="0.3">
      <c r="A84">
        <f t="shared" si="189"/>
        <v>0.77000000000000046</v>
      </c>
      <c r="B84">
        <f t="shared" si="185"/>
        <v>0.61984999999999912</v>
      </c>
      <c r="D84">
        <f t="shared" si="190"/>
        <v>77</v>
      </c>
      <c r="E84">
        <f t="shared" si="191"/>
        <v>0.50088421030721786</v>
      </c>
      <c r="H84">
        <f t="shared" ref="H84" si="225">H81+1</f>
        <v>38</v>
      </c>
      <c r="I84">
        <f t="shared" ref="I84" si="226">J82</f>
        <v>0.8749972654521273</v>
      </c>
      <c r="J84">
        <f t="shared" ref="J84" si="227">$E$3*I84*(1-I84)</f>
        <v>0.38281967816199369</v>
      </c>
    </row>
    <row r="85" spans="1:10" x14ac:dyDescent="0.3">
      <c r="A85">
        <f t="shared" si="189"/>
        <v>0.78000000000000047</v>
      </c>
      <c r="B85">
        <f t="shared" si="185"/>
        <v>0.60059999999999913</v>
      </c>
      <c r="D85">
        <f t="shared" si="190"/>
        <v>78</v>
      </c>
      <c r="E85">
        <f t="shared" si="191"/>
        <v>0.8749972636024641</v>
      </c>
      <c r="H85">
        <f t="shared" ref="H85" si="228">H83+1</f>
        <v>39</v>
      </c>
      <c r="I85">
        <f t="shared" ref="I85" si="229">J84</f>
        <v>0.38281967816199369</v>
      </c>
      <c r="J85">
        <f t="shared" ref="J85" si="230">I85</f>
        <v>0.38281967816199369</v>
      </c>
    </row>
    <row r="86" spans="1:10" x14ac:dyDescent="0.3">
      <c r="A86">
        <f t="shared" si="189"/>
        <v>0.79000000000000048</v>
      </c>
      <c r="B86">
        <f t="shared" si="185"/>
        <v>0.580649999999999</v>
      </c>
      <c r="D86">
        <f t="shared" si="190"/>
        <v>79</v>
      </c>
      <c r="E86">
        <f t="shared" si="191"/>
        <v>0.38281968301732416</v>
      </c>
      <c r="H86">
        <f t="shared" ref="H86" si="231">H83+1</f>
        <v>39</v>
      </c>
      <c r="I86">
        <f t="shared" ref="I86" si="232">J84</f>
        <v>0.38281967816199369</v>
      </c>
      <c r="J86">
        <f t="shared" ref="J86" si="233">$E$3*I86*(1-I86)</f>
        <v>0.82694070260879438</v>
      </c>
    </row>
    <row r="87" spans="1:10" x14ac:dyDescent="0.3">
      <c r="A87">
        <f t="shared" si="189"/>
        <v>0.80000000000000049</v>
      </c>
      <c r="B87">
        <f t="shared" si="185"/>
        <v>0.55999999999999894</v>
      </c>
      <c r="D87">
        <f t="shared" si="190"/>
        <v>80</v>
      </c>
      <c r="E87">
        <f t="shared" si="191"/>
        <v>0.8269407065914387</v>
      </c>
      <c r="H87">
        <f t="shared" ref="H87" si="234">H85+1</f>
        <v>40</v>
      </c>
      <c r="I87">
        <f t="shared" ref="I87" si="235">J86</f>
        <v>0.82694070260879438</v>
      </c>
      <c r="J87">
        <f t="shared" ref="J87" si="236">I87</f>
        <v>0.82694070260879438</v>
      </c>
    </row>
    <row r="88" spans="1:10" x14ac:dyDescent="0.3">
      <c r="A88">
        <f t="shared" si="189"/>
        <v>0.8100000000000005</v>
      </c>
      <c r="B88">
        <f t="shared" si="185"/>
        <v>0.53864999999999896</v>
      </c>
      <c r="D88">
        <f t="shared" si="190"/>
        <v>81</v>
      </c>
      <c r="E88">
        <f t="shared" si="191"/>
        <v>0.50088421030721786</v>
      </c>
      <c r="H88">
        <f t="shared" ref="H88" si="237">H85+1</f>
        <v>40</v>
      </c>
      <c r="I88">
        <f t="shared" ref="I88" si="238">J86</f>
        <v>0.82694070260879438</v>
      </c>
      <c r="J88">
        <f t="shared" ref="J88" si="239">$E$3*I88*(1-I88)</f>
        <v>0.50088421942183758</v>
      </c>
    </row>
    <row r="89" spans="1:10" x14ac:dyDescent="0.3">
      <c r="A89">
        <f t="shared" si="189"/>
        <v>0.82000000000000051</v>
      </c>
      <c r="B89">
        <f t="shared" si="185"/>
        <v>0.51659999999999884</v>
      </c>
      <c r="D89">
        <f t="shared" si="190"/>
        <v>82</v>
      </c>
      <c r="E89">
        <f t="shared" si="191"/>
        <v>0.8749972636024641</v>
      </c>
      <c r="H89">
        <f t="shared" ref="H89" si="240">H87+1</f>
        <v>41</v>
      </c>
      <c r="I89">
        <f t="shared" ref="I89" si="241">J88</f>
        <v>0.50088421942183758</v>
      </c>
      <c r="J89">
        <f t="shared" ref="J89" si="242">I89</f>
        <v>0.50088421942183758</v>
      </c>
    </row>
    <row r="90" spans="1:10" x14ac:dyDescent="0.3">
      <c r="A90">
        <f t="shared" si="189"/>
        <v>0.83000000000000052</v>
      </c>
      <c r="B90">
        <f t="shared" si="185"/>
        <v>0.49384999999999885</v>
      </c>
      <c r="D90">
        <f t="shared" si="190"/>
        <v>83</v>
      </c>
      <c r="E90">
        <f t="shared" si="191"/>
        <v>0.38281968301732416</v>
      </c>
      <c r="H90">
        <f t="shared" ref="H90" si="243">H87+1</f>
        <v>41</v>
      </c>
      <c r="I90">
        <f t="shared" ref="I90" si="244">J88</f>
        <v>0.50088421942183758</v>
      </c>
      <c r="J90">
        <f t="shared" ref="J90" si="245">$E$3*I90*(1-I90)</f>
        <v>0.87499726354604912</v>
      </c>
    </row>
    <row r="91" spans="1:10" x14ac:dyDescent="0.3">
      <c r="A91">
        <f t="shared" si="189"/>
        <v>0.84000000000000052</v>
      </c>
      <c r="B91">
        <f t="shared" si="185"/>
        <v>0.47039999999999871</v>
      </c>
      <c r="D91">
        <f t="shared" si="190"/>
        <v>84</v>
      </c>
      <c r="E91">
        <f t="shared" si="191"/>
        <v>0.8269407065914387</v>
      </c>
      <c r="H91">
        <f t="shared" ref="H91" si="246">H89+1</f>
        <v>42</v>
      </c>
      <c r="I91">
        <f t="shared" ref="I91" si="247">J90</f>
        <v>0.87499726354604912</v>
      </c>
      <c r="J91">
        <f t="shared" ref="J91" si="248">I91</f>
        <v>0.87499726354604912</v>
      </c>
    </row>
    <row r="92" spans="1:10" x14ac:dyDescent="0.3">
      <c r="A92">
        <f t="shared" si="189"/>
        <v>0.85000000000000053</v>
      </c>
      <c r="B92">
        <f t="shared" si="185"/>
        <v>0.4462499999999987</v>
      </c>
      <c r="D92">
        <f t="shared" si="190"/>
        <v>85</v>
      </c>
      <c r="E92">
        <f t="shared" si="191"/>
        <v>0.50088421030721786</v>
      </c>
      <c r="H92">
        <f t="shared" ref="H92" si="249">H89+1</f>
        <v>42</v>
      </c>
      <c r="I92">
        <f t="shared" ref="I92" si="250">J90</f>
        <v>0.87499726354604912</v>
      </c>
      <c r="J92">
        <f t="shared" ref="J92" si="251">$E$3*I92*(1-I92)</f>
        <v>0.38281968316541243</v>
      </c>
    </row>
    <row r="93" spans="1:10" x14ac:dyDescent="0.3">
      <c r="A93">
        <f t="shared" si="189"/>
        <v>0.86000000000000054</v>
      </c>
      <c r="B93">
        <f t="shared" si="185"/>
        <v>0.42139999999999866</v>
      </c>
      <c r="D93">
        <f t="shared" si="190"/>
        <v>86</v>
      </c>
      <c r="E93">
        <f t="shared" si="191"/>
        <v>0.8749972636024641</v>
      </c>
      <c r="H93">
        <f t="shared" ref="H93" si="252">H91+1</f>
        <v>43</v>
      </c>
      <c r="I93">
        <f t="shared" ref="I93" si="253">J92</f>
        <v>0.38281968316541243</v>
      </c>
      <c r="J93">
        <f t="shared" ref="J93" si="254">I93</f>
        <v>0.38281968316541243</v>
      </c>
    </row>
    <row r="94" spans="1:10" x14ac:dyDescent="0.3">
      <c r="A94">
        <f t="shared" si="189"/>
        <v>0.87000000000000055</v>
      </c>
      <c r="B94">
        <f t="shared" si="185"/>
        <v>0.39584999999999854</v>
      </c>
      <c r="D94">
        <f t="shared" si="190"/>
        <v>87</v>
      </c>
      <c r="E94">
        <f t="shared" si="191"/>
        <v>0.38281968301732416</v>
      </c>
      <c r="H94">
        <f t="shared" ref="H94" si="255">H91+1</f>
        <v>43</v>
      </c>
      <c r="I94">
        <f t="shared" ref="I94" si="256">J92</f>
        <v>0.38281968316541243</v>
      </c>
      <c r="J94">
        <f t="shared" ref="J94" si="257">$E$3*I94*(1-I94)</f>
        <v>0.82694070671290987</v>
      </c>
    </row>
    <row r="95" spans="1:10" x14ac:dyDescent="0.3">
      <c r="A95">
        <f t="shared" si="189"/>
        <v>0.88000000000000056</v>
      </c>
      <c r="B95">
        <f t="shared" si="185"/>
        <v>0.36959999999999849</v>
      </c>
      <c r="D95">
        <f t="shared" si="190"/>
        <v>88</v>
      </c>
      <c r="E95">
        <f t="shared" si="191"/>
        <v>0.8269407065914387</v>
      </c>
      <c r="H95">
        <f t="shared" ref="H95" si="258">H93+1</f>
        <v>44</v>
      </c>
      <c r="I95">
        <f t="shared" ref="I95" si="259">J94</f>
        <v>0.82694070671290987</v>
      </c>
      <c r="J95">
        <f t="shared" ref="J95" si="260">I95</f>
        <v>0.82694070671290987</v>
      </c>
    </row>
    <row r="96" spans="1:10" x14ac:dyDescent="0.3">
      <c r="A96">
        <f t="shared" si="189"/>
        <v>0.89000000000000057</v>
      </c>
      <c r="B96">
        <f t="shared" si="185"/>
        <v>0.34264999999999846</v>
      </c>
      <c r="D96">
        <f t="shared" si="190"/>
        <v>89</v>
      </c>
      <c r="E96">
        <f t="shared" si="191"/>
        <v>0.50088421030721786</v>
      </c>
      <c r="H96">
        <f t="shared" ref="H96" si="261">H93+1</f>
        <v>44</v>
      </c>
      <c r="I96">
        <f t="shared" ref="I96" si="262">J94</f>
        <v>0.82694070671290987</v>
      </c>
      <c r="J96">
        <f t="shared" ref="J96" si="263">$E$3*I96*(1-I96)</f>
        <v>0.50088421002922068</v>
      </c>
    </row>
    <row r="97" spans="1:10" x14ac:dyDescent="0.3">
      <c r="A97">
        <f t="shared" si="189"/>
        <v>0.90000000000000058</v>
      </c>
      <c r="B97">
        <f t="shared" si="185"/>
        <v>0.31499999999999839</v>
      </c>
      <c r="D97">
        <f t="shared" si="190"/>
        <v>90</v>
      </c>
      <c r="E97">
        <f t="shared" si="191"/>
        <v>0.8749972636024641</v>
      </c>
      <c r="H97">
        <f t="shared" ref="H97" si="264">H95+1</f>
        <v>45</v>
      </c>
      <c r="I97">
        <f t="shared" ref="I97" si="265">J96</f>
        <v>0.50088421002922068</v>
      </c>
      <c r="J97">
        <f t="shared" ref="J97" si="266">I97</f>
        <v>0.50088421002922068</v>
      </c>
    </row>
    <row r="98" spans="1:10" x14ac:dyDescent="0.3">
      <c r="A98">
        <f t="shared" si="189"/>
        <v>0.91000000000000059</v>
      </c>
      <c r="B98">
        <f t="shared" si="185"/>
        <v>0.28664999999999835</v>
      </c>
      <c r="D98">
        <f t="shared" si="190"/>
        <v>91</v>
      </c>
      <c r="E98">
        <f t="shared" si="191"/>
        <v>0.38281968301732416</v>
      </c>
      <c r="H98">
        <f t="shared" ref="H98" si="267">H95+1</f>
        <v>45</v>
      </c>
      <c r="I98">
        <f t="shared" ref="I98" si="268">J96</f>
        <v>0.50088421002922068</v>
      </c>
      <c r="J98">
        <f t="shared" ref="J98" si="269">$E$3*I98*(1-I98)</f>
        <v>0.87499726360418473</v>
      </c>
    </row>
    <row r="99" spans="1:10" x14ac:dyDescent="0.3">
      <c r="A99">
        <f t="shared" si="189"/>
        <v>0.9200000000000006</v>
      </c>
      <c r="B99">
        <f t="shared" si="185"/>
        <v>0.25759999999999822</v>
      </c>
      <c r="D99">
        <f t="shared" si="190"/>
        <v>92</v>
      </c>
      <c r="E99">
        <f t="shared" si="191"/>
        <v>0.8269407065914387</v>
      </c>
      <c r="H99">
        <f t="shared" ref="H99" si="270">H97+1</f>
        <v>46</v>
      </c>
      <c r="I99">
        <f t="shared" ref="I99" si="271">J98</f>
        <v>0.87499726360418473</v>
      </c>
      <c r="J99">
        <f t="shared" ref="J99" si="272">I99</f>
        <v>0.87499726360418473</v>
      </c>
    </row>
    <row r="100" spans="1:10" x14ac:dyDescent="0.3">
      <c r="A100">
        <f t="shared" si="189"/>
        <v>0.9300000000000006</v>
      </c>
      <c r="B100">
        <f t="shared" si="185"/>
        <v>0.22784999999999819</v>
      </c>
      <c r="D100">
        <f t="shared" si="190"/>
        <v>93</v>
      </c>
      <c r="E100">
        <f t="shared" si="191"/>
        <v>0.50088421030721786</v>
      </c>
      <c r="H100">
        <f t="shared" ref="H100" si="273">H97+1</f>
        <v>46</v>
      </c>
      <c r="I100">
        <f t="shared" ref="I100" si="274">J98</f>
        <v>0.87499726360418473</v>
      </c>
      <c r="J100">
        <f t="shared" ref="J100" si="275">$E$3*I100*(1-I100)</f>
        <v>0.38281968301280761</v>
      </c>
    </row>
    <row r="101" spans="1:10" x14ac:dyDescent="0.3">
      <c r="A101">
        <f t="shared" si="189"/>
        <v>0.94000000000000061</v>
      </c>
      <c r="B101">
        <f t="shared" si="185"/>
        <v>0.19739999999999813</v>
      </c>
      <c r="D101">
        <f t="shared" si="190"/>
        <v>94</v>
      </c>
      <c r="E101">
        <f t="shared" si="191"/>
        <v>0.8749972636024641</v>
      </c>
      <c r="H101">
        <f t="shared" ref="H101" si="276">H99+1</f>
        <v>47</v>
      </c>
      <c r="I101">
        <f t="shared" ref="I101" si="277">J100</f>
        <v>0.38281968301280761</v>
      </c>
      <c r="J101">
        <f t="shared" ref="J101" si="278">I101</f>
        <v>0.38281968301280761</v>
      </c>
    </row>
    <row r="102" spans="1:10" x14ac:dyDescent="0.3">
      <c r="A102">
        <f t="shared" si="189"/>
        <v>0.95000000000000062</v>
      </c>
      <c r="B102">
        <f t="shared" si="185"/>
        <v>0.16624999999999804</v>
      </c>
      <c r="D102">
        <f t="shared" si="190"/>
        <v>95</v>
      </c>
      <c r="E102">
        <f t="shared" si="191"/>
        <v>0.38281968301732416</v>
      </c>
      <c r="H102">
        <f t="shared" ref="H102" si="279">H99+1</f>
        <v>47</v>
      </c>
      <c r="I102">
        <f t="shared" ref="I102" si="280">J100</f>
        <v>0.38281968301280761</v>
      </c>
      <c r="J102">
        <f t="shared" ref="J102" si="281">$E$3*I102*(1-I102)</f>
        <v>0.82694070658773378</v>
      </c>
    </row>
    <row r="103" spans="1:10" x14ac:dyDescent="0.3">
      <c r="A103">
        <f t="shared" si="189"/>
        <v>0.96000000000000063</v>
      </c>
      <c r="B103">
        <f t="shared" si="185"/>
        <v>0.13439999999999797</v>
      </c>
      <c r="D103">
        <f t="shared" si="190"/>
        <v>96</v>
      </c>
      <c r="E103">
        <f t="shared" si="191"/>
        <v>0.8269407065914387</v>
      </c>
      <c r="H103">
        <f t="shared" ref="H103" si="282">H101+1</f>
        <v>48</v>
      </c>
      <c r="I103">
        <f t="shared" ref="I103" si="283">J102</f>
        <v>0.82694070658773378</v>
      </c>
      <c r="J103">
        <f t="shared" ref="J103" si="284">I103</f>
        <v>0.82694070658773378</v>
      </c>
    </row>
    <row r="104" spans="1:10" x14ac:dyDescent="0.3">
      <c r="A104">
        <f t="shared" si="189"/>
        <v>0.97000000000000064</v>
      </c>
      <c r="B104">
        <f t="shared" si="185"/>
        <v>0.1018499999999979</v>
      </c>
      <c r="D104">
        <f t="shared" si="190"/>
        <v>97</v>
      </c>
      <c r="E104">
        <f t="shared" si="191"/>
        <v>0.50088421030721786</v>
      </c>
      <c r="H104">
        <f t="shared" ref="H104" si="285">H101+1</f>
        <v>48</v>
      </c>
      <c r="I104">
        <f t="shared" ref="I104" si="286">J102</f>
        <v>0.82694070658773378</v>
      </c>
      <c r="J104">
        <f t="shared" ref="J104" si="287">$E$3*I104*(1-I104)</f>
        <v>0.50088421031569685</v>
      </c>
    </row>
    <row r="105" spans="1:10" x14ac:dyDescent="0.3">
      <c r="A105">
        <f t="shared" si="189"/>
        <v>0.98000000000000065</v>
      </c>
      <c r="B105">
        <f t="shared" si="185"/>
        <v>6.8599999999997829E-2</v>
      </c>
      <c r="D105">
        <f t="shared" si="190"/>
        <v>98</v>
      </c>
      <c r="E105">
        <f t="shared" si="191"/>
        <v>0.8749972636024641</v>
      </c>
      <c r="H105">
        <f t="shared" ref="H105" si="288">H103+1</f>
        <v>49</v>
      </c>
      <c r="I105">
        <f t="shared" ref="I105" si="289">J104</f>
        <v>0.50088421031569685</v>
      </c>
      <c r="J105">
        <f t="shared" ref="J105" si="290">I105</f>
        <v>0.50088421031569685</v>
      </c>
    </row>
    <row r="106" spans="1:10" x14ac:dyDescent="0.3">
      <c r="A106">
        <f t="shared" si="189"/>
        <v>0.99000000000000066</v>
      </c>
      <c r="B106">
        <f t="shared" si="185"/>
        <v>3.4649999999997745E-2</v>
      </c>
      <c r="D106">
        <f t="shared" si="190"/>
        <v>99</v>
      </c>
      <c r="E106">
        <f t="shared" si="191"/>
        <v>0.38281968301732416</v>
      </c>
      <c r="H106">
        <f t="shared" ref="H106" si="291">H103+1</f>
        <v>49</v>
      </c>
      <c r="I106">
        <f t="shared" ref="I106" si="292">J104</f>
        <v>0.50088421031569685</v>
      </c>
      <c r="J106">
        <f t="shared" ref="J106" si="293">$E$3*I106*(1-I106)</f>
        <v>0.87499726360241159</v>
      </c>
    </row>
    <row r="107" spans="1:10" x14ac:dyDescent="0.3">
      <c r="A107">
        <f t="shared" si="189"/>
        <v>1.0000000000000007</v>
      </c>
      <c r="B107">
        <f t="shared" si="185"/>
        <v>-2.3314683517128303E-15</v>
      </c>
      <c r="D107">
        <f t="shared" si="190"/>
        <v>100</v>
      </c>
      <c r="E107">
        <f t="shared" si="191"/>
        <v>0.8269407065914387</v>
      </c>
      <c r="H107">
        <f t="shared" ref="H107" si="294">H105+1</f>
        <v>50</v>
      </c>
      <c r="I107">
        <f t="shared" ref="I107" si="295">J106</f>
        <v>0.87499726360241159</v>
      </c>
      <c r="J107">
        <f t="shared" ref="J107" si="296">I107</f>
        <v>0.87499726360241159</v>
      </c>
    </row>
    <row r="108" spans="1:10" x14ac:dyDescent="0.3">
      <c r="D108">
        <f t="shared" si="190"/>
        <v>101</v>
      </c>
      <c r="E108">
        <f t="shared" si="191"/>
        <v>0.50088421030721786</v>
      </c>
      <c r="H108">
        <f t="shared" ref="H108" si="297">H105+1</f>
        <v>50</v>
      </c>
      <c r="I108">
        <f t="shared" ref="I108" si="298">J106</f>
        <v>0.87499726360241159</v>
      </c>
      <c r="J108">
        <f t="shared" ref="J108" si="299">$E$3*I108*(1-I108)</f>
        <v>0.38281968301746205</v>
      </c>
    </row>
    <row r="109" spans="1:10" x14ac:dyDescent="0.3">
      <c r="D109">
        <f t="shared" si="190"/>
        <v>102</v>
      </c>
      <c r="E109">
        <f t="shared" si="191"/>
        <v>0.8749972636024641</v>
      </c>
      <c r="H109">
        <f t="shared" ref="H109" si="300">H107+1</f>
        <v>51</v>
      </c>
      <c r="I109">
        <f t="shared" ref="I109" si="301">J108</f>
        <v>0.38281968301746205</v>
      </c>
      <c r="J109">
        <f t="shared" ref="J109" si="302">I109</f>
        <v>0.38281968301746205</v>
      </c>
    </row>
    <row r="110" spans="1:10" x14ac:dyDescent="0.3">
      <c r="D110">
        <f t="shared" si="190"/>
        <v>103</v>
      </c>
      <c r="E110">
        <f t="shared" si="191"/>
        <v>0.38281968301732416</v>
      </c>
      <c r="H110">
        <f t="shared" ref="H110" si="303">H107+1</f>
        <v>51</v>
      </c>
      <c r="I110">
        <f t="shared" ref="I110" si="304">J108</f>
        <v>0.38281968301746205</v>
      </c>
      <c r="J110">
        <f t="shared" ref="J110" si="305">$E$3*I110*(1-I110)</f>
        <v>0.82694070659155172</v>
      </c>
    </row>
    <row r="111" spans="1:10" x14ac:dyDescent="0.3">
      <c r="D111">
        <f t="shared" si="190"/>
        <v>104</v>
      </c>
      <c r="E111">
        <f t="shared" si="191"/>
        <v>0.8269407065914387</v>
      </c>
      <c r="H111">
        <f t="shared" ref="H111" si="306">H109+1</f>
        <v>52</v>
      </c>
      <c r="I111">
        <f t="shared" ref="I111" si="307">J110</f>
        <v>0.82694070659155172</v>
      </c>
      <c r="J111">
        <f t="shared" ref="J111" si="308">I111</f>
        <v>0.82694070659155172</v>
      </c>
    </row>
    <row r="112" spans="1:10" x14ac:dyDescent="0.3">
      <c r="D112">
        <f t="shared" si="190"/>
        <v>105</v>
      </c>
      <c r="E112">
        <f t="shared" si="191"/>
        <v>0.50088421030721786</v>
      </c>
      <c r="H112">
        <f t="shared" ref="H112" si="309">H109+1</f>
        <v>52</v>
      </c>
      <c r="I112">
        <f t="shared" ref="I112" si="310">J110</f>
        <v>0.82694070659155172</v>
      </c>
      <c r="J112">
        <f t="shared" ref="J112" si="311">$E$3*I112*(1-I112)</f>
        <v>0.50088421030695907</v>
      </c>
    </row>
    <row r="113" spans="4:10" x14ac:dyDescent="0.3">
      <c r="D113">
        <f t="shared" si="190"/>
        <v>106</v>
      </c>
      <c r="E113">
        <f t="shared" si="191"/>
        <v>0.8749972636024641</v>
      </c>
      <c r="H113">
        <f t="shared" ref="H113" si="312">H111+1</f>
        <v>53</v>
      </c>
      <c r="I113">
        <f t="shared" ref="I113" si="313">J112</f>
        <v>0.50088421030695907</v>
      </c>
      <c r="J113">
        <f t="shared" ref="J113" si="314">I113</f>
        <v>0.50088421030695907</v>
      </c>
    </row>
    <row r="114" spans="4:10" x14ac:dyDescent="0.3">
      <c r="D114">
        <f t="shared" si="190"/>
        <v>107</v>
      </c>
      <c r="E114">
        <f t="shared" si="191"/>
        <v>0.38281968301732416</v>
      </c>
      <c r="H114">
        <f t="shared" ref="H114" si="315">H111+1</f>
        <v>53</v>
      </c>
      <c r="I114">
        <f t="shared" ref="I114" si="316">J112</f>
        <v>0.50088421030695907</v>
      </c>
      <c r="J114">
        <f t="shared" ref="J114" si="317">$E$3*I114*(1-I114)</f>
        <v>0.87499726360246577</v>
      </c>
    </row>
    <row r="115" spans="4:10" x14ac:dyDescent="0.3">
      <c r="D115">
        <f t="shared" si="190"/>
        <v>108</v>
      </c>
      <c r="E115">
        <f t="shared" si="191"/>
        <v>0.8269407065914387</v>
      </c>
      <c r="H115">
        <f t="shared" ref="H115" si="318">H113+1</f>
        <v>54</v>
      </c>
      <c r="I115">
        <f t="shared" ref="I115" si="319">J114</f>
        <v>0.87499726360246577</v>
      </c>
      <c r="J115">
        <f t="shared" ref="J115" si="320">I115</f>
        <v>0.87499726360246577</v>
      </c>
    </row>
    <row r="116" spans="4:10" x14ac:dyDescent="0.3">
      <c r="D116">
        <f t="shared" si="190"/>
        <v>109</v>
      </c>
      <c r="E116">
        <f t="shared" si="191"/>
        <v>0.50088421030721786</v>
      </c>
      <c r="H116">
        <f t="shared" ref="H116" si="321">H113+1</f>
        <v>54</v>
      </c>
      <c r="I116">
        <f t="shared" ref="I116" si="322">J114</f>
        <v>0.87499726360246577</v>
      </c>
      <c r="J116">
        <f t="shared" ref="J116" si="323">$E$3*I116*(1-I116)</f>
        <v>0.38281968301731983</v>
      </c>
    </row>
    <row r="117" spans="4:10" x14ac:dyDescent="0.3">
      <c r="D117">
        <f t="shared" si="190"/>
        <v>110</v>
      </c>
      <c r="E117">
        <f t="shared" si="191"/>
        <v>0.8749972636024641</v>
      </c>
      <c r="H117">
        <f t="shared" ref="H117" si="324">H115+1</f>
        <v>55</v>
      </c>
      <c r="I117">
        <f t="shared" ref="I117" si="325">J116</f>
        <v>0.38281968301731983</v>
      </c>
      <c r="J117">
        <f t="shared" ref="J117" si="326">I117</f>
        <v>0.38281968301731983</v>
      </c>
    </row>
    <row r="118" spans="4:10" x14ac:dyDescent="0.3">
      <c r="D118">
        <f t="shared" si="190"/>
        <v>111</v>
      </c>
      <c r="E118">
        <f t="shared" si="191"/>
        <v>0.38281968301732416</v>
      </c>
      <c r="H118">
        <f t="shared" ref="H118" si="327">H115+1</f>
        <v>55</v>
      </c>
      <c r="I118">
        <f t="shared" ref="I118" si="328">J116</f>
        <v>0.38281968301731983</v>
      </c>
      <c r="J118">
        <f t="shared" ref="J118" si="329">$E$3*I118*(1-I118)</f>
        <v>0.82694070659143515</v>
      </c>
    </row>
    <row r="119" spans="4:10" x14ac:dyDescent="0.3">
      <c r="D119">
        <f t="shared" si="190"/>
        <v>112</v>
      </c>
      <c r="E119">
        <f t="shared" si="191"/>
        <v>0.8269407065914387</v>
      </c>
      <c r="H119">
        <f t="shared" ref="H119" si="330">H117+1</f>
        <v>56</v>
      </c>
      <c r="I119">
        <f t="shared" ref="I119" si="331">J118</f>
        <v>0.82694070659143515</v>
      </c>
      <c r="J119">
        <f t="shared" ref="J119" si="332">I119</f>
        <v>0.82694070659143515</v>
      </c>
    </row>
    <row r="120" spans="4:10" x14ac:dyDescent="0.3">
      <c r="D120">
        <f t="shared" si="190"/>
        <v>113</v>
      </c>
      <c r="E120">
        <f t="shared" si="191"/>
        <v>0.50088421030721786</v>
      </c>
      <c r="H120">
        <f t="shared" ref="H120" si="333">H117+1</f>
        <v>56</v>
      </c>
      <c r="I120">
        <f t="shared" ref="I120" si="334">J118</f>
        <v>0.82694070659143515</v>
      </c>
      <c r="J120">
        <f t="shared" ref="J120" si="335">$E$3*I120*(1-I120)</f>
        <v>0.50088421030722596</v>
      </c>
    </row>
    <row r="121" spans="4:10" x14ac:dyDescent="0.3">
      <c r="D121">
        <f t="shared" si="190"/>
        <v>114</v>
      </c>
      <c r="E121">
        <f t="shared" si="191"/>
        <v>0.8749972636024641</v>
      </c>
      <c r="H121">
        <f t="shared" ref="H121" si="336">H119+1</f>
        <v>57</v>
      </c>
      <c r="I121">
        <f t="shared" ref="I121" si="337">J120</f>
        <v>0.50088421030722596</v>
      </c>
      <c r="J121">
        <f t="shared" ref="J121" si="338">I121</f>
        <v>0.50088421030722596</v>
      </c>
    </row>
    <row r="122" spans="4:10" x14ac:dyDescent="0.3">
      <c r="D122">
        <f t="shared" si="190"/>
        <v>115</v>
      </c>
      <c r="E122">
        <f t="shared" si="191"/>
        <v>0.38281968301732416</v>
      </c>
      <c r="H122">
        <f t="shared" ref="H122" si="339">H119+1</f>
        <v>57</v>
      </c>
      <c r="I122">
        <f t="shared" ref="I122" si="340">J120</f>
        <v>0.50088421030722596</v>
      </c>
      <c r="J122">
        <f t="shared" ref="J122" si="341">$E$3*I122*(1-I122)</f>
        <v>0.8749972636024641</v>
      </c>
    </row>
    <row r="123" spans="4:10" x14ac:dyDescent="0.3">
      <c r="D123">
        <f t="shared" si="190"/>
        <v>116</v>
      </c>
      <c r="E123">
        <f t="shared" si="191"/>
        <v>0.8269407065914387</v>
      </c>
      <c r="H123">
        <f t="shared" ref="H123" si="342">H121+1</f>
        <v>58</v>
      </c>
      <c r="I123">
        <f t="shared" ref="I123" si="343">J122</f>
        <v>0.8749972636024641</v>
      </c>
      <c r="J123">
        <f t="shared" ref="J123" si="344">I123</f>
        <v>0.8749972636024641</v>
      </c>
    </row>
    <row r="124" spans="4:10" x14ac:dyDescent="0.3">
      <c r="D124">
        <f t="shared" si="190"/>
        <v>117</v>
      </c>
      <c r="E124">
        <f t="shared" si="191"/>
        <v>0.50088421030721786</v>
      </c>
      <c r="H124">
        <f t="shared" ref="H124" si="345">H121+1</f>
        <v>58</v>
      </c>
      <c r="I124">
        <f t="shared" ref="I124" si="346">J122</f>
        <v>0.8749972636024641</v>
      </c>
      <c r="J124">
        <f t="shared" ref="J124" si="347">$E$3*I124*(1-I124)</f>
        <v>0.38281968301732416</v>
      </c>
    </row>
    <row r="125" spans="4:10" x14ac:dyDescent="0.3">
      <c r="D125">
        <f t="shared" si="190"/>
        <v>118</v>
      </c>
      <c r="E125">
        <f t="shared" si="191"/>
        <v>0.8749972636024641</v>
      </c>
      <c r="H125">
        <f t="shared" ref="H125" si="348">H123+1</f>
        <v>59</v>
      </c>
      <c r="I125">
        <f t="shared" ref="I125" si="349">J124</f>
        <v>0.38281968301732416</v>
      </c>
      <c r="J125">
        <f t="shared" ref="J125" si="350">I125</f>
        <v>0.38281968301732416</v>
      </c>
    </row>
    <row r="126" spans="4:10" x14ac:dyDescent="0.3">
      <c r="D126">
        <f t="shared" si="190"/>
        <v>119</v>
      </c>
      <c r="E126">
        <f t="shared" si="191"/>
        <v>0.38281968301732416</v>
      </c>
      <c r="H126">
        <f t="shared" ref="H126" si="351">H123+1</f>
        <v>59</v>
      </c>
      <c r="I126">
        <f t="shared" ref="I126" si="352">J124</f>
        <v>0.38281968301732416</v>
      </c>
      <c r="J126">
        <f t="shared" ref="J126" si="353">$E$3*I126*(1-I126)</f>
        <v>0.8269407065914387</v>
      </c>
    </row>
    <row r="127" spans="4:10" x14ac:dyDescent="0.3">
      <c r="D127">
        <f t="shared" si="190"/>
        <v>120</v>
      </c>
      <c r="E127">
        <f t="shared" si="191"/>
        <v>0.8269407065914387</v>
      </c>
      <c r="H127">
        <f t="shared" ref="H127" si="354">H125+1</f>
        <v>60</v>
      </c>
      <c r="I127">
        <f t="shared" ref="I127" si="355">J126</f>
        <v>0.8269407065914387</v>
      </c>
      <c r="J127">
        <f t="shared" ref="J127" si="356">I127</f>
        <v>0.8269407065914387</v>
      </c>
    </row>
    <row r="128" spans="4:10" x14ac:dyDescent="0.3">
      <c r="D128">
        <f t="shared" si="190"/>
        <v>121</v>
      </c>
      <c r="E128">
        <f t="shared" si="191"/>
        <v>0.50088421030721786</v>
      </c>
      <c r="H128">
        <f t="shared" ref="H128" si="357">H125+1</f>
        <v>60</v>
      </c>
      <c r="I128">
        <f t="shared" ref="I128" si="358">J126</f>
        <v>0.8269407065914387</v>
      </c>
      <c r="J128">
        <f t="shared" ref="J128" si="359">$E$3*I128*(1-I128)</f>
        <v>0.50088421030721786</v>
      </c>
    </row>
    <row r="129" spans="4:10" x14ac:dyDescent="0.3">
      <c r="D129">
        <f t="shared" si="190"/>
        <v>122</v>
      </c>
      <c r="E129">
        <f t="shared" si="191"/>
        <v>0.8749972636024641</v>
      </c>
      <c r="H129">
        <f t="shared" ref="H129" si="360">H127+1</f>
        <v>61</v>
      </c>
      <c r="I129">
        <f t="shared" ref="I129" si="361">J128</f>
        <v>0.50088421030721786</v>
      </c>
      <c r="J129">
        <f t="shared" ref="J129" si="362">I129</f>
        <v>0.50088421030721786</v>
      </c>
    </row>
    <row r="130" spans="4:10" x14ac:dyDescent="0.3">
      <c r="D130">
        <f t="shared" si="190"/>
        <v>123</v>
      </c>
      <c r="E130">
        <f t="shared" si="191"/>
        <v>0.38281968301732416</v>
      </c>
      <c r="H130">
        <f t="shared" ref="H130" si="363">H127+1</f>
        <v>61</v>
      </c>
      <c r="I130">
        <f t="shared" ref="I130" si="364">J128</f>
        <v>0.50088421030721786</v>
      </c>
      <c r="J130">
        <f t="shared" ref="J130" si="365">$E$3*I130*(1-I130)</f>
        <v>0.8749972636024641</v>
      </c>
    </row>
    <row r="131" spans="4:10" x14ac:dyDescent="0.3">
      <c r="D131">
        <f t="shared" si="190"/>
        <v>124</v>
      </c>
      <c r="E131">
        <f t="shared" si="191"/>
        <v>0.8269407065914387</v>
      </c>
      <c r="H131">
        <f t="shared" ref="H131" si="366">H129+1</f>
        <v>62</v>
      </c>
      <c r="I131">
        <f t="shared" ref="I131" si="367">J130</f>
        <v>0.8749972636024641</v>
      </c>
      <c r="J131">
        <f t="shared" ref="J131" si="368">I131</f>
        <v>0.8749972636024641</v>
      </c>
    </row>
    <row r="132" spans="4:10" x14ac:dyDescent="0.3">
      <c r="D132">
        <f t="shared" si="190"/>
        <v>125</v>
      </c>
      <c r="E132">
        <f t="shared" si="191"/>
        <v>0.50088421030721786</v>
      </c>
      <c r="H132">
        <f t="shared" ref="H132" si="369">H129+1</f>
        <v>62</v>
      </c>
      <c r="I132">
        <f t="shared" ref="I132" si="370">J130</f>
        <v>0.8749972636024641</v>
      </c>
      <c r="J132">
        <f t="shared" ref="J132" si="371">$E$3*I132*(1-I132)</f>
        <v>0.38281968301732416</v>
      </c>
    </row>
    <row r="133" spans="4:10" x14ac:dyDescent="0.3">
      <c r="D133">
        <f t="shared" si="190"/>
        <v>126</v>
      </c>
      <c r="E133">
        <f t="shared" si="191"/>
        <v>0.8749972636024641</v>
      </c>
      <c r="H133">
        <f t="shared" ref="H133" si="372">H131+1</f>
        <v>63</v>
      </c>
      <c r="I133">
        <f t="shared" ref="I133" si="373">J132</f>
        <v>0.38281968301732416</v>
      </c>
      <c r="J133">
        <f t="shared" ref="J133" si="374">I133</f>
        <v>0.38281968301732416</v>
      </c>
    </row>
    <row r="134" spans="4:10" x14ac:dyDescent="0.3">
      <c r="D134">
        <f t="shared" si="190"/>
        <v>127</v>
      </c>
      <c r="E134">
        <f t="shared" si="191"/>
        <v>0.38281968301732416</v>
      </c>
      <c r="H134">
        <f t="shared" ref="H134" si="375">H131+1</f>
        <v>63</v>
      </c>
      <c r="I134">
        <f t="shared" ref="I134" si="376">J132</f>
        <v>0.38281968301732416</v>
      </c>
      <c r="J134">
        <f t="shared" ref="J134" si="377">$E$3*I134*(1-I134)</f>
        <v>0.8269407065914387</v>
      </c>
    </row>
    <row r="135" spans="4:10" x14ac:dyDescent="0.3">
      <c r="D135">
        <f t="shared" si="190"/>
        <v>128</v>
      </c>
      <c r="E135">
        <f t="shared" si="191"/>
        <v>0.8269407065914387</v>
      </c>
      <c r="H135">
        <f t="shared" ref="H135" si="378">H133+1</f>
        <v>64</v>
      </c>
      <c r="I135">
        <f t="shared" ref="I135" si="379">J134</f>
        <v>0.8269407065914387</v>
      </c>
      <c r="J135">
        <f t="shared" ref="J135" si="380">I135</f>
        <v>0.8269407065914387</v>
      </c>
    </row>
    <row r="136" spans="4:10" x14ac:dyDescent="0.3">
      <c r="D136">
        <f t="shared" si="190"/>
        <v>129</v>
      </c>
      <c r="E136">
        <f t="shared" si="191"/>
        <v>0.50088421030721786</v>
      </c>
      <c r="H136">
        <f t="shared" ref="H136" si="381">H133+1</f>
        <v>64</v>
      </c>
      <c r="I136">
        <f t="shared" ref="I136" si="382">J134</f>
        <v>0.8269407065914387</v>
      </c>
      <c r="J136">
        <f t="shared" ref="J136" si="383">$E$3*I136*(1-I136)</f>
        <v>0.50088421030721786</v>
      </c>
    </row>
    <row r="137" spans="4:10" x14ac:dyDescent="0.3">
      <c r="D137">
        <f t="shared" ref="D137:D200" si="384">D136+1</f>
        <v>130</v>
      </c>
      <c r="E137">
        <f t="shared" ref="E137:E200" si="385">$E$3*E136*(1-E136)</f>
        <v>0.8749972636024641</v>
      </c>
      <c r="H137">
        <f t="shared" ref="H137" si="386">H135+1</f>
        <v>65</v>
      </c>
      <c r="I137">
        <f t="shared" ref="I137" si="387">J136</f>
        <v>0.50088421030721786</v>
      </c>
      <c r="J137">
        <f t="shared" ref="J137" si="388">I137</f>
        <v>0.50088421030721786</v>
      </c>
    </row>
    <row r="138" spans="4:10" x14ac:dyDescent="0.3">
      <c r="D138">
        <f t="shared" si="384"/>
        <v>131</v>
      </c>
      <c r="E138">
        <f t="shared" si="385"/>
        <v>0.38281968301732416</v>
      </c>
      <c r="H138">
        <f t="shared" ref="H138" si="389">H135+1</f>
        <v>65</v>
      </c>
      <c r="I138">
        <f t="shared" ref="I138" si="390">J136</f>
        <v>0.50088421030721786</v>
      </c>
      <c r="J138">
        <f t="shared" ref="J138" si="391">$E$3*I138*(1-I138)</f>
        <v>0.8749972636024641</v>
      </c>
    </row>
    <row r="139" spans="4:10" x14ac:dyDescent="0.3">
      <c r="D139">
        <f t="shared" si="384"/>
        <v>132</v>
      </c>
      <c r="E139">
        <f t="shared" si="385"/>
        <v>0.8269407065914387</v>
      </c>
      <c r="H139">
        <f t="shared" ref="H139" si="392">H137+1</f>
        <v>66</v>
      </c>
      <c r="I139">
        <f t="shared" ref="I139" si="393">J138</f>
        <v>0.8749972636024641</v>
      </c>
      <c r="J139">
        <f t="shared" ref="J139" si="394">I139</f>
        <v>0.8749972636024641</v>
      </c>
    </row>
    <row r="140" spans="4:10" x14ac:dyDescent="0.3">
      <c r="D140">
        <f t="shared" si="384"/>
        <v>133</v>
      </c>
      <c r="E140">
        <f t="shared" si="385"/>
        <v>0.50088421030721786</v>
      </c>
      <c r="H140">
        <f t="shared" ref="H140" si="395">H137+1</f>
        <v>66</v>
      </c>
      <c r="I140">
        <f t="shared" ref="I140" si="396">J138</f>
        <v>0.8749972636024641</v>
      </c>
      <c r="J140">
        <f t="shared" ref="J140" si="397">$E$3*I140*(1-I140)</f>
        <v>0.38281968301732416</v>
      </c>
    </row>
    <row r="141" spans="4:10" x14ac:dyDescent="0.3">
      <c r="D141">
        <f t="shared" si="384"/>
        <v>134</v>
      </c>
      <c r="E141">
        <f t="shared" si="385"/>
        <v>0.8749972636024641</v>
      </c>
      <c r="H141">
        <f t="shared" ref="H141" si="398">H139+1</f>
        <v>67</v>
      </c>
      <c r="I141">
        <f t="shared" ref="I141" si="399">J140</f>
        <v>0.38281968301732416</v>
      </c>
      <c r="J141">
        <f t="shared" ref="J141" si="400">I141</f>
        <v>0.38281968301732416</v>
      </c>
    </row>
    <row r="142" spans="4:10" x14ac:dyDescent="0.3">
      <c r="D142">
        <f t="shared" si="384"/>
        <v>135</v>
      </c>
      <c r="E142">
        <f t="shared" si="385"/>
        <v>0.38281968301732416</v>
      </c>
      <c r="H142">
        <f t="shared" ref="H142" si="401">H139+1</f>
        <v>67</v>
      </c>
      <c r="I142">
        <f t="shared" ref="I142" si="402">J140</f>
        <v>0.38281968301732416</v>
      </c>
      <c r="J142">
        <f t="shared" ref="J142" si="403">$E$3*I142*(1-I142)</f>
        <v>0.8269407065914387</v>
      </c>
    </row>
    <row r="143" spans="4:10" x14ac:dyDescent="0.3">
      <c r="D143">
        <f t="shared" si="384"/>
        <v>136</v>
      </c>
      <c r="E143">
        <f t="shared" si="385"/>
        <v>0.8269407065914387</v>
      </c>
      <c r="H143">
        <f t="shared" ref="H143" si="404">H141+1</f>
        <v>68</v>
      </c>
      <c r="I143">
        <f t="shared" ref="I143" si="405">J142</f>
        <v>0.8269407065914387</v>
      </c>
      <c r="J143">
        <f t="shared" ref="J143" si="406">I143</f>
        <v>0.8269407065914387</v>
      </c>
    </row>
    <row r="144" spans="4:10" x14ac:dyDescent="0.3">
      <c r="D144">
        <f t="shared" si="384"/>
        <v>137</v>
      </c>
      <c r="E144">
        <f t="shared" si="385"/>
        <v>0.50088421030721786</v>
      </c>
      <c r="H144">
        <f t="shared" ref="H144" si="407">H141+1</f>
        <v>68</v>
      </c>
      <c r="I144">
        <f t="shared" ref="I144" si="408">J142</f>
        <v>0.8269407065914387</v>
      </c>
      <c r="J144">
        <f t="shared" ref="J144" si="409">$E$3*I144*(1-I144)</f>
        <v>0.50088421030721786</v>
      </c>
    </row>
    <row r="145" spans="4:10" x14ac:dyDescent="0.3">
      <c r="D145">
        <f t="shared" si="384"/>
        <v>138</v>
      </c>
      <c r="E145">
        <f t="shared" si="385"/>
        <v>0.8749972636024641</v>
      </c>
      <c r="H145">
        <f t="shared" ref="H145" si="410">H143+1</f>
        <v>69</v>
      </c>
      <c r="I145">
        <f t="shared" ref="I145" si="411">J144</f>
        <v>0.50088421030721786</v>
      </c>
      <c r="J145">
        <f t="shared" ref="J145" si="412">I145</f>
        <v>0.50088421030721786</v>
      </c>
    </row>
    <row r="146" spans="4:10" x14ac:dyDescent="0.3">
      <c r="D146">
        <f t="shared" si="384"/>
        <v>139</v>
      </c>
      <c r="E146">
        <f t="shared" si="385"/>
        <v>0.38281968301732416</v>
      </c>
      <c r="H146">
        <f t="shared" ref="H146" si="413">H143+1</f>
        <v>69</v>
      </c>
      <c r="I146">
        <f t="shared" ref="I146" si="414">J144</f>
        <v>0.50088421030721786</v>
      </c>
      <c r="J146">
        <f t="shared" ref="J146" si="415">$E$3*I146*(1-I146)</f>
        <v>0.8749972636024641</v>
      </c>
    </row>
    <row r="147" spans="4:10" x14ac:dyDescent="0.3">
      <c r="D147">
        <f t="shared" si="384"/>
        <v>140</v>
      </c>
      <c r="E147">
        <f t="shared" si="385"/>
        <v>0.8269407065914387</v>
      </c>
      <c r="H147">
        <f t="shared" ref="H147" si="416">H145+1</f>
        <v>70</v>
      </c>
      <c r="I147">
        <f t="shared" ref="I147" si="417">J146</f>
        <v>0.8749972636024641</v>
      </c>
      <c r="J147">
        <f t="shared" ref="J147" si="418">I147</f>
        <v>0.8749972636024641</v>
      </c>
    </row>
    <row r="148" spans="4:10" x14ac:dyDescent="0.3">
      <c r="D148">
        <f t="shared" si="384"/>
        <v>141</v>
      </c>
      <c r="E148">
        <f t="shared" si="385"/>
        <v>0.50088421030721786</v>
      </c>
      <c r="H148">
        <f t="shared" ref="H148" si="419">H145+1</f>
        <v>70</v>
      </c>
      <c r="I148">
        <f t="shared" ref="I148" si="420">J146</f>
        <v>0.8749972636024641</v>
      </c>
      <c r="J148">
        <f t="shared" ref="J148" si="421">$E$3*I148*(1-I148)</f>
        <v>0.38281968301732416</v>
      </c>
    </row>
    <row r="149" spans="4:10" x14ac:dyDescent="0.3">
      <c r="D149">
        <f t="shared" si="384"/>
        <v>142</v>
      </c>
      <c r="E149">
        <f t="shared" si="385"/>
        <v>0.8749972636024641</v>
      </c>
      <c r="H149">
        <f t="shared" ref="H149" si="422">H147+1</f>
        <v>71</v>
      </c>
      <c r="I149">
        <f t="shared" ref="I149" si="423">J148</f>
        <v>0.38281968301732416</v>
      </c>
      <c r="J149">
        <f t="shared" ref="J149" si="424">I149</f>
        <v>0.38281968301732416</v>
      </c>
    </row>
    <row r="150" spans="4:10" x14ac:dyDescent="0.3">
      <c r="D150">
        <f t="shared" si="384"/>
        <v>143</v>
      </c>
      <c r="E150">
        <f t="shared" si="385"/>
        <v>0.38281968301732416</v>
      </c>
      <c r="H150">
        <f t="shared" ref="H150" si="425">H147+1</f>
        <v>71</v>
      </c>
      <c r="I150">
        <f t="shared" ref="I150" si="426">J148</f>
        <v>0.38281968301732416</v>
      </c>
      <c r="J150">
        <f t="shared" ref="J150" si="427">$E$3*I150*(1-I150)</f>
        <v>0.8269407065914387</v>
      </c>
    </row>
    <row r="151" spans="4:10" x14ac:dyDescent="0.3">
      <c r="D151">
        <f t="shared" si="384"/>
        <v>144</v>
      </c>
      <c r="E151">
        <f t="shared" si="385"/>
        <v>0.8269407065914387</v>
      </c>
      <c r="H151">
        <f t="shared" ref="H151" si="428">H149+1</f>
        <v>72</v>
      </c>
      <c r="I151">
        <f t="shared" ref="I151" si="429">J150</f>
        <v>0.8269407065914387</v>
      </c>
      <c r="J151">
        <f t="shared" ref="J151" si="430">I151</f>
        <v>0.8269407065914387</v>
      </c>
    </row>
    <row r="152" spans="4:10" x14ac:dyDescent="0.3">
      <c r="D152">
        <f t="shared" si="384"/>
        <v>145</v>
      </c>
      <c r="E152">
        <f t="shared" si="385"/>
        <v>0.50088421030721786</v>
      </c>
      <c r="H152">
        <f t="shared" ref="H152" si="431">H149+1</f>
        <v>72</v>
      </c>
      <c r="I152">
        <f t="shared" ref="I152" si="432">J150</f>
        <v>0.8269407065914387</v>
      </c>
      <c r="J152">
        <f t="shared" ref="J152" si="433">$E$3*I152*(1-I152)</f>
        <v>0.50088421030721786</v>
      </c>
    </row>
    <row r="153" spans="4:10" x14ac:dyDescent="0.3">
      <c r="D153">
        <f t="shared" si="384"/>
        <v>146</v>
      </c>
      <c r="E153">
        <f t="shared" si="385"/>
        <v>0.8749972636024641</v>
      </c>
      <c r="H153">
        <f t="shared" ref="H153" si="434">H151+1</f>
        <v>73</v>
      </c>
      <c r="I153">
        <f t="shared" ref="I153" si="435">J152</f>
        <v>0.50088421030721786</v>
      </c>
      <c r="J153">
        <f t="shared" ref="J153" si="436">I153</f>
        <v>0.50088421030721786</v>
      </c>
    </row>
    <row r="154" spans="4:10" x14ac:dyDescent="0.3">
      <c r="D154">
        <f t="shared" si="384"/>
        <v>147</v>
      </c>
      <c r="E154">
        <f t="shared" si="385"/>
        <v>0.38281968301732416</v>
      </c>
      <c r="H154">
        <f t="shared" ref="H154" si="437">H151+1</f>
        <v>73</v>
      </c>
      <c r="I154">
        <f t="shared" ref="I154" si="438">J152</f>
        <v>0.50088421030721786</v>
      </c>
      <c r="J154">
        <f t="shared" ref="J154" si="439">$E$3*I154*(1-I154)</f>
        <v>0.8749972636024641</v>
      </c>
    </row>
    <row r="155" spans="4:10" x14ac:dyDescent="0.3">
      <c r="D155">
        <f t="shared" si="384"/>
        <v>148</v>
      </c>
      <c r="E155">
        <f t="shared" si="385"/>
        <v>0.8269407065914387</v>
      </c>
      <c r="H155">
        <f t="shared" ref="H155" si="440">H153+1</f>
        <v>74</v>
      </c>
      <c r="I155">
        <f t="shared" ref="I155" si="441">J154</f>
        <v>0.8749972636024641</v>
      </c>
      <c r="J155">
        <f t="shared" ref="J155" si="442">I155</f>
        <v>0.8749972636024641</v>
      </c>
    </row>
    <row r="156" spans="4:10" x14ac:dyDescent="0.3">
      <c r="D156">
        <f t="shared" si="384"/>
        <v>149</v>
      </c>
      <c r="E156">
        <f t="shared" si="385"/>
        <v>0.50088421030721786</v>
      </c>
      <c r="H156">
        <f t="shared" ref="H156" si="443">H153+1</f>
        <v>74</v>
      </c>
      <c r="I156">
        <f t="shared" ref="I156" si="444">J154</f>
        <v>0.8749972636024641</v>
      </c>
      <c r="J156">
        <f t="shared" ref="J156" si="445">$E$3*I156*(1-I156)</f>
        <v>0.38281968301732416</v>
      </c>
    </row>
    <row r="157" spans="4:10" x14ac:dyDescent="0.3">
      <c r="D157">
        <f t="shared" si="384"/>
        <v>150</v>
      </c>
      <c r="E157">
        <f t="shared" si="385"/>
        <v>0.8749972636024641</v>
      </c>
      <c r="H157">
        <f t="shared" ref="H157" si="446">H155+1</f>
        <v>75</v>
      </c>
      <c r="I157">
        <f t="shared" ref="I157" si="447">J156</f>
        <v>0.38281968301732416</v>
      </c>
      <c r="J157">
        <f t="shared" ref="J157" si="448">I157</f>
        <v>0.38281968301732416</v>
      </c>
    </row>
    <row r="158" spans="4:10" x14ac:dyDescent="0.3">
      <c r="D158">
        <f t="shared" si="384"/>
        <v>151</v>
      </c>
      <c r="E158">
        <f t="shared" si="385"/>
        <v>0.38281968301732416</v>
      </c>
      <c r="H158">
        <f t="shared" ref="H158" si="449">H155+1</f>
        <v>75</v>
      </c>
      <c r="I158">
        <f t="shared" ref="I158" si="450">J156</f>
        <v>0.38281968301732416</v>
      </c>
      <c r="J158">
        <f t="shared" ref="J158" si="451">$E$3*I158*(1-I158)</f>
        <v>0.8269407065914387</v>
      </c>
    </row>
    <row r="159" spans="4:10" x14ac:dyDescent="0.3">
      <c r="D159">
        <f t="shared" si="384"/>
        <v>152</v>
      </c>
      <c r="E159">
        <f t="shared" si="385"/>
        <v>0.8269407065914387</v>
      </c>
      <c r="H159">
        <f t="shared" ref="H159" si="452">H157+1</f>
        <v>76</v>
      </c>
      <c r="I159">
        <f t="shared" ref="I159" si="453">J158</f>
        <v>0.8269407065914387</v>
      </c>
      <c r="J159">
        <f t="shared" ref="J159" si="454">I159</f>
        <v>0.8269407065914387</v>
      </c>
    </row>
    <row r="160" spans="4:10" x14ac:dyDescent="0.3">
      <c r="D160">
        <f t="shared" si="384"/>
        <v>153</v>
      </c>
      <c r="E160">
        <f t="shared" si="385"/>
        <v>0.50088421030721786</v>
      </c>
      <c r="H160">
        <f t="shared" ref="H160" si="455">H157+1</f>
        <v>76</v>
      </c>
      <c r="I160">
        <f t="shared" ref="I160" si="456">J158</f>
        <v>0.8269407065914387</v>
      </c>
      <c r="J160">
        <f t="shared" ref="J160" si="457">$E$3*I160*(1-I160)</f>
        <v>0.50088421030721786</v>
      </c>
    </row>
    <row r="161" spans="4:10" x14ac:dyDescent="0.3">
      <c r="D161">
        <f t="shared" si="384"/>
        <v>154</v>
      </c>
      <c r="E161">
        <f t="shared" si="385"/>
        <v>0.8749972636024641</v>
      </c>
      <c r="H161">
        <f t="shared" ref="H161" si="458">H159+1</f>
        <v>77</v>
      </c>
      <c r="I161">
        <f t="shared" ref="I161" si="459">J160</f>
        <v>0.50088421030721786</v>
      </c>
      <c r="J161">
        <f t="shared" ref="J161" si="460">I161</f>
        <v>0.50088421030721786</v>
      </c>
    </row>
    <row r="162" spans="4:10" x14ac:dyDescent="0.3">
      <c r="D162">
        <f t="shared" si="384"/>
        <v>155</v>
      </c>
      <c r="E162">
        <f t="shared" si="385"/>
        <v>0.38281968301732416</v>
      </c>
      <c r="H162">
        <f t="shared" ref="H162" si="461">H159+1</f>
        <v>77</v>
      </c>
      <c r="I162">
        <f t="shared" ref="I162" si="462">J160</f>
        <v>0.50088421030721786</v>
      </c>
      <c r="J162">
        <f t="shared" ref="J162" si="463">$E$3*I162*(1-I162)</f>
        <v>0.8749972636024641</v>
      </c>
    </row>
    <row r="163" spans="4:10" x14ac:dyDescent="0.3">
      <c r="D163">
        <f t="shared" si="384"/>
        <v>156</v>
      </c>
      <c r="E163">
        <f t="shared" si="385"/>
        <v>0.8269407065914387</v>
      </c>
      <c r="H163">
        <f t="shared" ref="H163" si="464">H161+1</f>
        <v>78</v>
      </c>
      <c r="I163">
        <f t="shared" ref="I163" si="465">J162</f>
        <v>0.8749972636024641</v>
      </c>
      <c r="J163">
        <f t="shared" ref="J163" si="466">I163</f>
        <v>0.8749972636024641</v>
      </c>
    </row>
    <row r="164" spans="4:10" x14ac:dyDescent="0.3">
      <c r="D164">
        <f t="shared" si="384"/>
        <v>157</v>
      </c>
      <c r="E164">
        <f t="shared" si="385"/>
        <v>0.50088421030721786</v>
      </c>
      <c r="H164">
        <f t="shared" ref="H164" si="467">H161+1</f>
        <v>78</v>
      </c>
      <c r="I164">
        <f t="shared" ref="I164" si="468">J162</f>
        <v>0.8749972636024641</v>
      </c>
      <c r="J164">
        <f t="shared" ref="J164" si="469">$E$3*I164*(1-I164)</f>
        <v>0.38281968301732416</v>
      </c>
    </row>
    <row r="165" spans="4:10" x14ac:dyDescent="0.3">
      <c r="D165">
        <f t="shared" si="384"/>
        <v>158</v>
      </c>
      <c r="E165">
        <f t="shared" si="385"/>
        <v>0.8749972636024641</v>
      </c>
      <c r="H165">
        <f t="shared" ref="H165" si="470">H163+1</f>
        <v>79</v>
      </c>
      <c r="I165">
        <f t="shared" ref="I165" si="471">J164</f>
        <v>0.38281968301732416</v>
      </c>
      <c r="J165">
        <f t="shared" ref="J165" si="472">I165</f>
        <v>0.38281968301732416</v>
      </c>
    </row>
    <row r="166" spans="4:10" x14ac:dyDescent="0.3">
      <c r="D166">
        <f t="shared" si="384"/>
        <v>159</v>
      </c>
      <c r="E166">
        <f t="shared" si="385"/>
        <v>0.38281968301732416</v>
      </c>
      <c r="H166">
        <f t="shared" ref="H166" si="473">H163+1</f>
        <v>79</v>
      </c>
      <c r="I166">
        <f t="shared" ref="I166" si="474">J164</f>
        <v>0.38281968301732416</v>
      </c>
      <c r="J166">
        <f t="shared" ref="J166" si="475">$E$3*I166*(1-I166)</f>
        <v>0.8269407065914387</v>
      </c>
    </row>
    <row r="167" spans="4:10" x14ac:dyDescent="0.3">
      <c r="D167">
        <f t="shared" si="384"/>
        <v>160</v>
      </c>
      <c r="E167">
        <f t="shared" si="385"/>
        <v>0.8269407065914387</v>
      </c>
      <c r="H167">
        <f t="shared" ref="H167" si="476">H165+1</f>
        <v>80</v>
      </c>
      <c r="I167">
        <f t="shared" ref="I167" si="477">J166</f>
        <v>0.8269407065914387</v>
      </c>
      <c r="J167">
        <f t="shared" ref="J167" si="478">I167</f>
        <v>0.8269407065914387</v>
      </c>
    </row>
    <row r="168" spans="4:10" x14ac:dyDescent="0.3">
      <c r="D168">
        <f t="shared" si="384"/>
        <v>161</v>
      </c>
      <c r="E168">
        <f t="shared" si="385"/>
        <v>0.50088421030721786</v>
      </c>
      <c r="H168">
        <f t="shared" ref="H168" si="479">H165+1</f>
        <v>80</v>
      </c>
      <c r="I168">
        <f t="shared" ref="I168" si="480">J166</f>
        <v>0.8269407065914387</v>
      </c>
      <c r="J168">
        <f t="shared" ref="J168" si="481">$E$3*I168*(1-I168)</f>
        <v>0.50088421030721786</v>
      </c>
    </row>
    <row r="169" spans="4:10" x14ac:dyDescent="0.3">
      <c r="D169">
        <f t="shared" si="384"/>
        <v>162</v>
      </c>
      <c r="E169">
        <f t="shared" si="385"/>
        <v>0.8749972636024641</v>
      </c>
      <c r="H169">
        <f t="shared" ref="H169" si="482">H167+1</f>
        <v>81</v>
      </c>
      <c r="I169">
        <f t="shared" ref="I169" si="483">J168</f>
        <v>0.50088421030721786</v>
      </c>
      <c r="J169">
        <f t="shared" ref="J169" si="484">I169</f>
        <v>0.50088421030721786</v>
      </c>
    </row>
    <row r="170" spans="4:10" x14ac:dyDescent="0.3">
      <c r="D170">
        <f t="shared" si="384"/>
        <v>163</v>
      </c>
      <c r="E170">
        <f t="shared" si="385"/>
        <v>0.38281968301732416</v>
      </c>
      <c r="H170">
        <f t="shared" ref="H170" si="485">H167+1</f>
        <v>81</v>
      </c>
      <c r="I170">
        <f t="shared" ref="I170" si="486">J168</f>
        <v>0.50088421030721786</v>
      </c>
      <c r="J170">
        <f t="shared" ref="J170" si="487">$E$3*I170*(1-I170)</f>
        <v>0.8749972636024641</v>
      </c>
    </row>
    <row r="171" spans="4:10" x14ac:dyDescent="0.3">
      <c r="D171">
        <f t="shared" si="384"/>
        <v>164</v>
      </c>
      <c r="E171">
        <f t="shared" si="385"/>
        <v>0.8269407065914387</v>
      </c>
      <c r="H171">
        <f t="shared" ref="H171" si="488">H169+1</f>
        <v>82</v>
      </c>
      <c r="I171">
        <f t="shared" ref="I171" si="489">J170</f>
        <v>0.8749972636024641</v>
      </c>
      <c r="J171">
        <f t="shared" ref="J171" si="490">I171</f>
        <v>0.8749972636024641</v>
      </c>
    </row>
    <row r="172" spans="4:10" x14ac:dyDescent="0.3">
      <c r="D172">
        <f t="shared" si="384"/>
        <v>165</v>
      </c>
      <c r="E172">
        <f t="shared" si="385"/>
        <v>0.50088421030721786</v>
      </c>
      <c r="H172">
        <f t="shared" ref="H172" si="491">H169+1</f>
        <v>82</v>
      </c>
      <c r="I172">
        <f t="shared" ref="I172" si="492">J170</f>
        <v>0.8749972636024641</v>
      </c>
      <c r="J172">
        <f t="shared" ref="J172" si="493">$E$3*I172*(1-I172)</f>
        <v>0.38281968301732416</v>
      </c>
    </row>
    <row r="173" spans="4:10" x14ac:dyDescent="0.3">
      <c r="D173">
        <f t="shared" si="384"/>
        <v>166</v>
      </c>
      <c r="E173">
        <f t="shared" si="385"/>
        <v>0.8749972636024641</v>
      </c>
      <c r="H173">
        <f t="shared" ref="H173" si="494">H171+1</f>
        <v>83</v>
      </c>
      <c r="I173">
        <f t="shared" ref="I173" si="495">J172</f>
        <v>0.38281968301732416</v>
      </c>
      <c r="J173">
        <f t="shared" ref="J173" si="496">I173</f>
        <v>0.38281968301732416</v>
      </c>
    </row>
    <row r="174" spans="4:10" x14ac:dyDescent="0.3">
      <c r="D174">
        <f t="shared" si="384"/>
        <v>167</v>
      </c>
      <c r="E174">
        <f t="shared" si="385"/>
        <v>0.38281968301732416</v>
      </c>
      <c r="H174">
        <f t="shared" ref="H174" si="497">H171+1</f>
        <v>83</v>
      </c>
      <c r="I174">
        <f t="shared" ref="I174" si="498">J172</f>
        <v>0.38281968301732416</v>
      </c>
      <c r="J174">
        <f t="shared" ref="J174" si="499">$E$3*I174*(1-I174)</f>
        <v>0.8269407065914387</v>
      </c>
    </row>
    <row r="175" spans="4:10" x14ac:dyDescent="0.3">
      <c r="D175">
        <f t="shared" si="384"/>
        <v>168</v>
      </c>
      <c r="E175">
        <f t="shared" si="385"/>
        <v>0.8269407065914387</v>
      </c>
      <c r="H175">
        <f t="shared" ref="H175" si="500">H173+1</f>
        <v>84</v>
      </c>
      <c r="I175">
        <f t="shared" ref="I175" si="501">J174</f>
        <v>0.8269407065914387</v>
      </c>
      <c r="J175">
        <f t="shared" ref="J175" si="502">I175</f>
        <v>0.8269407065914387</v>
      </c>
    </row>
    <row r="176" spans="4:10" x14ac:dyDescent="0.3">
      <c r="D176">
        <f t="shared" si="384"/>
        <v>169</v>
      </c>
      <c r="E176">
        <f t="shared" si="385"/>
        <v>0.50088421030721786</v>
      </c>
      <c r="H176">
        <f t="shared" ref="H176" si="503">H173+1</f>
        <v>84</v>
      </c>
      <c r="I176">
        <f t="shared" ref="I176" si="504">J174</f>
        <v>0.8269407065914387</v>
      </c>
      <c r="J176">
        <f t="shared" ref="J176" si="505">$E$3*I176*(1-I176)</f>
        <v>0.50088421030721786</v>
      </c>
    </row>
    <row r="177" spans="4:10" x14ac:dyDescent="0.3">
      <c r="D177">
        <f t="shared" si="384"/>
        <v>170</v>
      </c>
      <c r="E177">
        <f t="shared" si="385"/>
        <v>0.8749972636024641</v>
      </c>
      <c r="H177">
        <f t="shared" ref="H177" si="506">H175+1</f>
        <v>85</v>
      </c>
      <c r="I177">
        <f t="shared" ref="I177" si="507">J176</f>
        <v>0.50088421030721786</v>
      </c>
      <c r="J177">
        <f t="shared" ref="J177" si="508">I177</f>
        <v>0.50088421030721786</v>
      </c>
    </row>
    <row r="178" spans="4:10" x14ac:dyDescent="0.3">
      <c r="D178">
        <f t="shared" si="384"/>
        <v>171</v>
      </c>
      <c r="E178">
        <f t="shared" si="385"/>
        <v>0.38281968301732416</v>
      </c>
      <c r="H178">
        <f t="shared" ref="H178" si="509">H175+1</f>
        <v>85</v>
      </c>
      <c r="I178">
        <f t="shared" ref="I178" si="510">J176</f>
        <v>0.50088421030721786</v>
      </c>
      <c r="J178">
        <f t="shared" ref="J178" si="511">$E$3*I178*(1-I178)</f>
        <v>0.8749972636024641</v>
      </c>
    </row>
    <row r="179" spans="4:10" x14ac:dyDescent="0.3">
      <c r="D179">
        <f t="shared" si="384"/>
        <v>172</v>
      </c>
      <c r="E179">
        <f t="shared" si="385"/>
        <v>0.8269407065914387</v>
      </c>
      <c r="H179">
        <f t="shared" ref="H179" si="512">H177+1</f>
        <v>86</v>
      </c>
      <c r="I179">
        <f t="shared" ref="I179" si="513">J178</f>
        <v>0.8749972636024641</v>
      </c>
      <c r="J179">
        <f t="shared" ref="J179" si="514">I179</f>
        <v>0.8749972636024641</v>
      </c>
    </row>
    <row r="180" spans="4:10" x14ac:dyDescent="0.3">
      <c r="D180">
        <f t="shared" si="384"/>
        <v>173</v>
      </c>
      <c r="E180">
        <f t="shared" si="385"/>
        <v>0.50088421030721786</v>
      </c>
      <c r="H180">
        <f t="shared" ref="H180" si="515">H177+1</f>
        <v>86</v>
      </c>
      <c r="I180">
        <f t="shared" ref="I180" si="516">J178</f>
        <v>0.8749972636024641</v>
      </c>
      <c r="J180">
        <f t="shared" ref="J180" si="517">$E$3*I180*(1-I180)</f>
        <v>0.38281968301732416</v>
      </c>
    </row>
    <row r="181" spans="4:10" x14ac:dyDescent="0.3">
      <c r="D181">
        <f t="shared" si="384"/>
        <v>174</v>
      </c>
      <c r="E181">
        <f t="shared" si="385"/>
        <v>0.8749972636024641</v>
      </c>
      <c r="H181">
        <f t="shared" ref="H181" si="518">H179+1</f>
        <v>87</v>
      </c>
      <c r="I181">
        <f t="shared" ref="I181" si="519">J180</f>
        <v>0.38281968301732416</v>
      </c>
      <c r="J181">
        <f t="shared" ref="J181" si="520">I181</f>
        <v>0.38281968301732416</v>
      </c>
    </row>
    <row r="182" spans="4:10" x14ac:dyDescent="0.3">
      <c r="D182">
        <f t="shared" si="384"/>
        <v>175</v>
      </c>
      <c r="E182">
        <f t="shared" si="385"/>
        <v>0.38281968301732416</v>
      </c>
      <c r="H182">
        <f t="shared" ref="H182" si="521">H179+1</f>
        <v>87</v>
      </c>
      <c r="I182">
        <f t="shared" ref="I182" si="522">J180</f>
        <v>0.38281968301732416</v>
      </c>
      <c r="J182">
        <f t="shared" ref="J182" si="523">$E$3*I182*(1-I182)</f>
        <v>0.8269407065914387</v>
      </c>
    </row>
    <row r="183" spans="4:10" x14ac:dyDescent="0.3">
      <c r="D183">
        <f t="shared" si="384"/>
        <v>176</v>
      </c>
      <c r="E183">
        <f t="shared" si="385"/>
        <v>0.8269407065914387</v>
      </c>
      <c r="H183">
        <f t="shared" ref="H183" si="524">H181+1</f>
        <v>88</v>
      </c>
      <c r="I183">
        <f t="shared" ref="I183" si="525">J182</f>
        <v>0.8269407065914387</v>
      </c>
      <c r="J183">
        <f t="shared" ref="J183" si="526">I183</f>
        <v>0.8269407065914387</v>
      </c>
    </row>
    <row r="184" spans="4:10" x14ac:dyDescent="0.3">
      <c r="D184">
        <f t="shared" si="384"/>
        <v>177</v>
      </c>
      <c r="E184">
        <f t="shared" si="385"/>
        <v>0.50088421030721786</v>
      </c>
      <c r="H184">
        <f t="shared" ref="H184" si="527">H181+1</f>
        <v>88</v>
      </c>
      <c r="I184">
        <f t="shared" ref="I184" si="528">J182</f>
        <v>0.8269407065914387</v>
      </c>
      <c r="J184">
        <f t="shared" ref="J184" si="529">$E$3*I184*(1-I184)</f>
        <v>0.50088421030721786</v>
      </c>
    </row>
    <row r="185" spans="4:10" x14ac:dyDescent="0.3">
      <c r="D185">
        <f t="shared" si="384"/>
        <v>178</v>
      </c>
      <c r="E185">
        <f t="shared" si="385"/>
        <v>0.8749972636024641</v>
      </c>
      <c r="H185">
        <f t="shared" ref="H185" si="530">H183+1</f>
        <v>89</v>
      </c>
      <c r="I185">
        <f t="shared" ref="I185" si="531">J184</f>
        <v>0.50088421030721786</v>
      </c>
      <c r="J185">
        <f t="shared" ref="J185" si="532">I185</f>
        <v>0.50088421030721786</v>
      </c>
    </row>
    <row r="186" spans="4:10" x14ac:dyDescent="0.3">
      <c r="D186">
        <f t="shared" si="384"/>
        <v>179</v>
      </c>
      <c r="E186">
        <f t="shared" si="385"/>
        <v>0.38281968301732416</v>
      </c>
      <c r="H186">
        <f t="shared" ref="H186" si="533">H183+1</f>
        <v>89</v>
      </c>
      <c r="I186">
        <f t="shared" ref="I186" si="534">J184</f>
        <v>0.50088421030721786</v>
      </c>
      <c r="J186">
        <f t="shared" ref="J186" si="535">$E$3*I186*(1-I186)</f>
        <v>0.8749972636024641</v>
      </c>
    </row>
    <row r="187" spans="4:10" x14ac:dyDescent="0.3">
      <c r="D187">
        <f t="shared" si="384"/>
        <v>180</v>
      </c>
      <c r="E187">
        <f t="shared" si="385"/>
        <v>0.8269407065914387</v>
      </c>
      <c r="H187">
        <f t="shared" ref="H187" si="536">H185+1</f>
        <v>90</v>
      </c>
      <c r="I187">
        <f t="shared" ref="I187" si="537">J186</f>
        <v>0.8749972636024641</v>
      </c>
      <c r="J187">
        <f t="shared" ref="J187" si="538">I187</f>
        <v>0.8749972636024641</v>
      </c>
    </row>
    <row r="188" spans="4:10" x14ac:dyDescent="0.3">
      <c r="D188">
        <f t="shared" si="384"/>
        <v>181</v>
      </c>
      <c r="E188">
        <f t="shared" si="385"/>
        <v>0.50088421030721786</v>
      </c>
      <c r="H188">
        <f t="shared" ref="H188" si="539">H185+1</f>
        <v>90</v>
      </c>
      <c r="I188">
        <f t="shared" ref="I188" si="540">J186</f>
        <v>0.8749972636024641</v>
      </c>
      <c r="J188">
        <f t="shared" ref="J188" si="541">$E$3*I188*(1-I188)</f>
        <v>0.38281968301732416</v>
      </c>
    </row>
    <row r="189" spans="4:10" x14ac:dyDescent="0.3">
      <c r="D189">
        <f t="shared" si="384"/>
        <v>182</v>
      </c>
      <c r="E189">
        <f t="shared" si="385"/>
        <v>0.8749972636024641</v>
      </c>
      <c r="H189">
        <f t="shared" ref="H189" si="542">H187+1</f>
        <v>91</v>
      </c>
      <c r="I189">
        <f t="shared" ref="I189" si="543">J188</f>
        <v>0.38281968301732416</v>
      </c>
      <c r="J189">
        <f t="shared" ref="J189" si="544">I189</f>
        <v>0.38281968301732416</v>
      </c>
    </row>
    <row r="190" spans="4:10" x14ac:dyDescent="0.3">
      <c r="D190">
        <f t="shared" si="384"/>
        <v>183</v>
      </c>
      <c r="E190">
        <f t="shared" si="385"/>
        <v>0.38281968301732416</v>
      </c>
      <c r="H190">
        <f t="shared" ref="H190" si="545">H187+1</f>
        <v>91</v>
      </c>
      <c r="I190">
        <f t="shared" ref="I190" si="546">J188</f>
        <v>0.38281968301732416</v>
      </c>
      <c r="J190">
        <f t="shared" ref="J190" si="547">$E$3*I190*(1-I190)</f>
        <v>0.8269407065914387</v>
      </c>
    </row>
    <row r="191" spans="4:10" x14ac:dyDescent="0.3">
      <c r="D191">
        <f t="shared" si="384"/>
        <v>184</v>
      </c>
      <c r="E191">
        <f t="shared" si="385"/>
        <v>0.8269407065914387</v>
      </c>
      <c r="H191">
        <f t="shared" ref="H191" si="548">H189+1</f>
        <v>92</v>
      </c>
      <c r="I191">
        <f t="shared" ref="I191" si="549">J190</f>
        <v>0.8269407065914387</v>
      </c>
      <c r="J191">
        <f t="shared" ref="J191" si="550">I191</f>
        <v>0.8269407065914387</v>
      </c>
    </row>
    <row r="192" spans="4:10" x14ac:dyDescent="0.3">
      <c r="D192">
        <f t="shared" si="384"/>
        <v>185</v>
      </c>
      <c r="E192">
        <f t="shared" si="385"/>
        <v>0.50088421030721786</v>
      </c>
      <c r="H192">
        <f t="shared" ref="H192" si="551">H189+1</f>
        <v>92</v>
      </c>
      <c r="I192">
        <f t="shared" ref="I192" si="552">J190</f>
        <v>0.8269407065914387</v>
      </c>
      <c r="J192">
        <f t="shared" ref="J192" si="553">$E$3*I192*(1-I192)</f>
        <v>0.50088421030721786</v>
      </c>
    </row>
    <row r="193" spans="4:10" x14ac:dyDescent="0.3">
      <c r="D193">
        <f t="shared" si="384"/>
        <v>186</v>
      </c>
      <c r="E193">
        <f t="shared" si="385"/>
        <v>0.8749972636024641</v>
      </c>
      <c r="H193">
        <f t="shared" ref="H193" si="554">H191+1</f>
        <v>93</v>
      </c>
      <c r="I193">
        <f t="shared" ref="I193" si="555">J192</f>
        <v>0.50088421030721786</v>
      </c>
      <c r="J193">
        <f t="shared" ref="J193" si="556">I193</f>
        <v>0.50088421030721786</v>
      </c>
    </row>
    <row r="194" spans="4:10" x14ac:dyDescent="0.3">
      <c r="D194">
        <f t="shared" si="384"/>
        <v>187</v>
      </c>
      <c r="E194">
        <f t="shared" si="385"/>
        <v>0.38281968301732416</v>
      </c>
      <c r="H194">
        <f t="shared" ref="H194" si="557">H191+1</f>
        <v>93</v>
      </c>
      <c r="I194">
        <f t="shared" ref="I194" si="558">J192</f>
        <v>0.50088421030721786</v>
      </c>
      <c r="J194">
        <f t="shared" ref="J194" si="559">$E$3*I194*(1-I194)</f>
        <v>0.8749972636024641</v>
      </c>
    </row>
    <row r="195" spans="4:10" x14ac:dyDescent="0.3">
      <c r="D195">
        <f t="shared" si="384"/>
        <v>188</v>
      </c>
      <c r="E195">
        <f t="shared" si="385"/>
        <v>0.8269407065914387</v>
      </c>
      <c r="H195">
        <f t="shared" ref="H195" si="560">H193+1</f>
        <v>94</v>
      </c>
      <c r="I195">
        <f t="shared" ref="I195" si="561">J194</f>
        <v>0.8749972636024641</v>
      </c>
      <c r="J195">
        <f t="shared" ref="J195" si="562">I195</f>
        <v>0.8749972636024641</v>
      </c>
    </row>
    <row r="196" spans="4:10" x14ac:dyDescent="0.3">
      <c r="D196">
        <f t="shared" si="384"/>
        <v>189</v>
      </c>
      <c r="E196">
        <f t="shared" si="385"/>
        <v>0.50088421030721786</v>
      </c>
      <c r="H196">
        <f t="shared" ref="H196" si="563">H193+1</f>
        <v>94</v>
      </c>
      <c r="I196">
        <f t="shared" ref="I196" si="564">J194</f>
        <v>0.8749972636024641</v>
      </c>
      <c r="J196">
        <f t="shared" ref="J196" si="565">$E$3*I196*(1-I196)</f>
        <v>0.38281968301732416</v>
      </c>
    </row>
    <row r="197" spans="4:10" x14ac:dyDescent="0.3">
      <c r="D197">
        <f t="shared" si="384"/>
        <v>190</v>
      </c>
      <c r="E197">
        <f t="shared" si="385"/>
        <v>0.8749972636024641</v>
      </c>
      <c r="H197">
        <f t="shared" ref="H197" si="566">H195+1</f>
        <v>95</v>
      </c>
      <c r="I197">
        <f t="shared" ref="I197" si="567">J196</f>
        <v>0.38281968301732416</v>
      </c>
      <c r="J197">
        <f t="shared" ref="J197" si="568">I197</f>
        <v>0.38281968301732416</v>
      </c>
    </row>
    <row r="198" spans="4:10" x14ac:dyDescent="0.3">
      <c r="D198">
        <f t="shared" si="384"/>
        <v>191</v>
      </c>
      <c r="E198">
        <f t="shared" si="385"/>
        <v>0.38281968301732416</v>
      </c>
      <c r="H198">
        <f t="shared" ref="H198" si="569">H195+1</f>
        <v>95</v>
      </c>
      <c r="I198">
        <f t="shared" ref="I198" si="570">J196</f>
        <v>0.38281968301732416</v>
      </c>
      <c r="J198">
        <f t="shared" ref="J198" si="571">$E$3*I198*(1-I198)</f>
        <v>0.8269407065914387</v>
      </c>
    </row>
    <row r="199" spans="4:10" x14ac:dyDescent="0.3">
      <c r="D199">
        <f t="shared" si="384"/>
        <v>192</v>
      </c>
      <c r="E199">
        <f t="shared" si="385"/>
        <v>0.8269407065914387</v>
      </c>
      <c r="H199">
        <f t="shared" ref="H199" si="572">H197+1</f>
        <v>96</v>
      </c>
      <c r="I199">
        <f t="shared" ref="I199" si="573">J198</f>
        <v>0.8269407065914387</v>
      </c>
      <c r="J199">
        <f t="shared" ref="J199" si="574">I199</f>
        <v>0.8269407065914387</v>
      </c>
    </row>
    <row r="200" spans="4:10" x14ac:dyDescent="0.3">
      <c r="D200">
        <f t="shared" si="384"/>
        <v>193</v>
      </c>
      <c r="E200">
        <f t="shared" si="385"/>
        <v>0.50088421030721786</v>
      </c>
      <c r="H200">
        <f t="shared" ref="H200" si="575">H197+1</f>
        <v>96</v>
      </c>
      <c r="I200">
        <f t="shared" ref="I200" si="576">J198</f>
        <v>0.8269407065914387</v>
      </c>
      <c r="J200">
        <f t="shared" ref="J200" si="577">$E$3*I200*(1-I200)</f>
        <v>0.50088421030721786</v>
      </c>
    </row>
    <row r="201" spans="4:10" x14ac:dyDescent="0.3">
      <c r="D201">
        <f t="shared" ref="D201:D207" si="578">D200+1</f>
        <v>194</v>
      </c>
      <c r="E201">
        <f t="shared" ref="E201:E207" si="579">$E$3*E200*(1-E200)</f>
        <v>0.8749972636024641</v>
      </c>
      <c r="H201">
        <f t="shared" ref="H201" si="580">H199+1</f>
        <v>97</v>
      </c>
      <c r="I201">
        <f t="shared" ref="I201" si="581">J200</f>
        <v>0.50088421030721786</v>
      </c>
      <c r="J201">
        <f t="shared" ref="J201" si="582">I201</f>
        <v>0.50088421030721786</v>
      </c>
    </row>
    <row r="202" spans="4:10" x14ac:dyDescent="0.3">
      <c r="D202">
        <f t="shared" si="578"/>
        <v>195</v>
      </c>
      <c r="E202">
        <f t="shared" si="579"/>
        <v>0.38281968301732416</v>
      </c>
      <c r="H202">
        <f t="shared" ref="H202" si="583">H199+1</f>
        <v>97</v>
      </c>
      <c r="I202">
        <f t="shared" ref="I202" si="584">J200</f>
        <v>0.50088421030721786</v>
      </c>
      <c r="J202">
        <f t="shared" ref="J202" si="585">$E$3*I202*(1-I202)</f>
        <v>0.8749972636024641</v>
      </c>
    </row>
    <row r="203" spans="4:10" x14ac:dyDescent="0.3">
      <c r="D203">
        <f t="shared" si="578"/>
        <v>196</v>
      </c>
      <c r="E203">
        <f t="shared" si="579"/>
        <v>0.8269407065914387</v>
      </c>
      <c r="H203">
        <f t="shared" ref="H203" si="586">H201+1</f>
        <v>98</v>
      </c>
      <c r="I203">
        <f t="shared" ref="I203" si="587">J202</f>
        <v>0.8749972636024641</v>
      </c>
      <c r="J203">
        <f t="shared" ref="J203" si="588">I203</f>
        <v>0.8749972636024641</v>
      </c>
    </row>
    <row r="204" spans="4:10" x14ac:dyDescent="0.3">
      <c r="D204">
        <f t="shared" si="578"/>
        <v>197</v>
      </c>
      <c r="E204">
        <f t="shared" si="579"/>
        <v>0.50088421030721786</v>
      </c>
      <c r="H204">
        <f t="shared" ref="H204" si="589">H201+1</f>
        <v>98</v>
      </c>
      <c r="I204">
        <f t="shared" ref="I204" si="590">J202</f>
        <v>0.8749972636024641</v>
      </c>
      <c r="J204">
        <f t="shared" ref="J204" si="591">$E$3*I204*(1-I204)</f>
        <v>0.38281968301732416</v>
      </c>
    </row>
    <row r="205" spans="4:10" x14ac:dyDescent="0.3">
      <c r="D205">
        <f t="shared" si="578"/>
        <v>198</v>
      </c>
      <c r="E205">
        <f t="shared" si="579"/>
        <v>0.8749972636024641</v>
      </c>
      <c r="H205">
        <f t="shared" ref="H205" si="592">H203+1</f>
        <v>99</v>
      </c>
      <c r="I205">
        <f t="shared" ref="I205" si="593">J204</f>
        <v>0.38281968301732416</v>
      </c>
      <c r="J205">
        <f t="shared" ref="J205" si="594">I205</f>
        <v>0.38281968301732416</v>
      </c>
    </row>
    <row r="206" spans="4:10" x14ac:dyDescent="0.3">
      <c r="D206">
        <f t="shared" si="578"/>
        <v>199</v>
      </c>
      <c r="E206">
        <f t="shared" si="579"/>
        <v>0.38281968301732416</v>
      </c>
      <c r="H206">
        <f t="shared" ref="H206" si="595">H203+1</f>
        <v>99</v>
      </c>
      <c r="I206">
        <f t="shared" ref="I206" si="596">J204</f>
        <v>0.38281968301732416</v>
      </c>
      <c r="J206">
        <f t="shared" ref="J206" si="597">$E$3*I206*(1-I206)</f>
        <v>0.8269407065914387</v>
      </c>
    </row>
    <row r="207" spans="4:10" x14ac:dyDescent="0.3">
      <c r="D207">
        <f t="shared" si="578"/>
        <v>200</v>
      </c>
      <c r="E207">
        <f t="shared" si="579"/>
        <v>0.8269407065914387</v>
      </c>
      <c r="H207">
        <f t="shared" ref="H207" si="598">H205+1</f>
        <v>100</v>
      </c>
      <c r="I207">
        <f t="shared" ref="I207" si="599">J206</f>
        <v>0.8269407065914387</v>
      </c>
      <c r="J207">
        <f t="shared" ref="J207" si="600">I207</f>
        <v>0.8269407065914387</v>
      </c>
    </row>
    <row r="208" spans="4:10" x14ac:dyDescent="0.3">
      <c r="H208">
        <f t="shared" ref="H208" si="601">H205+1</f>
        <v>100</v>
      </c>
      <c r="I208">
        <f t="shared" ref="I208" si="602">J206</f>
        <v>0.8269407065914387</v>
      </c>
      <c r="J208">
        <f t="shared" ref="J208" si="603">$E$3*I208*(1-I208)</f>
        <v>0.50088421030721786</v>
      </c>
    </row>
    <row r="209" spans="8:10" x14ac:dyDescent="0.3">
      <c r="H209">
        <f t="shared" ref="H209" si="604">H207+1</f>
        <v>101</v>
      </c>
      <c r="I209">
        <f t="shared" ref="I209" si="605">J208</f>
        <v>0.50088421030721786</v>
      </c>
      <c r="J209">
        <f t="shared" ref="J209" si="606">I209</f>
        <v>0.50088421030721786</v>
      </c>
    </row>
    <row r="210" spans="8:10" x14ac:dyDescent="0.3">
      <c r="H210">
        <f t="shared" ref="H210" si="607">H207+1</f>
        <v>101</v>
      </c>
      <c r="I210">
        <f t="shared" ref="I210" si="608">J208</f>
        <v>0.50088421030721786</v>
      </c>
      <c r="J210">
        <f t="shared" ref="J210" si="609">$E$3*I210*(1-I210)</f>
        <v>0.8749972636024641</v>
      </c>
    </row>
    <row r="211" spans="8:10" x14ac:dyDescent="0.3">
      <c r="H211">
        <f t="shared" ref="H211" si="610">H209+1</f>
        <v>102</v>
      </c>
      <c r="I211">
        <f t="shared" ref="I211" si="611">J210</f>
        <v>0.8749972636024641</v>
      </c>
      <c r="J211">
        <f t="shared" ref="J211" si="612">I211</f>
        <v>0.8749972636024641</v>
      </c>
    </row>
    <row r="212" spans="8:10" x14ac:dyDescent="0.3">
      <c r="H212">
        <f t="shared" ref="H212" si="613">H209+1</f>
        <v>102</v>
      </c>
      <c r="I212">
        <f t="shared" ref="I212" si="614">J210</f>
        <v>0.8749972636024641</v>
      </c>
      <c r="J212">
        <f t="shared" ref="J212" si="615">$E$3*I212*(1-I212)</f>
        <v>0.38281968301732416</v>
      </c>
    </row>
    <row r="213" spans="8:10" x14ac:dyDescent="0.3">
      <c r="H213">
        <f t="shared" ref="H213" si="616">H211+1</f>
        <v>103</v>
      </c>
      <c r="I213">
        <f t="shared" ref="I213" si="617">J212</f>
        <v>0.38281968301732416</v>
      </c>
      <c r="J213">
        <f t="shared" ref="J213" si="618">I213</f>
        <v>0.38281968301732416</v>
      </c>
    </row>
    <row r="214" spans="8:10" x14ac:dyDescent="0.3">
      <c r="H214">
        <f t="shared" ref="H214" si="619">H211+1</f>
        <v>103</v>
      </c>
      <c r="I214">
        <f t="shared" ref="I214" si="620">J212</f>
        <v>0.38281968301732416</v>
      </c>
      <c r="J214">
        <f t="shared" ref="J214" si="621">$E$3*I214*(1-I214)</f>
        <v>0.8269407065914387</v>
      </c>
    </row>
    <row r="215" spans="8:10" x14ac:dyDescent="0.3">
      <c r="H215">
        <f t="shared" ref="H215" si="622">H213+1</f>
        <v>104</v>
      </c>
      <c r="I215">
        <f t="shared" ref="I215" si="623">J214</f>
        <v>0.8269407065914387</v>
      </c>
      <c r="J215">
        <f t="shared" ref="J215" si="624">I215</f>
        <v>0.8269407065914387</v>
      </c>
    </row>
    <row r="216" spans="8:10" x14ac:dyDescent="0.3">
      <c r="H216">
        <f t="shared" ref="H216" si="625">H213+1</f>
        <v>104</v>
      </c>
      <c r="I216">
        <f t="shared" ref="I216" si="626">J214</f>
        <v>0.8269407065914387</v>
      </c>
      <c r="J216">
        <f t="shared" ref="J216" si="627">$E$3*I216*(1-I216)</f>
        <v>0.50088421030721786</v>
      </c>
    </row>
    <row r="217" spans="8:10" x14ac:dyDescent="0.3">
      <c r="H217">
        <f t="shared" ref="H217" si="628">H215+1</f>
        <v>105</v>
      </c>
      <c r="I217">
        <f t="shared" ref="I217" si="629">J216</f>
        <v>0.50088421030721786</v>
      </c>
      <c r="J217">
        <f t="shared" ref="J217" si="630">I217</f>
        <v>0.50088421030721786</v>
      </c>
    </row>
    <row r="218" spans="8:10" x14ac:dyDescent="0.3">
      <c r="H218">
        <f t="shared" ref="H218" si="631">H215+1</f>
        <v>105</v>
      </c>
      <c r="I218">
        <f t="shared" ref="I218" si="632">J216</f>
        <v>0.50088421030721786</v>
      </c>
      <c r="J218">
        <f t="shared" ref="J218" si="633">$E$3*I218*(1-I218)</f>
        <v>0.8749972636024641</v>
      </c>
    </row>
    <row r="219" spans="8:10" x14ac:dyDescent="0.3">
      <c r="H219">
        <f t="shared" ref="H219" si="634">H217+1</f>
        <v>106</v>
      </c>
      <c r="I219">
        <f t="shared" ref="I219" si="635">J218</f>
        <v>0.8749972636024641</v>
      </c>
      <c r="J219">
        <f t="shared" ref="J219" si="636">I219</f>
        <v>0.8749972636024641</v>
      </c>
    </row>
    <row r="220" spans="8:10" x14ac:dyDescent="0.3">
      <c r="H220">
        <f t="shared" ref="H220" si="637">H217+1</f>
        <v>106</v>
      </c>
      <c r="I220">
        <f t="shared" ref="I220" si="638">J218</f>
        <v>0.8749972636024641</v>
      </c>
      <c r="J220">
        <f t="shared" ref="J220" si="639">$E$3*I220*(1-I220)</f>
        <v>0.38281968301732416</v>
      </c>
    </row>
    <row r="221" spans="8:10" x14ac:dyDescent="0.3">
      <c r="H221">
        <f t="shared" ref="H221" si="640">H219+1</f>
        <v>107</v>
      </c>
      <c r="I221">
        <f t="shared" ref="I221" si="641">J220</f>
        <v>0.38281968301732416</v>
      </c>
      <c r="J221">
        <f t="shared" ref="J221" si="642">I221</f>
        <v>0.38281968301732416</v>
      </c>
    </row>
    <row r="222" spans="8:10" x14ac:dyDescent="0.3">
      <c r="H222">
        <f t="shared" ref="H222" si="643">H219+1</f>
        <v>107</v>
      </c>
      <c r="I222">
        <f t="shared" ref="I222" si="644">J220</f>
        <v>0.38281968301732416</v>
      </c>
      <c r="J222">
        <f t="shared" ref="J222" si="645">$E$3*I222*(1-I222)</f>
        <v>0.8269407065914387</v>
      </c>
    </row>
    <row r="223" spans="8:10" x14ac:dyDescent="0.3">
      <c r="H223">
        <f t="shared" ref="H223" si="646">H221+1</f>
        <v>108</v>
      </c>
      <c r="I223">
        <f t="shared" ref="I223" si="647">J222</f>
        <v>0.8269407065914387</v>
      </c>
      <c r="J223">
        <f t="shared" ref="J223" si="648">I223</f>
        <v>0.8269407065914387</v>
      </c>
    </row>
    <row r="224" spans="8:10" x14ac:dyDescent="0.3">
      <c r="H224">
        <f t="shared" ref="H224" si="649">H221+1</f>
        <v>108</v>
      </c>
      <c r="I224">
        <f t="shared" ref="I224" si="650">J222</f>
        <v>0.8269407065914387</v>
      </c>
      <c r="J224">
        <f t="shared" ref="J224" si="651">$E$3*I224*(1-I224)</f>
        <v>0.50088421030721786</v>
      </c>
    </row>
    <row r="225" spans="8:10" x14ac:dyDescent="0.3">
      <c r="H225">
        <f t="shared" ref="H225" si="652">H223+1</f>
        <v>109</v>
      </c>
      <c r="I225">
        <f t="shared" ref="I225" si="653">J224</f>
        <v>0.50088421030721786</v>
      </c>
      <c r="J225">
        <f t="shared" ref="J225" si="654">I225</f>
        <v>0.50088421030721786</v>
      </c>
    </row>
    <row r="226" spans="8:10" x14ac:dyDescent="0.3">
      <c r="H226">
        <f t="shared" ref="H226" si="655">H223+1</f>
        <v>109</v>
      </c>
      <c r="I226">
        <f t="shared" ref="I226" si="656">J224</f>
        <v>0.50088421030721786</v>
      </c>
      <c r="J226">
        <f t="shared" ref="J226" si="657">$E$3*I226*(1-I226)</f>
        <v>0.8749972636024641</v>
      </c>
    </row>
    <row r="227" spans="8:10" x14ac:dyDescent="0.3">
      <c r="H227">
        <f t="shared" ref="H227" si="658">H225+1</f>
        <v>110</v>
      </c>
      <c r="I227">
        <f t="shared" ref="I227" si="659">J226</f>
        <v>0.8749972636024641</v>
      </c>
      <c r="J227">
        <f t="shared" ref="J227" si="660">I227</f>
        <v>0.8749972636024641</v>
      </c>
    </row>
    <row r="228" spans="8:10" x14ac:dyDescent="0.3">
      <c r="H228">
        <f t="shared" ref="H228" si="661">H225+1</f>
        <v>110</v>
      </c>
      <c r="I228">
        <f t="shared" ref="I228" si="662">J226</f>
        <v>0.8749972636024641</v>
      </c>
      <c r="J228">
        <f t="shared" ref="J228" si="663">$E$3*I228*(1-I228)</f>
        <v>0.38281968301732416</v>
      </c>
    </row>
    <row r="229" spans="8:10" x14ac:dyDescent="0.3">
      <c r="H229">
        <f t="shared" ref="H229" si="664">H227+1</f>
        <v>111</v>
      </c>
      <c r="I229">
        <f t="shared" ref="I229" si="665">J228</f>
        <v>0.38281968301732416</v>
      </c>
      <c r="J229">
        <f t="shared" ref="J229" si="666">I229</f>
        <v>0.38281968301732416</v>
      </c>
    </row>
    <row r="230" spans="8:10" x14ac:dyDescent="0.3">
      <c r="H230">
        <f t="shared" ref="H230" si="667">H227+1</f>
        <v>111</v>
      </c>
      <c r="I230">
        <f t="shared" ref="I230" si="668">J228</f>
        <v>0.38281968301732416</v>
      </c>
      <c r="J230">
        <f t="shared" ref="J230" si="669">$E$3*I230*(1-I230)</f>
        <v>0.8269407065914387</v>
      </c>
    </row>
    <row r="231" spans="8:10" x14ac:dyDescent="0.3">
      <c r="H231">
        <f t="shared" ref="H231" si="670">H229+1</f>
        <v>112</v>
      </c>
      <c r="I231">
        <f t="shared" ref="I231" si="671">J230</f>
        <v>0.8269407065914387</v>
      </c>
      <c r="J231">
        <f t="shared" ref="J231" si="672">I231</f>
        <v>0.8269407065914387</v>
      </c>
    </row>
    <row r="232" spans="8:10" x14ac:dyDescent="0.3">
      <c r="H232">
        <f t="shared" ref="H232" si="673">H229+1</f>
        <v>112</v>
      </c>
      <c r="I232">
        <f t="shared" ref="I232" si="674">J230</f>
        <v>0.8269407065914387</v>
      </c>
      <c r="J232">
        <f t="shared" ref="J232" si="675">$E$3*I232*(1-I232)</f>
        <v>0.50088421030721786</v>
      </c>
    </row>
    <row r="233" spans="8:10" x14ac:dyDescent="0.3">
      <c r="H233">
        <f t="shared" ref="H233" si="676">H231+1</f>
        <v>113</v>
      </c>
      <c r="I233">
        <f t="shared" ref="I233" si="677">J232</f>
        <v>0.50088421030721786</v>
      </c>
      <c r="J233">
        <f t="shared" ref="J233" si="678">I233</f>
        <v>0.50088421030721786</v>
      </c>
    </row>
    <row r="234" spans="8:10" x14ac:dyDescent="0.3">
      <c r="H234">
        <f t="shared" ref="H234" si="679">H231+1</f>
        <v>113</v>
      </c>
      <c r="I234">
        <f t="shared" ref="I234" si="680">J232</f>
        <v>0.50088421030721786</v>
      </c>
      <c r="J234">
        <f t="shared" ref="J234" si="681">$E$3*I234*(1-I234)</f>
        <v>0.8749972636024641</v>
      </c>
    </row>
    <row r="235" spans="8:10" x14ac:dyDescent="0.3">
      <c r="H235">
        <f t="shared" ref="H235" si="682">H233+1</f>
        <v>114</v>
      </c>
      <c r="I235">
        <f t="shared" ref="I235" si="683">J234</f>
        <v>0.8749972636024641</v>
      </c>
      <c r="J235">
        <f t="shared" ref="J235" si="684">I235</f>
        <v>0.8749972636024641</v>
      </c>
    </row>
    <row r="236" spans="8:10" x14ac:dyDescent="0.3">
      <c r="H236">
        <f t="shared" ref="H236" si="685">H233+1</f>
        <v>114</v>
      </c>
      <c r="I236">
        <f t="shared" ref="I236" si="686">J234</f>
        <v>0.8749972636024641</v>
      </c>
      <c r="J236">
        <f t="shared" ref="J236" si="687">$E$3*I236*(1-I236)</f>
        <v>0.38281968301732416</v>
      </c>
    </row>
    <row r="237" spans="8:10" x14ac:dyDescent="0.3">
      <c r="H237">
        <f t="shared" ref="H237" si="688">H235+1</f>
        <v>115</v>
      </c>
      <c r="I237">
        <f t="shared" ref="I237" si="689">J236</f>
        <v>0.38281968301732416</v>
      </c>
      <c r="J237">
        <f t="shared" ref="J237" si="690">I237</f>
        <v>0.38281968301732416</v>
      </c>
    </row>
    <row r="238" spans="8:10" x14ac:dyDescent="0.3">
      <c r="H238">
        <f t="shared" ref="H238" si="691">H235+1</f>
        <v>115</v>
      </c>
      <c r="I238">
        <f t="shared" ref="I238" si="692">J236</f>
        <v>0.38281968301732416</v>
      </c>
      <c r="J238">
        <f t="shared" ref="J238" si="693">$E$3*I238*(1-I238)</f>
        <v>0.8269407065914387</v>
      </c>
    </row>
    <row r="239" spans="8:10" x14ac:dyDescent="0.3">
      <c r="H239">
        <f t="shared" ref="H239" si="694">H237+1</f>
        <v>116</v>
      </c>
      <c r="I239">
        <f t="shared" ref="I239" si="695">J238</f>
        <v>0.8269407065914387</v>
      </c>
      <c r="J239">
        <f t="shared" ref="J239" si="696">I239</f>
        <v>0.8269407065914387</v>
      </c>
    </row>
    <row r="240" spans="8:10" x14ac:dyDescent="0.3">
      <c r="H240">
        <f t="shared" ref="H240" si="697">H237+1</f>
        <v>116</v>
      </c>
      <c r="I240">
        <f t="shared" ref="I240" si="698">J238</f>
        <v>0.8269407065914387</v>
      </c>
      <c r="J240">
        <f t="shared" ref="J240" si="699">$E$3*I240*(1-I240)</f>
        <v>0.50088421030721786</v>
      </c>
    </row>
    <row r="241" spans="8:10" x14ac:dyDescent="0.3">
      <c r="H241">
        <f t="shared" ref="H241" si="700">H239+1</f>
        <v>117</v>
      </c>
      <c r="I241">
        <f t="shared" ref="I241" si="701">J240</f>
        <v>0.50088421030721786</v>
      </c>
      <c r="J241">
        <f t="shared" ref="J241" si="702">I241</f>
        <v>0.50088421030721786</v>
      </c>
    </row>
    <row r="242" spans="8:10" x14ac:dyDescent="0.3">
      <c r="H242">
        <f t="shared" ref="H242" si="703">H239+1</f>
        <v>117</v>
      </c>
      <c r="I242">
        <f t="shared" ref="I242" si="704">J240</f>
        <v>0.50088421030721786</v>
      </c>
      <c r="J242">
        <f t="shared" ref="J242" si="705">$E$3*I242*(1-I242)</f>
        <v>0.8749972636024641</v>
      </c>
    </row>
    <row r="243" spans="8:10" x14ac:dyDescent="0.3">
      <c r="H243">
        <f t="shared" ref="H243" si="706">H241+1</f>
        <v>118</v>
      </c>
      <c r="I243">
        <f t="shared" ref="I243" si="707">J242</f>
        <v>0.8749972636024641</v>
      </c>
      <c r="J243">
        <f t="shared" ref="J243" si="708">I243</f>
        <v>0.8749972636024641</v>
      </c>
    </row>
    <row r="244" spans="8:10" x14ac:dyDescent="0.3">
      <c r="H244">
        <f t="shared" ref="H244" si="709">H241+1</f>
        <v>118</v>
      </c>
      <c r="I244">
        <f t="shared" ref="I244" si="710">J242</f>
        <v>0.8749972636024641</v>
      </c>
      <c r="J244">
        <f t="shared" ref="J244" si="711">$E$3*I244*(1-I244)</f>
        <v>0.38281968301732416</v>
      </c>
    </row>
    <row r="245" spans="8:10" x14ac:dyDescent="0.3">
      <c r="H245">
        <f t="shared" ref="H245" si="712">H243+1</f>
        <v>119</v>
      </c>
      <c r="I245">
        <f t="shared" ref="I245" si="713">J244</f>
        <v>0.38281968301732416</v>
      </c>
      <c r="J245">
        <f t="shared" ref="J245" si="714">I245</f>
        <v>0.38281968301732416</v>
      </c>
    </row>
    <row r="246" spans="8:10" x14ac:dyDescent="0.3">
      <c r="H246">
        <f t="shared" ref="H246" si="715">H243+1</f>
        <v>119</v>
      </c>
      <c r="I246">
        <f t="shared" ref="I246" si="716">J244</f>
        <v>0.38281968301732416</v>
      </c>
      <c r="J246">
        <f t="shared" ref="J246" si="717">$E$3*I246*(1-I246)</f>
        <v>0.8269407065914387</v>
      </c>
    </row>
    <row r="247" spans="8:10" x14ac:dyDescent="0.3">
      <c r="H247">
        <f t="shared" ref="H247" si="718">H245+1</f>
        <v>120</v>
      </c>
      <c r="I247">
        <f t="shared" ref="I247" si="719">J246</f>
        <v>0.8269407065914387</v>
      </c>
      <c r="J247">
        <f t="shared" ref="J247" si="720">I247</f>
        <v>0.8269407065914387</v>
      </c>
    </row>
    <row r="248" spans="8:10" x14ac:dyDescent="0.3">
      <c r="H248">
        <f t="shared" ref="H248" si="721">H245+1</f>
        <v>120</v>
      </c>
      <c r="I248">
        <f t="shared" ref="I248" si="722">J246</f>
        <v>0.8269407065914387</v>
      </c>
      <c r="J248">
        <f t="shared" ref="J248" si="723">$E$3*I248*(1-I248)</f>
        <v>0.50088421030721786</v>
      </c>
    </row>
    <row r="249" spans="8:10" x14ac:dyDescent="0.3">
      <c r="H249">
        <f t="shared" ref="H249" si="724">H247+1</f>
        <v>121</v>
      </c>
      <c r="I249">
        <f t="shared" ref="I249" si="725">J248</f>
        <v>0.50088421030721786</v>
      </c>
      <c r="J249">
        <f t="shared" ref="J249" si="726">I249</f>
        <v>0.50088421030721786</v>
      </c>
    </row>
    <row r="250" spans="8:10" x14ac:dyDescent="0.3">
      <c r="H250">
        <f t="shared" ref="H250" si="727">H247+1</f>
        <v>121</v>
      </c>
      <c r="I250">
        <f t="shared" ref="I250" si="728">J248</f>
        <v>0.50088421030721786</v>
      </c>
      <c r="J250">
        <f t="shared" ref="J250" si="729">$E$3*I250*(1-I250)</f>
        <v>0.8749972636024641</v>
      </c>
    </row>
    <row r="251" spans="8:10" x14ac:dyDescent="0.3">
      <c r="H251">
        <f t="shared" ref="H251" si="730">H249+1</f>
        <v>122</v>
      </c>
      <c r="I251">
        <f t="shared" ref="I251" si="731">J250</f>
        <v>0.8749972636024641</v>
      </c>
      <c r="J251">
        <f t="shared" ref="J251" si="732">I251</f>
        <v>0.8749972636024641</v>
      </c>
    </row>
    <row r="252" spans="8:10" x14ac:dyDescent="0.3">
      <c r="H252">
        <f t="shared" ref="H252" si="733">H249+1</f>
        <v>122</v>
      </c>
      <c r="I252">
        <f t="shared" ref="I252" si="734">J250</f>
        <v>0.8749972636024641</v>
      </c>
      <c r="J252">
        <f t="shared" ref="J252" si="735">$E$3*I252*(1-I252)</f>
        <v>0.38281968301732416</v>
      </c>
    </row>
    <row r="253" spans="8:10" x14ac:dyDescent="0.3">
      <c r="H253">
        <f t="shared" ref="H253" si="736">H251+1</f>
        <v>123</v>
      </c>
      <c r="I253">
        <f t="shared" ref="I253" si="737">J252</f>
        <v>0.38281968301732416</v>
      </c>
      <c r="J253">
        <f t="shared" ref="J253" si="738">I253</f>
        <v>0.38281968301732416</v>
      </c>
    </row>
    <row r="254" spans="8:10" x14ac:dyDescent="0.3">
      <c r="H254">
        <f t="shared" ref="H254" si="739">H251+1</f>
        <v>123</v>
      </c>
      <c r="I254">
        <f t="shared" ref="I254" si="740">J252</f>
        <v>0.38281968301732416</v>
      </c>
      <c r="J254">
        <f t="shared" ref="J254" si="741">$E$3*I254*(1-I254)</f>
        <v>0.8269407065914387</v>
      </c>
    </row>
    <row r="255" spans="8:10" x14ac:dyDescent="0.3">
      <c r="H255">
        <f t="shared" ref="H255" si="742">H253+1</f>
        <v>124</v>
      </c>
      <c r="I255">
        <f t="shared" ref="I255" si="743">J254</f>
        <v>0.8269407065914387</v>
      </c>
      <c r="J255">
        <f t="shared" ref="J255" si="744">I255</f>
        <v>0.8269407065914387</v>
      </c>
    </row>
    <row r="256" spans="8:10" x14ac:dyDescent="0.3">
      <c r="H256">
        <f t="shared" ref="H256" si="745">H253+1</f>
        <v>124</v>
      </c>
      <c r="I256">
        <f t="shared" ref="I256" si="746">J254</f>
        <v>0.8269407065914387</v>
      </c>
      <c r="J256">
        <f t="shared" ref="J256" si="747">$E$3*I256*(1-I256)</f>
        <v>0.50088421030721786</v>
      </c>
    </row>
    <row r="257" spans="8:10" x14ac:dyDescent="0.3">
      <c r="H257">
        <f t="shared" ref="H257" si="748">H255+1</f>
        <v>125</v>
      </c>
      <c r="I257">
        <f t="shared" ref="I257" si="749">J256</f>
        <v>0.50088421030721786</v>
      </c>
      <c r="J257">
        <f t="shared" ref="J257" si="750">I257</f>
        <v>0.50088421030721786</v>
      </c>
    </row>
    <row r="258" spans="8:10" x14ac:dyDescent="0.3">
      <c r="H258">
        <f t="shared" ref="H258" si="751">H255+1</f>
        <v>125</v>
      </c>
      <c r="I258">
        <f t="shared" ref="I258" si="752">J256</f>
        <v>0.50088421030721786</v>
      </c>
      <c r="J258">
        <f t="shared" ref="J258" si="753">$E$3*I258*(1-I258)</f>
        <v>0.8749972636024641</v>
      </c>
    </row>
    <row r="259" spans="8:10" x14ac:dyDescent="0.3">
      <c r="H259">
        <f t="shared" ref="H259" si="754">H257+1</f>
        <v>126</v>
      </c>
      <c r="I259">
        <f t="shared" ref="I259" si="755">J258</f>
        <v>0.8749972636024641</v>
      </c>
      <c r="J259">
        <f t="shared" ref="J259" si="756">I259</f>
        <v>0.8749972636024641</v>
      </c>
    </row>
    <row r="260" spans="8:10" x14ac:dyDescent="0.3">
      <c r="H260">
        <f t="shared" ref="H260" si="757">H257+1</f>
        <v>126</v>
      </c>
      <c r="I260">
        <f t="shared" ref="I260" si="758">J258</f>
        <v>0.8749972636024641</v>
      </c>
      <c r="J260">
        <f t="shared" ref="J260" si="759">$E$3*I260*(1-I260)</f>
        <v>0.38281968301732416</v>
      </c>
    </row>
    <row r="261" spans="8:10" x14ac:dyDescent="0.3">
      <c r="H261">
        <f t="shared" ref="H261" si="760">H259+1</f>
        <v>127</v>
      </c>
      <c r="I261">
        <f t="shared" ref="I261" si="761">J260</f>
        <v>0.38281968301732416</v>
      </c>
      <c r="J261">
        <f t="shared" ref="J261" si="762">I261</f>
        <v>0.38281968301732416</v>
      </c>
    </row>
    <row r="262" spans="8:10" x14ac:dyDescent="0.3">
      <c r="H262">
        <f t="shared" ref="H262" si="763">H259+1</f>
        <v>127</v>
      </c>
      <c r="I262">
        <f t="shared" ref="I262" si="764">J260</f>
        <v>0.38281968301732416</v>
      </c>
      <c r="J262">
        <f t="shared" ref="J262" si="765">$E$3*I262*(1-I262)</f>
        <v>0.8269407065914387</v>
      </c>
    </row>
    <row r="263" spans="8:10" x14ac:dyDescent="0.3">
      <c r="H263">
        <f t="shared" ref="H263" si="766">H261+1</f>
        <v>128</v>
      </c>
      <c r="I263">
        <f t="shared" ref="I263" si="767">J262</f>
        <v>0.8269407065914387</v>
      </c>
      <c r="J263">
        <f t="shared" ref="J263" si="768">I263</f>
        <v>0.8269407065914387</v>
      </c>
    </row>
    <row r="264" spans="8:10" x14ac:dyDescent="0.3">
      <c r="H264">
        <f t="shared" ref="H264" si="769">H261+1</f>
        <v>128</v>
      </c>
      <c r="I264">
        <f t="shared" ref="I264" si="770">J262</f>
        <v>0.8269407065914387</v>
      </c>
      <c r="J264">
        <f t="shared" ref="J264" si="771">$E$3*I264*(1-I264)</f>
        <v>0.50088421030721786</v>
      </c>
    </row>
    <row r="265" spans="8:10" x14ac:dyDescent="0.3">
      <c r="H265">
        <f t="shared" ref="H265" si="772">H263+1</f>
        <v>129</v>
      </c>
      <c r="I265">
        <f t="shared" ref="I265" si="773">J264</f>
        <v>0.50088421030721786</v>
      </c>
      <c r="J265">
        <f t="shared" ref="J265" si="774">I265</f>
        <v>0.50088421030721786</v>
      </c>
    </row>
    <row r="266" spans="8:10" x14ac:dyDescent="0.3">
      <c r="H266">
        <f t="shared" ref="H266" si="775">H263+1</f>
        <v>129</v>
      </c>
      <c r="I266">
        <f t="shared" ref="I266" si="776">J264</f>
        <v>0.50088421030721786</v>
      </c>
      <c r="J266">
        <f t="shared" ref="J266" si="777">$E$3*I266*(1-I266)</f>
        <v>0.8749972636024641</v>
      </c>
    </row>
    <row r="267" spans="8:10" x14ac:dyDescent="0.3">
      <c r="H267">
        <f t="shared" ref="H267" si="778">H265+1</f>
        <v>130</v>
      </c>
      <c r="I267">
        <f t="shared" ref="I267" si="779">J266</f>
        <v>0.8749972636024641</v>
      </c>
      <c r="J267">
        <f t="shared" ref="J267" si="780">I267</f>
        <v>0.8749972636024641</v>
      </c>
    </row>
    <row r="268" spans="8:10" x14ac:dyDescent="0.3">
      <c r="H268">
        <f t="shared" ref="H268" si="781">H265+1</f>
        <v>130</v>
      </c>
      <c r="I268">
        <f t="shared" ref="I268" si="782">J266</f>
        <v>0.8749972636024641</v>
      </c>
      <c r="J268">
        <f t="shared" ref="J268" si="783">$E$3*I268*(1-I268)</f>
        <v>0.38281968301732416</v>
      </c>
    </row>
    <row r="269" spans="8:10" x14ac:dyDescent="0.3">
      <c r="H269">
        <f t="shared" ref="H269" si="784">H267+1</f>
        <v>131</v>
      </c>
      <c r="I269">
        <f t="shared" ref="I269" si="785">J268</f>
        <v>0.38281968301732416</v>
      </c>
      <c r="J269">
        <f t="shared" ref="J269" si="786">I269</f>
        <v>0.38281968301732416</v>
      </c>
    </row>
    <row r="270" spans="8:10" x14ac:dyDescent="0.3">
      <c r="H270">
        <f t="shared" ref="H270" si="787">H267+1</f>
        <v>131</v>
      </c>
      <c r="I270">
        <f t="shared" ref="I270" si="788">J268</f>
        <v>0.38281968301732416</v>
      </c>
      <c r="J270">
        <f t="shared" ref="J270" si="789">$E$3*I270*(1-I270)</f>
        <v>0.8269407065914387</v>
      </c>
    </row>
    <row r="271" spans="8:10" x14ac:dyDescent="0.3">
      <c r="H271">
        <f t="shared" ref="H271" si="790">H269+1</f>
        <v>132</v>
      </c>
      <c r="I271">
        <f t="shared" ref="I271" si="791">J270</f>
        <v>0.8269407065914387</v>
      </c>
      <c r="J271">
        <f t="shared" ref="J271" si="792">I271</f>
        <v>0.8269407065914387</v>
      </c>
    </row>
    <row r="272" spans="8:10" x14ac:dyDescent="0.3">
      <c r="H272">
        <f t="shared" ref="H272" si="793">H269+1</f>
        <v>132</v>
      </c>
      <c r="I272">
        <f t="shared" ref="I272" si="794">J270</f>
        <v>0.8269407065914387</v>
      </c>
      <c r="J272">
        <f t="shared" ref="J272" si="795">$E$3*I272*(1-I272)</f>
        <v>0.50088421030721786</v>
      </c>
    </row>
    <row r="273" spans="8:10" x14ac:dyDescent="0.3">
      <c r="H273">
        <f t="shared" ref="H273" si="796">H271+1</f>
        <v>133</v>
      </c>
      <c r="I273">
        <f t="shared" ref="I273" si="797">J272</f>
        <v>0.50088421030721786</v>
      </c>
      <c r="J273">
        <f t="shared" ref="J273" si="798">I273</f>
        <v>0.50088421030721786</v>
      </c>
    </row>
    <row r="274" spans="8:10" x14ac:dyDescent="0.3">
      <c r="H274">
        <f t="shared" ref="H274" si="799">H271+1</f>
        <v>133</v>
      </c>
      <c r="I274">
        <f t="shared" ref="I274" si="800">J272</f>
        <v>0.50088421030721786</v>
      </c>
      <c r="J274">
        <f t="shared" ref="J274" si="801">$E$3*I274*(1-I274)</f>
        <v>0.8749972636024641</v>
      </c>
    </row>
    <row r="275" spans="8:10" x14ac:dyDescent="0.3">
      <c r="H275">
        <f t="shared" ref="H275" si="802">H273+1</f>
        <v>134</v>
      </c>
      <c r="I275">
        <f t="shared" ref="I275" si="803">J274</f>
        <v>0.8749972636024641</v>
      </c>
      <c r="J275">
        <f t="shared" ref="J275" si="804">I275</f>
        <v>0.8749972636024641</v>
      </c>
    </row>
    <row r="276" spans="8:10" x14ac:dyDescent="0.3">
      <c r="H276">
        <f t="shared" ref="H276" si="805">H273+1</f>
        <v>134</v>
      </c>
      <c r="I276">
        <f t="shared" ref="I276" si="806">J274</f>
        <v>0.8749972636024641</v>
      </c>
      <c r="J276">
        <f t="shared" ref="J276" si="807">$E$3*I276*(1-I276)</f>
        <v>0.38281968301732416</v>
      </c>
    </row>
    <row r="277" spans="8:10" x14ac:dyDescent="0.3">
      <c r="H277">
        <f t="shared" ref="H277" si="808">H275+1</f>
        <v>135</v>
      </c>
      <c r="I277">
        <f t="shared" ref="I277" si="809">J276</f>
        <v>0.38281968301732416</v>
      </c>
      <c r="J277">
        <f t="shared" ref="J277" si="810">I277</f>
        <v>0.38281968301732416</v>
      </c>
    </row>
    <row r="278" spans="8:10" x14ac:dyDescent="0.3">
      <c r="H278">
        <f t="shared" ref="H278" si="811">H275+1</f>
        <v>135</v>
      </c>
      <c r="I278">
        <f t="shared" ref="I278" si="812">J276</f>
        <v>0.38281968301732416</v>
      </c>
      <c r="J278">
        <f t="shared" ref="J278" si="813">$E$3*I278*(1-I278)</f>
        <v>0.8269407065914387</v>
      </c>
    </row>
    <row r="279" spans="8:10" x14ac:dyDescent="0.3">
      <c r="H279">
        <f t="shared" ref="H279" si="814">H277+1</f>
        <v>136</v>
      </c>
      <c r="I279">
        <f t="shared" ref="I279" si="815">J278</f>
        <v>0.8269407065914387</v>
      </c>
      <c r="J279">
        <f t="shared" ref="J279" si="816">I279</f>
        <v>0.8269407065914387</v>
      </c>
    </row>
    <row r="280" spans="8:10" x14ac:dyDescent="0.3">
      <c r="H280">
        <f t="shared" ref="H280" si="817">H277+1</f>
        <v>136</v>
      </c>
      <c r="I280">
        <f t="shared" ref="I280" si="818">J278</f>
        <v>0.8269407065914387</v>
      </c>
      <c r="J280">
        <f t="shared" ref="J280" si="819">$E$3*I280*(1-I280)</f>
        <v>0.50088421030721786</v>
      </c>
    </row>
    <row r="281" spans="8:10" x14ac:dyDescent="0.3">
      <c r="H281">
        <f t="shared" ref="H281" si="820">H279+1</f>
        <v>137</v>
      </c>
      <c r="I281">
        <f t="shared" ref="I281" si="821">J280</f>
        <v>0.50088421030721786</v>
      </c>
      <c r="J281">
        <f t="shared" ref="J281" si="822">I281</f>
        <v>0.50088421030721786</v>
      </c>
    </row>
    <row r="282" spans="8:10" x14ac:dyDescent="0.3">
      <c r="H282">
        <f t="shared" ref="H282" si="823">H279+1</f>
        <v>137</v>
      </c>
      <c r="I282">
        <f t="shared" ref="I282" si="824">J280</f>
        <v>0.50088421030721786</v>
      </c>
      <c r="J282">
        <f t="shared" ref="J282" si="825">$E$3*I282*(1-I282)</f>
        <v>0.8749972636024641</v>
      </c>
    </row>
    <row r="283" spans="8:10" x14ac:dyDescent="0.3">
      <c r="H283">
        <f t="shared" ref="H283" si="826">H281+1</f>
        <v>138</v>
      </c>
      <c r="I283">
        <f t="shared" ref="I283" si="827">J282</f>
        <v>0.8749972636024641</v>
      </c>
      <c r="J283">
        <f t="shared" ref="J283" si="828">I283</f>
        <v>0.8749972636024641</v>
      </c>
    </row>
    <row r="284" spans="8:10" x14ac:dyDescent="0.3">
      <c r="H284">
        <f t="shared" ref="H284" si="829">H281+1</f>
        <v>138</v>
      </c>
      <c r="I284">
        <f t="shared" ref="I284" si="830">J282</f>
        <v>0.8749972636024641</v>
      </c>
      <c r="J284">
        <f t="shared" ref="J284" si="831">$E$3*I284*(1-I284)</f>
        <v>0.38281968301732416</v>
      </c>
    </row>
    <row r="285" spans="8:10" x14ac:dyDescent="0.3">
      <c r="H285">
        <f t="shared" ref="H285" si="832">H283+1</f>
        <v>139</v>
      </c>
      <c r="I285">
        <f t="shared" ref="I285" si="833">J284</f>
        <v>0.38281968301732416</v>
      </c>
      <c r="J285">
        <f t="shared" ref="J285" si="834">I285</f>
        <v>0.38281968301732416</v>
      </c>
    </row>
    <row r="286" spans="8:10" x14ac:dyDescent="0.3">
      <c r="H286">
        <f t="shared" ref="H286" si="835">H283+1</f>
        <v>139</v>
      </c>
      <c r="I286">
        <f t="shared" ref="I286" si="836">J284</f>
        <v>0.38281968301732416</v>
      </c>
      <c r="J286">
        <f t="shared" ref="J286" si="837">$E$3*I286*(1-I286)</f>
        <v>0.8269407065914387</v>
      </c>
    </row>
    <row r="287" spans="8:10" x14ac:dyDescent="0.3">
      <c r="H287">
        <f t="shared" ref="H287" si="838">H285+1</f>
        <v>140</v>
      </c>
      <c r="I287">
        <f t="shared" ref="I287" si="839">J286</f>
        <v>0.8269407065914387</v>
      </c>
      <c r="J287">
        <f t="shared" ref="J287" si="840">I287</f>
        <v>0.8269407065914387</v>
      </c>
    </row>
    <row r="288" spans="8:10" x14ac:dyDescent="0.3">
      <c r="H288">
        <f t="shared" ref="H288" si="841">H285+1</f>
        <v>140</v>
      </c>
      <c r="I288">
        <f t="shared" ref="I288" si="842">J286</f>
        <v>0.8269407065914387</v>
      </c>
      <c r="J288">
        <f t="shared" ref="J288" si="843">$E$3*I288*(1-I288)</f>
        <v>0.50088421030721786</v>
      </c>
    </row>
    <row r="289" spans="8:10" x14ac:dyDescent="0.3">
      <c r="H289">
        <f t="shared" ref="H289" si="844">H287+1</f>
        <v>141</v>
      </c>
      <c r="I289">
        <f t="shared" ref="I289" si="845">J288</f>
        <v>0.50088421030721786</v>
      </c>
      <c r="J289">
        <f t="shared" ref="J289" si="846">I289</f>
        <v>0.50088421030721786</v>
      </c>
    </row>
    <row r="290" spans="8:10" x14ac:dyDescent="0.3">
      <c r="H290">
        <f t="shared" ref="H290" si="847">H287+1</f>
        <v>141</v>
      </c>
      <c r="I290">
        <f t="shared" ref="I290" si="848">J288</f>
        <v>0.50088421030721786</v>
      </c>
      <c r="J290">
        <f t="shared" ref="J290" si="849">$E$3*I290*(1-I290)</f>
        <v>0.8749972636024641</v>
      </c>
    </row>
    <row r="291" spans="8:10" x14ac:dyDescent="0.3">
      <c r="H291">
        <f t="shared" ref="H291" si="850">H289+1</f>
        <v>142</v>
      </c>
      <c r="I291">
        <f t="shared" ref="I291" si="851">J290</f>
        <v>0.8749972636024641</v>
      </c>
      <c r="J291">
        <f t="shared" ref="J291" si="852">I291</f>
        <v>0.8749972636024641</v>
      </c>
    </row>
    <row r="292" spans="8:10" x14ac:dyDescent="0.3">
      <c r="H292">
        <f t="shared" ref="H292" si="853">H289+1</f>
        <v>142</v>
      </c>
      <c r="I292">
        <f t="shared" ref="I292" si="854">J290</f>
        <v>0.8749972636024641</v>
      </c>
      <c r="J292">
        <f t="shared" ref="J292" si="855">$E$3*I292*(1-I292)</f>
        <v>0.38281968301732416</v>
      </c>
    </row>
    <row r="293" spans="8:10" x14ac:dyDescent="0.3">
      <c r="H293">
        <f t="shared" ref="H293" si="856">H291+1</f>
        <v>143</v>
      </c>
      <c r="I293">
        <f t="shared" ref="I293" si="857">J292</f>
        <v>0.38281968301732416</v>
      </c>
      <c r="J293">
        <f t="shared" ref="J293" si="858">I293</f>
        <v>0.38281968301732416</v>
      </c>
    </row>
    <row r="294" spans="8:10" x14ac:dyDescent="0.3">
      <c r="H294">
        <f t="shared" ref="H294" si="859">H291+1</f>
        <v>143</v>
      </c>
      <c r="I294">
        <f t="shared" ref="I294" si="860">J292</f>
        <v>0.38281968301732416</v>
      </c>
      <c r="J294">
        <f t="shared" ref="J294" si="861">$E$3*I294*(1-I294)</f>
        <v>0.8269407065914387</v>
      </c>
    </row>
    <row r="295" spans="8:10" x14ac:dyDescent="0.3">
      <c r="H295">
        <f t="shared" ref="H295" si="862">H293+1</f>
        <v>144</v>
      </c>
      <c r="I295">
        <f t="shared" ref="I295" si="863">J294</f>
        <v>0.8269407065914387</v>
      </c>
      <c r="J295">
        <f t="shared" ref="J295" si="864">I295</f>
        <v>0.8269407065914387</v>
      </c>
    </row>
    <row r="296" spans="8:10" x14ac:dyDescent="0.3">
      <c r="H296">
        <f t="shared" ref="H296" si="865">H293+1</f>
        <v>144</v>
      </c>
      <c r="I296">
        <f t="shared" ref="I296" si="866">J294</f>
        <v>0.8269407065914387</v>
      </c>
      <c r="J296">
        <f t="shared" ref="J296" si="867">$E$3*I296*(1-I296)</f>
        <v>0.50088421030721786</v>
      </c>
    </row>
    <row r="297" spans="8:10" x14ac:dyDescent="0.3">
      <c r="H297">
        <f t="shared" ref="H297" si="868">H295+1</f>
        <v>145</v>
      </c>
      <c r="I297">
        <f t="shared" ref="I297" si="869">J296</f>
        <v>0.50088421030721786</v>
      </c>
      <c r="J297">
        <f t="shared" ref="J297" si="870">I297</f>
        <v>0.50088421030721786</v>
      </c>
    </row>
    <row r="298" spans="8:10" x14ac:dyDescent="0.3">
      <c r="H298">
        <f t="shared" ref="H298" si="871">H295+1</f>
        <v>145</v>
      </c>
      <c r="I298">
        <f t="shared" ref="I298" si="872">J296</f>
        <v>0.50088421030721786</v>
      </c>
      <c r="J298">
        <f t="shared" ref="J298" si="873">$E$3*I298*(1-I298)</f>
        <v>0.8749972636024641</v>
      </c>
    </row>
    <row r="299" spans="8:10" x14ac:dyDescent="0.3">
      <c r="H299">
        <f t="shared" ref="H299" si="874">H297+1</f>
        <v>146</v>
      </c>
      <c r="I299">
        <f t="shared" ref="I299" si="875">J298</f>
        <v>0.8749972636024641</v>
      </c>
      <c r="J299">
        <f t="shared" ref="J299" si="876">I299</f>
        <v>0.8749972636024641</v>
      </c>
    </row>
    <row r="300" spans="8:10" x14ac:dyDescent="0.3">
      <c r="H300">
        <f t="shared" ref="H300" si="877">H297+1</f>
        <v>146</v>
      </c>
      <c r="I300">
        <f t="shared" ref="I300" si="878">J298</f>
        <v>0.8749972636024641</v>
      </c>
      <c r="J300">
        <f t="shared" ref="J300" si="879">$E$3*I300*(1-I300)</f>
        <v>0.38281968301732416</v>
      </c>
    </row>
    <row r="301" spans="8:10" x14ac:dyDescent="0.3">
      <c r="H301">
        <f t="shared" ref="H301" si="880">H299+1</f>
        <v>147</v>
      </c>
      <c r="I301">
        <f t="shared" ref="I301" si="881">J300</f>
        <v>0.38281968301732416</v>
      </c>
      <c r="J301">
        <f t="shared" ref="J301" si="882">I301</f>
        <v>0.38281968301732416</v>
      </c>
    </row>
    <row r="302" spans="8:10" x14ac:dyDescent="0.3">
      <c r="H302">
        <f t="shared" ref="H302" si="883">H299+1</f>
        <v>147</v>
      </c>
      <c r="I302">
        <f t="shared" ref="I302" si="884">J300</f>
        <v>0.38281968301732416</v>
      </c>
      <c r="J302">
        <f t="shared" ref="J302" si="885">$E$3*I302*(1-I302)</f>
        <v>0.8269407065914387</v>
      </c>
    </row>
    <row r="303" spans="8:10" x14ac:dyDescent="0.3">
      <c r="H303">
        <f t="shared" ref="H303" si="886">H301+1</f>
        <v>148</v>
      </c>
      <c r="I303">
        <f t="shared" ref="I303" si="887">J302</f>
        <v>0.8269407065914387</v>
      </c>
      <c r="J303">
        <f t="shared" ref="J303" si="888">I303</f>
        <v>0.8269407065914387</v>
      </c>
    </row>
    <row r="304" spans="8:10" x14ac:dyDescent="0.3">
      <c r="H304">
        <f t="shared" ref="H304" si="889">H301+1</f>
        <v>148</v>
      </c>
      <c r="I304">
        <f t="shared" ref="I304" si="890">J302</f>
        <v>0.8269407065914387</v>
      </c>
      <c r="J304">
        <f t="shared" ref="J304" si="891">$E$3*I304*(1-I304)</f>
        <v>0.50088421030721786</v>
      </c>
    </row>
    <row r="305" spans="8:10" x14ac:dyDescent="0.3">
      <c r="H305">
        <f t="shared" ref="H305" si="892">H303+1</f>
        <v>149</v>
      </c>
      <c r="I305">
        <f t="shared" ref="I305" si="893">J304</f>
        <v>0.50088421030721786</v>
      </c>
      <c r="J305">
        <f t="shared" ref="J305" si="894">I305</f>
        <v>0.50088421030721786</v>
      </c>
    </row>
    <row r="306" spans="8:10" x14ac:dyDescent="0.3">
      <c r="H306">
        <f t="shared" ref="H306" si="895">H303+1</f>
        <v>149</v>
      </c>
      <c r="I306">
        <f t="shared" ref="I306" si="896">J304</f>
        <v>0.50088421030721786</v>
      </c>
      <c r="J306">
        <f t="shared" ref="J306" si="897">$E$3*I306*(1-I306)</f>
        <v>0.8749972636024641</v>
      </c>
    </row>
    <row r="307" spans="8:10" x14ac:dyDescent="0.3">
      <c r="H307">
        <f t="shared" ref="H307" si="898">H305+1</f>
        <v>150</v>
      </c>
      <c r="I307">
        <f t="shared" ref="I307" si="899">J306</f>
        <v>0.8749972636024641</v>
      </c>
      <c r="J307">
        <f t="shared" ref="J307" si="900">I307</f>
        <v>0.8749972636024641</v>
      </c>
    </row>
    <row r="308" spans="8:10" x14ac:dyDescent="0.3">
      <c r="H308">
        <f t="shared" ref="H308" si="901">H305+1</f>
        <v>150</v>
      </c>
      <c r="I308">
        <f t="shared" ref="I308" si="902">J306</f>
        <v>0.8749972636024641</v>
      </c>
      <c r="J308">
        <f t="shared" ref="J308" si="903">$E$3*I308*(1-I308)</f>
        <v>0.38281968301732416</v>
      </c>
    </row>
    <row r="309" spans="8:10" x14ac:dyDescent="0.3">
      <c r="H309">
        <f t="shared" ref="H309" si="904">H307+1</f>
        <v>151</v>
      </c>
      <c r="I309">
        <f t="shared" ref="I309" si="905">J308</f>
        <v>0.38281968301732416</v>
      </c>
      <c r="J309">
        <f t="shared" ref="J309" si="906">I309</f>
        <v>0.38281968301732416</v>
      </c>
    </row>
    <row r="310" spans="8:10" x14ac:dyDescent="0.3">
      <c r="H310">
        <f t="shared" ref="H310" si="907">H307+1</f>
        <v>151</v>
      </c>
      <c r="I310">
        <f t="shared" ref="I310" si="908">J308</f>
        <v>0.38281968301732416</v>
      </c>
      <c r="J310">
        <f t="shared" ref="J310" si="909">$E$3*I310*(1-I310)</f>
        <v>0.8269407065914387</v>
      </c>
    </row>
    <row r="311" spans="8:10" x14ac:dyDescent="0.3">
      <c r="H311">
        <f t="shared" ref="H311" si="910">H309+1</f>
        <v>152</v>
      </c>
      <c r="I311">
        <f t="shared" ref="I311" si="911">J310</f>
        <v>0.8269407065914387</v>
      </c>
      <c r="J311">
        <f t="shared" ref="J311" si="912">I311</f>
        <v>0.8269407065914387</v>
      </c>
    </row>
    <row r="312" spans="8:10" x14ac:dyDescent="0.3">
      <c r="H312">
        <f t="shared" ref="H312" si="913">H309+1</f>
        <v>152</v>
      </c>
      <c r="I312">
        <f t="shared" ref="I312" si="914">J310</f>
        <v>0.8269407065914387</v>
      </c>
      <c r="J312">
        <f t="shared" ref="J312" si="915">$E$3*I312*(1-I312)</f>
        <v>0.50088421030721786</v>
      </c>
    </row>
    <row r="313" spans="8:10" x14ac:dyDescent="0.3">
      <c r="H313">
        <f t="shared" ref="H313" si="916">H311+1</f>
        <v>153</v>
      </c>
      <c r="I313">
        <f t="shared" ref="I313" si="917">J312</f>
        <v>0.50088421030721786</v>
      </c>
      <c r="J313">
        <f t="shared" ref="J313" si="918">I313</f>
        <v>0.50088421030721786</v>
      </c>
    </row>
    <row r="314" spans="8:10" x14ac:dyDescent="0.3">
      <c r="H314">
        <f t="shared" ref="H314" si="919">H311+1</f>
        <v>153</v>
      </c>
      <c r="I314">
        <f t="shared" ref="I314" si="920">J312</f>
        <v>0.50088421030721786</v>
      </c>
      <c r="J314">
        <f t="shared" ref="J314" si="921">$E$3*I314*(1-I314)</f>
        <v>0.8749972636024641</v>
      </c>
    </row>
    <row r="315" spans="8:10" x14ac:dyDescent="0.3">
      <c r="H315">
        <f t="shared" ref="H315" si="922">H313+1</f>
        <v>154</v>
      </c>
      <c r="I315">
        <f t="shared" ref="I315" si="923">J314</f>
        <v>0.8749972636024641</v>
      </c>
      <c r="J315">
        <f t="shared" ref="J315" si="924">I315</f>
        <v>0.8749972636024641</v>
      </c>
    </row>
    <row r="316" spans="8:10" x14ac:dyDescent="0.3">
      <c r="H316">
        <f t="shared" ref="H316" si="925">H313+1</f>
        <v>154</v>
      </c>
      <c r="I316">
        <f t="shared" ref="I316" si="926">J314</f>
        <v>0.8749972636024641</v>
      </c>
      <c r="J316">
        <f t="shared" ref="J316" si="927">$E$3*I316*(1-I316)</f>
        <v>0.38281968301732416</v>
      </c>
    </row>
    <row r="317" spans="8:10" x14ac:dyDescent="0.3">
      <c r="H317">
        <f t="shared" ref="H317" si="928">H315+1</f>
        <v>155</v>
      </c>
      <c r="I317">
        <f t="shared" ref="I317" si="929">J316</f>
        <v>0.38281968301732416</v>
      </c>
      <c r="J317">
        <f t="shared" ref="J317" si="930">I317</f>
        <v>0.38281968301732416</v>
      </c>
    </row>
    <row r="318" spans="8:10" x14ac:dyDescent="0.3">
      <c r="H318">
        <f t="shared" ref="H318" si="931">H315+1</f>
        <v>155</v>
      </c>
      <c r="I318">
        <f t="shared" ref="I318" si="932">J316</f>
        <v>0.38281968301732416</v>
      </c>
      <c r="J318">
        <f t="shared" ref="J318" si="933">$E$3*I318*(1-I318)</f>
        <v>0.8269407065914387</v>
      </c>
    </row>
    <row r="319" spans="8:10" x14ac:dyDescent="0.3">
      <c r="H319">
        <f t="shared" ref="H319" si="934">H317+1</f>
        <v>156</v>
      </c>
      <c r="I319">
        <f t="shared" ref="I319" si="935">J318</f>
        <v>0.8269407065914387</v>
      </c>
      <c r="J319">
        <f t="shared" ref="J319" si="936">I319</f>
        <v>0.8269407065914387</v>
      </c>
    </row>
    <row r="320" spans="8:10" x14ac:dyDescent="0.3">
      <c r="H320">
        <f t="shared" ref="H320" si="937">H317+1</f>
        <v>156</v>
      </c>
      <c r="I320">
        <f t="shared" ref="I320" si="938">J318</f>
        <v>0.8269407065914387</v>
      </c>
      <c r="J320">
        <f t="shared" ref="J320" si="939">$E$3*I320*(1-I320)</f>
        <v>0.50088421030721786</v>
      </c>
    </row>
    <row r="321" spans="8:10" x14ac:dyDescent="0.3">
      <c r="H321">
        <f t="shared" ref="H321" si="940">H319+1</f>
        <v>157</v>
      </c>
      <c r="I321">
        <f t="shared" ref="I321" si="941">J320</f>
        <v>0.50088421030721786</v>
      </c>
      <c r="J321">
        <f t="shared" ref="J321" si="942">I321</f>
        <v>0.50088421030721786</v>
      </c>
    </row>
    <row r="322" spans="8:10" x14ac:dyDescent="0.3">
      <c r="H322">
        <f t="shared" ref="H322" si="943">H319+1</f>
        <v>157</v>
      </c>
      <c r="I322">
        <f t="shared" ref="I322" si="944">J320</f>
        <v>0.50088421030721786</v>
      </c>
      <c r="J322">
        <f t="shared" ref="J322" si="945">$E$3*I322*(1-I322)</f>
        <v>0.8749972636024641</v>
      </c>
    </row>
    <row r="323" spans="8:10" x14ac:dyDescent="0.3">
      <c r="H323">
        <f t="shared" ref="H323" si="946">H321+1</f>
        <v>158</v>
      </c>
      <c r="I323">
        <f t="shared" ref="I323" si="947">J322</f>
        <v>0.8749972636024641</v>
      </c>
      <c r="J323">
        <f t="shared" ref="J323" si="948">I323</f>
        <v>0.8749972636024641</v>
      </c>
    </row>
    <row r="324" spans="8:10" x14ac:dyDescent="0.3">
      <c r="H324">
        <f t="shared" ref="H324" si="949">H321+1</f>
        <v>158</v>
      </c>
      <c r="I324">
        <f t="shared" ref="I324" si="950">J322</f>
        <v>0.8749972636024641</v>
      </c>
      <c r="J324">
        <f t="shared" ref="J324" si="951">$E$3*I324*(1-I324)</f>
        <v>0.38281968301732416</v>
      </c>
    </row>
    <row r="325" spans="8:10" x14ac:dyDescent="0.3">
      <c r="H325">
        <f t="shared" ref="H325" si="952">H323+1</f>
        <v>159</v>
      </c>
      <c r="I325">
        <f t="shared" ref="I325" si="953">J324</f>
        <v>0.38281968301732416</v>
      </c>
      <c r="J325">
        <f t="shared" ref="J325" si="954">I325</f>
        <v>0.38281968301732416</v>
      </c>
    </row>
    <row r="326" spans="8:10" x14ac:dyDescent="0.3">
      <c r="H326">
        <f t="shared" ref="H326" si="955">H323+1</f>
        <v>159</v>
      </c>
      <c r="I326">
        <f t="shared" ref="I326" si="956">J324</f>
        <v>0.38281968301732416</v>
      </c>
      <c r="J326">
        <f t="shared" ref="J326" si="957">$E$3*I326*(1-I326)</f>
        <v>0.8269407065914387</v>
      </c>
    </row>
    <row r="327" spans="8:10" x14ac:dyDescent="0.3">
      <c r="H327">
        <f t="shared" ref="H327" si="958">H325+1</f>
        <v>160</v>
      </c>
      <c r="I327">
        <f t="shared" ref="I327" si="959">J326</f>
        <v>0.8269407065914387</v>
      </c>
      <c r="J327">
        <f t="shared" ref="J327" si="960">I327</f>
        <v>0.8269407065914387</v>
      </c>
    </row>
    <row r="328" spans="8:10" x14ac:dyDescent="0.3">
      <c r="H328">
        <f t="shared" ref="H328" si="961">H325+1</f>
        <v>160</v>
      </c>
      <c r="I328">
        <f t="shared" ref="I328" si="962">J326</f>
        <v>0.8269407065914387</v>
      </c>
      <c r="J328">
        <f t="shared" ref="J328" si="963">$E$3*I328*(1-I328)</f>
        <v>0.50088421030721786</v>
      </c>
    </row>
    <row r="329" spans="8:10" x14ac:dyDescent="0.3">
      <c r="H329">
        <f t="shared" ref="H329" si="964">H327+1</f>
        <v>161</v>
      </c>
      <c r="I329">
        <f t="shared" ref="I329" si="965">J328</f>
        <v>0.50088421030721786</v>
      </c>
      <c r="J329">
        <f t="shared" ref="J329" si="966">I329</f>
        <v>0.50088421030721786</v>
      </c>
    </row>
    <row r="330" spans="8:10" x14ac:dyDescent="0.3">
      <c r="H330">
        <f t="shared" ref="H330" si="967">H327+1</f>
        <v>161</v>
      </c>
      <c r="I330">
        <f t="shared" ref="I330" si="968">J328</f>
        <v>0.50088421030721786</v>
      </c>
      <c r="J330">
        <f t="shared" ref="J330" si="969">$E$3*I330*(1-I330)</f>
        <v>0.8749972636024641</v>
      </c>
    </row>
    <row r="331" spans="8:10" x14ac:dyDescent="0.3">
      <c r="H331">
        <f t="shared" ref="H331" si="970">H329+1</f>
        <v>162</v>
      </c>
      <c r="I331">
        <f t="shared" ref="I331" si="971">J330</f>
        <v>0.8749972636024641</v>
      </c>
      <c r="J331">
        <f t="shared" ref="J331" si="972">I331</f>
        <v>0.8749972636024641</v>
      </c>
    </row>
    <row r="332" spans="8:10" x14ac:dyDescent="0.3">
      <c r="H332">
        <f t="shared" ref="H332" si="973">H329+1</f>
        <v>162</v>
      </c>
      <c r="I332">
        <f t="shared" ref="I332" si="974">J330</f>
        <v>0.8749972636024641</v>
      </c>
      <c r="J332">
        <f t="shared" ref="J332" si="975">$E$3*I332*(1-I332)</f>
        <v>0.38281968301732416</v>
      </c>
    </row>
    <row r="333" spans="8:10" x14ac:dyDescent="0.3">
      <c r="H333">
        <f t="shared" ref="H333" si="976">H331+1</f>
        <v>163</v>
      </c>
      <c r="I333">
        <f t="shared" ref="I333" si="977">J332</f>
        <v>0.38281968301732416</v>
      </c>
      <c r="J333">
        <f t="shared" ref="J333" si="978">I333</f>
        <v>0.38281968301732416</v>
      </c>
    </row>
    <row r="334" spans="8:10" x14ac:dyDescent="0.3">
      <c r="H334">
        <f t="shared" ref="H334" si="979">H331+1</f>
        <v>163</v>
      </c>
      <c r="I334">
        <f t="shared" ref="I334" si="980">J332</f>
        <v>0.38281968301732416</v>
      </c>
      <c r="J334">
        <f t="shared" ref="J334" si="981">$E$3*I334*(1-I334)</f>
        <v>0.8269407065914387</v>
      </c>
    </row>
    <row r="335" spans="8:10" x14ac:dyDescent="0.3">
      <c r="H335">
        <f t="shared" ref="H335" si="982">H333+1</f>
        <v>164</v>
      </c>
      <c r="I335">
        <f t="shared" ref="I335" si="983">J334</f>
        <v>0.8269407065914387</v>
      </c>
      <c r="J335">
        <f t="shared" ref="J335" si="984">I335</f>
        <v>0.8269407065914387</v>
      </c>
    </row>
    <row r="336" spans="8:10" x14ac:dyDescent="0.3">
      <c r="H336">
        <f t="shared" ref="H336" si="985">H333+1</f>
        <v>164</v>
      </c>
      <c r="I336">
        <f t="shared" ref="I336" si="986">J334</f>
        <v>0.8269407065914387</v>
      </c>
      <c r="J336">
        <f t="shared" ref="J336" si="987">$E$3*I336*(1-I336)</f>
        <v>0.50088421030721786</v>
      </c>
    </row>
    <row r="337" spans="8:10" x14ac:dyDescent="0.3">
      <c r="H337">
        <f t="shared" ref="H337" si="988">H335+1</f>
        <v>165</v>
      </c>
      <c r="I337">
        <f t="shared" ref="I337" si="989">J336</f>
        <v>0.50088421030721786</v>
      </c>
      <c r="J337">
        <f t="shared" ref="J337" si="990">I337</f>
        <v>0.50088421030721786</v>
      </c>
    </row>
    <row r="338" spans="8:10" x14ac:dyDescent="0.3">
      <c r="H338">
        <f t="shared" ref="H338" si="991">H335+1</f>
        <v>165</v>
      </c>
      <c r="I338">
        <f t="shared" ref="I338" si="992">J336</f>
        <v>0.50088421030721786</v>
      </c>
      <c r="J338">
        <f t="shared" ref="J338" si="993">$E$3*I338*(1-I338)</f>
        <v>0.8749972636024641</v>
      </c>
    </row>
    <row r="339" spans="8:10" x14ac:dyDescent="0.3">
      <c r="H339">
        <f t="shared" ref="H339" si="994">H337+1</f>
        <v>166</v>
      </c>
      <c r="I339">
        <f t="shared" ref="I339" si="995">J338</f>
        <v>0.8749972636024641</v>
      </c>
      <c r="J339">
        <f t="shared" ref="J339" si="996">I339</f>
        <v>0.8749972636024641</v>
      </c>
    </row>
    <row r="340" spans="8:10" x14ac:dyDescent="0.3">
      <c r="H340">
        <f t="shared" ref="H340" si="997">H337+1</f>
        <v>166</v>
      </c>
      <c r="I340">
        <f t="shared" ref="I340" si="998">J338</f>
        <v>0.8749972636024641</v>
      </c>
      <c r="J340">
        <f t="shared" ref="J340" si="999">$E$3*I340*(1-I340)</f>
        <v>0.38281968301732416</v>
      </c>
    </row>
    <row r="341" spans="8:10" x14ac:dyDescent="0.3">
      <c r="H341">
        <f t="shared" ref="H341" si="1000">H339+1</f>
        <v>167</v>
      </c>
      <c r="I341">
        <f t="shared" ref="I341" si="1001">J340</f>
        <v>0.38281968301732416</v>
      </c>
      <c r="J341">
        <f t="shared" ref="J341" si="1002">I341</f>
        <v>0.38281968301732416</v>
      </c>
    </row>
    <row r="342" spans="8:10" x14ac:dyDescent="0.3">
      <c r="H342">
        <f t="shared" ref="H342" si="1003">H339+1</f>
        <v>167</v>
      </c>
      <c r="I342">
        <f t="shared" ref="I342" si="1004">J340</f>
        <v>0.38281968301732416</v>
      </c>
      <c r="J342">
        <f t="shared" ref="J342" si="1005">$E$3*I342*(1-I342)</f>
        <v>0.8269407065914387</v>
      </c>
    </row>
    <row r="343" spans="8:10" x14ac:dyDescent="0.3">
      <c r="H343">
        <f t="shared" ref="H343" si="1006">H341+1</f>
        <v>168</v>
      </c>
      <c r="I343">
        <f t="shared" ref="I343" si="1007">J342</f>
        <v>0.8269407065914387</v>
      </c>
      <c r="J343">
        <f t="shared" ref="J343" si="1008">I343</f>
        <v>0.8269407065914387</v>
      </c>
    </row>
    <row r="344" spans="8:10" x14ac:dyDescent="0.3">
      <c r="H344">
        <f t="shared" ref="H344" si="1009">H341+1</f>
        <v>168</v>
      </c>
      <c r="I344">
        <f t="shared" ref="I344" si="1010">J342</f>
        <v>0.8269407065914387</v>
      </c>
      <c r="J344">
        <f t="shared" ref="J344" si="1011">$E$3*I344*(1-I344)</f>
        <v>0.50088421030721786</v>
      </c>
    </row>
    <row r="345" spans="8:10" x14ac:dyDescent="0.3">
      <c r="H345">
        <f t="shared" ref="H345" si="1012">H343+1</f>
        <v>169</v>
      </c>
      <c r="I345">
        <f t="shared" ref="I345" si="1013">J344</f>
        <v>0.50088421030721786</v>
      </c>
      <c r="J345">
        <f t="shared" ref="J345" si="1014">I345</f>
        <v>0.50088421030721786</v>
      </c>
    </row>
    <row r="346" spans="8:10" x14ac:dyDescent="0.3">
      <c r="H346">
        <f t="shared" ref="H346" si="1015">H343+1</f>
        <v>169</v>
      </c>
      <c r="I346">
        <f t="shared" ref="I346" si="1016">J344</f>
        <v>0.50088421030721786</v>
      </c>
      <c r="J346">
        <f t="shared" ref="J346" si="1017">$E$3*I346*(1-I346)</f>
        <v>0.8749972636024641</v>
      </c>
    </row>
    <row r="347" spans="8:10" x14ac:dyDescent="0.3">
      <c r="H347">
        <f t="shared" ref="H347" si="1018">H345+1</f>
        <v>170</v>
      </c>
      <c r="I347">
        <f t="shared" ref="I347" si="1019">J346</f>
        <v>0.8749972636024641</v>
      </c>
      <c r="J347">
        <f t="shared" ref="J347" si="1020">I347</f>
        <v>0.8749972636024641</v>
      </c>
    </row>
    <row r="348" spans="8:10" x14ac:dyDescent="0.3">
      <c r="H348">
        <f t="shared" ref="H348" si="1021">H345+1</f>
        <v>170</v>
      </c>
      <c r="I348">
        <f t="shared" ref="I348" si="1022">J346</f>
        <v>0.8749972636024641</v>
      </c>
      <c r="J348">
        <f t="shared" ref="J348" si="1023">$E$3*I348*(1-I348)</f>
        <v>0.38281968301732416</v>
      </c>
    </row>
    <row r="349" spans="8:10" x14ac:dyDescent="0.3">
      <c r="H349">
        <f t="shared" ref="H349" si="1024">H347+1</f>
        <v>171</v>
      </c>
      <c r="I349">
        <f t="shared" ref="I349" si="1025">J348</f>
        <v>0.38281968301732416</v>
      </c>
      <c r="J349">
        <f t="shared" ref="J349" si="1026">I349</f>
        <v>0.38281968301732416</v>
      </c>
    </row>
    <row r="350" spans="8:10" x14ac:dyDescent="0.3">
      <c r="H350">
        <f t="shared" ref="H350" si="1027">H347+1</f>
        <v>171</v>
      </c>
      <c r="I350">
        <f t="shared" ref="I350" si="1028">J348</f>
        <v>0.38281968301732416</v>
      </c>
      <c r="J350">
        <f t="shared" ref="J350" si="1029">$E$3*I350*(1-I350)</f>
        <v>0.8269407065914387</v>
      </c>
    </row>
    <row r="351" spans="8:10" x14ac:dyDescent="0.3">
      <c r="H351">
        <f t="shared" ref="H351" si="1030">H349+1</f>
        <v>172</v>
      </c>
      <c r="I351">
        <f t="shared" ref="I351" si="1031">J350</f>
        <v>0.8269407065914387</v>
      </c>
      <c r="J351">
        <f t="shared" ref="J351" si="1032">I351</f>
        <v>0.8269407065914387</v>
      </c>
    </row>
    <row r="352" spans="8:10" x14ac:dyDescent="0.3">
      <c r="H352">
        <f t="shared" ref="H352" si="1033">H349+1</f>
        <v>172</v>
      </c>
      <c r="I352">
        <f t="shared" ref="I352" si="1034">J350</f>
        <v>0.8269407065914387</v>
      </c>
      <c r="J352">
        <f t="shared" ref="J352" si="1035">$E$3*I352*(1-I352)</f>
        <v>0.50088421030721786</v>
      </c>
    </row>
    <row r="353" spans="8:10" x14ac:dyDescent="0.3">
      <c r="H353">
        <f t="shared" ref="H353" si="1036">H351+1</f>
        <v>173</v>
      </c>
      <c r="I353">
        <f t="shared" ref="I353" si="1037">J352</f>
        <v>0.50088421030721786</v>
      </c>
      <c r="J353">
        <f t="shared" ref="J353" si="1038">I353</f>
        <v>0.50088421030721786</v>
      </c>
    </row>
    <row r="354" spans="8:10" x14ac:dyDescent="0.3">
      <c r="H354">
        <f t="shared" ref="H354" si="1039">H351+1</f>
        <v>173</v>
      </c>
      <c r="I354">
        <f t="shared" ref="I354" si="1040">J352</f>
        <v>0.50088421030721786</v>
      </c>
      <c r="J354">
        <f t="shared" ref="J354" si="1041">$E$3*I354*(1-I354)</f>
        <v>0.8749972636024641</v>
      </c>
    </row>
    <row r="355" spans="8:10" x14ac:dyDescent="0.3">
      <c r="H355">
        <f t="shared" ref="H355" si="1042">H353+1</f>
        <v>174</v>
      </c>
      <c r="I355">
        <f t="shared" ref="I355" si="1043">J354</f>
        <v>0.8749972636024641</v>
      </c>
      <c r="J355">
        <f t="shared" ref="J355" si="1044">I355</f>
        <v>0.8749972636024641</v>
      </c>
    </row>
    <row r="356" spans="8:10" x14ac:dyDescent="0.3">
      <c r="H356">
        <f t="shared" ref="H356" si="1045">H353+1</f>
        <v>174</v>
      </c>
      <c r="I356">
        <f t="shared" ref="I356" si="1046">J354</f>
        <v>0.8749972636024641</v>
      </c>
      <c r="J356">
        <f t="shared" ref="J356" si="1047">$E$3*I356*(1-I356)</f>
        <v>0.38281968301732416</v>
      </c>
    </row>
    <row r="357" spans="8:10" x14ac:dyDescent="0.3">
      <c r="H357">
        <f t="shared" ref="H357" si="1048">H355+1</f>
        <v>175</v>
      </c>
      <c r="I357">
        <f t="shared" ref="I357" si="1049">J356</f>
        <v>0.38281968301732416</v>
      </c>
      <c r="J357">
        <f t="shared" ref="J357" si="1050">I357</f>
        <v>0.38281968301732416</v>
      </c>
    </row>
    <row r="358" spans="8:10" x14ac:dyDescent="0.3">
      <c r="H358">
        <f t="shared" ref="H358" si="1051">H355+1</f>
        <v>175</v>
      </c>
      <c r="I358">
        <f t="shared" ref="I358" si="1052">J356</f>
        <v>0.38281968301732416</v>
      </c>
      <c r="J358">
        <f t="shared" ref="J358" si="1053">$E$3*I358*(1-I358)</f>
        <v>0.8269407065914387</v>
      </c>
    </row>
    <row r="359" spans="8:10" x14ac:dyDescent="0.3">
      <c r="H359">
        <f t="shared" ref="H359" si="1054">H357+1</f>
        <v>176</v>
      </c>
      <c r="I359">
        <f t="shared" ref="I359" si="1055">J358</f>
        <v>0.8269407065914387</v>
      </c>
      <c r="J359">
        <f t="shared" ref="J359" si="1056">I359</f>
        <v>0.8269407065914387</v>
      </c>
    </row>
    <row r="360" spans="8:10" x14ac:dyDescent="0.3">
      <c r="H360">
        <f t="shared" ref="H360" si="1057">H357+1</f>
        <v>176</v>
      </c>
      <c r="I360">
        <f t="shared" ref="I360" si="1058">J358</f>
        <v>0.8269407065914387</v>
      </c>
      <c r="J360">
        <f t="shared" ref="J360" si="1059">$E$3*I360*(1-I360)</f>
        <v>0.50088421030721786</v>
      </c>
    </row>
    <row r="361" spans="8:10" x14ac:dyDescent="0.3">
      <c r="H361">
        <f t="shared" ref="H361" si="1060">H359+1</f>
        <v>177</v>
      </c>
      <c r="I361">
        <f t="shared" ref="I361" si="1061">J360</f>
        <v>0.50088421030721786</v>
      </c>
      <c r="J361">
        <f t="shared" ref="J361" si="1062">I361</f>
        <v>0.50088421030721786</v>
      </c>
    </row>
    <row r="362" spans="8:10" x14ac:dyDescent="0.3">
      <c r="H362">
        <f t="shared" ref="H362" si="1063">H359+1</f>
        <v>177</v>
      </c>
      <c r="I362">
        <f t="shared" ref="I362" si="1064">J360</f>
        <v>0.50088421030721786</v>
      </c>
      <c r="J362">
        <f t="shared" ref="J362" si="1065">$E$3*I362*(1-I362)</f>
        <v>0.8749972636024641</v>
      </c>
    </row>
    <row r="363" spans="8:10" x14ac:dyDescent="0.3">
      <c r="H363">
        <f t="shared" ref="H363" si="1066">H361+1</f>
        <v>178</v>
      </c>
      <c r="I363">
        <f t="shared" ref="I363" si="1067">J362</f>
        <v>0.8749972636024641</v>
      </c>
      <c r="J363">
        <f t="shared" ref="J363" si="1068">I363</f>
        <v>0.8749972636024641</v>
      </c>
    </row>
    <row r="364" spans="8:10" x14ac:dyDescent="0.3">
      <c r="H364">
        <f t="shared" ref="H364" si="1069">H361+1</f>
        <v>178</v>
      </c>
      <c r="I364">
        <f t="shared" ref="I364" si="1070">J362</f>
        <v>0.8749972636024641</v>
      </c>
      <c r="J364">
        <f t="shared" ref="J364" si="1071">$E$3*I364*(1-I364)</f>
        <v>0.38281968301732416</v>
      </c>
    </row>
    <row r="365" spans="8:10" x14ac:dyDescent="0.3">
      <c r="H365">
        <f t="shared" ref="H365" si="1072">H363+1</f>
        <v>179</v>
      </c>
      <c r="I365">
        <f t="shared" ref="I365" si="1073">J364</f>
        <v>0.38281968301732416</v>
      </c>
      <c r="J365">
        <f t="shared" ref="J365" si="1074">I365</f>
        <v>0.38281968301732416</v>
      </c>
    </row>
    <row r="366" spans="8:10" x14ac:dyDescent="0.3">
      <c r="H366">
        <f t="shared" ref="H366" si="1075">H363+1</f>
        <v>179</v>
      </c>
      <c r="I366">
        <f t="shared" ref="I366" si="1076">J364</f>
        <v>0.38281968301732416</v>
      </c>
      <c r="J366">
        <f t="shared" ref="J366" si="1077">$E$3*I366*(1-I366)</f>
        <v>0.8269407065914387</v>
      </c>
    </row>
    <row r="367" spans="8:10" x14ac:dyDescent="0.3">
      <c r="H367">
        <f t="shared" ref="H367" si="1078">H365+1</f>
        <v>180</v>
      </c>
      <c r="I367">
        <f t="shared" ref="I367" si="1079">J366</f>
        <v>0.8269407065914387</v>
      </c>
      <c r="J367">
        <f t="shared" ref="J367" si="1080">I367</f>
        <v>0.8269407065914387</v>
      </c>
    </row>
    <row r="368" spans="8:10" x14ac:dyDescent="0.3">
      <c r="H368">
        <f t="shared" ref="H368" si="1081">H365+1</f>
        <v>180</v>
      </c>
      <c r="I368">
        <f t="shared" ref="I368" si="1082">J366</f>
        <v>0.8269407065914387</v>
      </c>
      <c r="J368">
        <f t="shared" ref="J368" si="1083">$E$3*I368*(1-I368)</f>
        <v>0.50088421030721786</v>
      </c>
    </row>
    <row r="369" spans="8:10" x14ac:dyDescent="0.3">
      <c r="H369">
        <f t="shared" ref="H369" si="1084">H367+1</f>
        <v>181</v>
      </c>
      <c r="I369">
        <f t="shared" ref="I369" si="1085">J368</f>
        <v>0.50088421030721786</v>
      </c>
      <c r="J369">
        <f t="shared" ref="J369" si="1086">I369</f>
        <v>0.50088421030721786</v>
      </c>
    </row>
    <row r="370" spans="8:10" x14ac:dyDescent="0.3">
      <c r="H370">
        <f t="shared" ref="H370" si="1087">H367+1</f>
        <v>181</v>
      </c>
      <c r="I370">
        <f t="shared" ref="I370" si="1088">J368</f>
        <v>0.50088421030721786</v>
      </c>
      <c r="J370">
        <f t="shared" ref="J370" si="1089">$E$3*I370*(1-I370)</f>
        <v>0.8749972636024641</v>
      </c>
    </row>
    <row r="371" spans="8:10" x14ac:dyDescent="0.3">
      <c r="H371">
        <f t="shared" ref="H371" si="1090">H369+1</f>
        <v>182</v>
      </c>
      <c r="I371">
        <f t="shared" ref="I371" si="1091">J370</f>
        <v>0.8749972636024641</v>
      </c>
      <c r="J371">
        <f t="shared" ref="J371" si="1092">I371</f>
        <v>0.8749972636024641</v>
      </c>
    </row>
    <row r="372" spans="8:10" x14ac:dyDescent="0.3">
      <c r="H372">
        <f t="shared" ref="H372" si="1093">H369+1</f>
        <v>182</v>
      </c>
      <c r="I372">
        <f t="shared" ref="I372" si="1094">J370</f>
        <v>0.8749972636024641</v>
      </c>
      <c r="J372">
        <f t="shared" ref="J372" si="1095">$E$3*I372*(1-I372)</f>
        <v>0.38281968301732416</v>
      </c>
    </row>
    <row r="373" spans="8:10" x14ac:dyDescent="0.3">
      <c r="H373">
        <f t="shared" ref="H373" si="1096">H371+1</f>
        <v>183</v>
      </c>
      <c r="I373">
        <f t="shared" ref="I373" si="1097">J372</f>
        <v>0.38281968301732416</v>
      </c>
      <c r="J373">
        <f t="shared" ref="J373" si="1098">I373</f>
        <v>0.38281968301732416</v>
      </c>
    </row>
    <row r="374" spans="8:10" x14ac:dyDescent="0.3">
      <c r="H374">
        <f t="shared" ref="H374" si="1099">H371+1</f>
        <v>183</v>
      </c>
      <c r="I374">
        <f t="shared" ref="I374" si="1100">J372</f>
        <v>0.38281968301732416</v>
      </c>
      <c r="J374">
        <f t="shared" ref="J374" si="1101">$E$3*I374*(1-I374)</f>
        <v>0.8269407065914387</v>
      </c>
    </row>
    <row r="375" spans="8:10" x14ac:dyDescent="0.3">
      <c r="H375">
        <f t="shared" ref="H375" si="1102">H373+1</f>
        <v>184</v>
      </c>
      <c r="I375">
        <f t="shared" ref="I375" si="1103">J374</f>
        <v>0.8269407065914387</v>
      </c>
      <c r="J375">
        <f t="shared" ref="J375" si="1104">I375</f>
        <v>0.8269407065914387</v>
      </c>
    </row>
    <row r="376" spans="8:10" x14ac:dyDescent="0.3">
      <c r="H376">
        <f t="shared" ref="H376" si="1105">H373+1</f>
        <v>184</v>
      </c>
      <c r="I376">
        <f t="shared" ref="I376" si="1106">J374</f>
        <v>0.8269407065914387</v>
      </c>
      <c r="J376">
        <f t="shared" ref="J376" si="1107">$E$3*I376*(1-I376)</f>
        <v>0.50088421030721786</v>
      </c>
    </row>
    <row r="377" spans="8:10" x14ac:dyDescent="0.3">
      <c r="H377">
        <f t="shared" ref="H377" si="1108">H375+1</f>
        <v>185</v>
      </c>
      <c r="I377">
        <f t="shared" ref="I377" si="1109">J376</f>
        <v>0.50088421030721786</v>
      </c>
      <c r="J377">
        <f t="shared" ref="J377" si="1110">I377</f>
        <v>0.50088421030721786</v>
      </c>
    </row>
    <row r="378" spans="8:10" x14ac:dyDescent="0.3">
      <c r="H378">
        <f t="shared" ref="H378" si="1111">H375+1</f>
        <v>185</v>
      </c>
      <c r="I378">
        <f t="shared" ref="I378" si="1112">J376</f>
        <v>0.50088421030721786</v>
      </c>
      <c r="J378">
        <f t="shared" ref="J378" si="1113">$E$3*I378*(1-I378)</f>
        <v>0.8749972636024641</v>
      </c>
    </row>
    <row r="379" spans="8:10" x14ac:dyDescent="0.3">
      <c r="H379">
        <f t="shared" ref="H379" si="1114">H377+1</f>
        <v>186</v>
      </c>
      <c r="I379">
        <f t="shared" ref="I379" si="1115">J378</f>
        <v>0.8749972636024641</v>
      </c>
      <c r="J379">
        <f t="shared" ref="J379" si="1116">I379</f>
        <v>0.8749972636024641</v>
      </c>
    </row>
    <row r="380" spans="8:10" x14ac:dyDescent="0.3">
      <c r="H380">
        <f t="shared" ref="H380" si="1117">H377+1</f>
        <v>186</v>
      </c>
      <c r="I380">
        <f t="shared" ref="I380" si="1118">J378</f>
        <v>0.8749972636024641</v>
      </c>
      <c r="J380">
        <f t="shared" ref="J380" si="1119">$E$3*I380*(1-I380)</f>
        <v>0.38281968301732416</v>
      </c>
    </row>
    <row r="381" spans="8:10" x14ac:dyDescent="0.3">
      <c r="H381">
        <f t="shared" ref="H381" si="1120">H379+1</f>
        <v>187</v>
      </c>
      <c r="I381">
        <f t="shared" ref="I381" si="1121">J380</f>
        <v>0.38281968301732416</v>
      </c>
      <c r="J381">
        <f t="shared" ref="J381" si="1122">I381</f>
        <v>0.38281968301732416</v>
      </c>
    </row>
    <row r="382" spans="8:10" x14ac:dyDescent="0.3">
      <c r="H382">
        <f t="shared" ref="H382" si="1123">H379+1</f>
        <v>187</v>
      </c>
      <c r="I382">
        <f t="shared" ref="I382" si="1124">J380</f>
        <v>0.38281968301732416</v>
      </c>
      <c r="J382">
        <f t="shared" ref="J382" si="1125">$E$3*I382*(1-I382)</f>
        <v>0.8269407065914387</v>
      </c>
    </row>
    <row r="383" spans="8:10" x14ac:dyDescent="0.3">
      <c r="H383">
        <f t="shared" ref="H383" si="1126">H381+1</f>
        <v>188</v>
      </c>
      <c r="I383">
        <f t="shared" ref="I383" si="1127">J382</f>
        <v>0.8269407065914387</v>
      </c>
      <c r="J383">
        <f t="shared" ref="J383" si="1128">I383</f>
        <v>0.8269407065914387</v>
      </c>
    </row>
    <row r="384" spans="8:10" x14ac:dyDescent="0.3">
      <c r="H384">
        <f t="shared" ref="H384" si="1129">H381+1</f>
        <v>188</v>
      </c>
      <c r="I384">
        <f t="shared" ref="I384" si="1130">J382</f>
        <v>0.8269407065914387</v>
      </c>
      <c r="J384">
        <f t="shared" ref="J384" si="1131">$E$3*I384*(1-I384)</f>
        <v>0.50088421030721786</v>
      </c>
    </row>
    <row r="385" spans="8:10" x14ac:dyDescent="0.3">
      <c r="H385">
        <f t="shared" ref="H385" si="1132">H383+1</f>
        <v>189</v>
      </c>
      <c r="I385">
        <f t="shared" ref="I385" si="1133">J384</f>
        <v>0.50088421030721786</v>
      </c>
      <c r="J385">
        <f t="shared" ref="J385" si="1134">I385</f>
        <v>0.50088421030721786</v>
      </c>
    </row>
    <row r="386" spans="8:10" x14ac:dyDescent="0.3">
      <c r="H386">
        <f t="shared" ref="H386" si="1135">H383+1</f>
        <v>189</v>
      </c>
      <c r="I386">
        <f t="shared" ref="I386" si="1136">J384</f>
        <v>0.50088421030721786</v>
      </c>
      <c r="J386">
        <f t="shared" ref="J386" si="1137">$E$3*I386*(1-I386)</f>
        <v>0.8749972636024641</v>
      </c>
    </row>
    <row r="387" spans="8:10" x14ac:dyDescent="0.3">
      <c r="H387">
        <f t="shared" ref="H387" si="1138">H385+1</f>
        <v>190</v>
      </c>
      <c r="I387">
        <f t="shared" ref="I387" si="1139">J386</f>
        <v>0.8749972636024641</v>
      </c>
      <c r="J387">
        <f t="shared" ref="J387" si="1140">I387</f>
        <v>0.8749972636024641</v>
      </c>
    </row>
    <row r="388" spans="8:10" x14ac:dyDescent="0.3">
      <c r="H388">
        <f t="shared" ref="H388" si="1141">H385+1</f>
        <v>190</v>
      </c>
      <c r="I388">
        <f t="shared" ref="I388" si="1142">J386</f>
        <v>0.8749972636024641</v>
      </c>
      <c r="J388">
        <f t="shared" ref="J388" si="1143">$E$3*I388*(1-I388)</f>
        <v>0.38281968301732416</v>
      </c>
    </row>
    <row r="389" spans="8:10" x14ac:dyDescent="0.3">
      <c r="H389">
        <f t="shared" ref="H389" si="1144">H387+1</f>
        <v>191</v>
      </c>
      <c r="I389">
        <f t="shared" ref="I389" si="1145">J388</f>
        <v>0.38281968301732416</v>
      </c>
      <c r="J389">
        <f t="shared" ref="J389" si="1146">I389</f>
        <v>0.38281968301732416</v>
      </c>
    </row>
    <row r="390" spans="8:10" x14ac:dyDescent="0.3">
      <c r="H390">
        <f t="shared" ref="H390" si="1147">H387+1</f>
        <v>191</v>
      </c>
      <c r="I390">
        <f t="shared" ref="I390" si="1148">J388</f>
        <v>0.38281968301732416</v>
      </c>
      <c r="J390">
        <f t="shared" ref="J390" si="1149">$E$3*I390*(1-I390)</f>
        <v>0.8269407065914387</v>
      </c>
    </row>
    <row r="391" spans="8:10" x14ac:dyDescent="0.3">
      <c r="H391">
        <f t="shared" ref="H391" si="1150">H389+1</f>
        <v>192</v>
      </c>
      <c r="I391">
        <f t="shared" ref="I391" si="1151">J390</f>
        <v>0.8269407065914387</v>
      </c>
      <c r="J391">
        <f t="shared" ref="J391" si="1152">I391</f>
        <v>0.8269407065914387</v>
      </c>
    </row>
    <row r="392" spans="8:10" x14ac:dyDescent="0.3">
      <c r="H392">
        <f t="shared" ref="H392" si="1153">H389+1</f>
        <v>192</v>
      </c>
      <c r="I392">
        <f t="shared" ref="I392" si="1154">J390</f>
        <v>0.8269407065914387</v>
      </c>
      <c r="J392">
        <f t="shared" ref="J392" si="1155">$E$3*I392*(1-I392)</f>
        <v>0.50088421030721786</v>
      </c>
    </row>
    <row r="393" spans="8:10" x14ac:dyDescent="0.3">
      <c r="H393">
        <f t="shared" ref="H393" si="1156">H391+1</f>
        <v>193</v>
      </c>
      <c r="I393">
        <f t="shared" ref="I393" si="1157">J392</f>
        <v>0.50088421030721786</v>
      </c>
      <c r="J393">
        <f t="shared" ref="J393" si="1158">I393</f>
        <v>0.50088421030721786</v>
      </c>
    </row>
    <row r="394" spans="8:10" x14ac:dyDescent="0.3">
      <c r="H394">
        <f t="shared" ref="H394" si="1159">H391+1</f>
        <v>193</v>
      </c>
      <c r="I394">
        <f t="shared" ref="I394" si="1160">J392</f>
        <v>0.50088421030721786</v>
      </c>
      <c r="J394">
        <f t="shared" ref="J394" si="1161">$E$3*I394*(1-I394)</f>
        <v>0.8749972636024641</v>
      </c>
    </row>
    <row r="395" spans="8:10" x14ac:dyDescent="0.3">
      <c r="H395">
        <f t="shared" ref="H395" si="1162">H393+1</f>
        <v>194</v>
      </c>
      <c r="I395">
        <f t="shared" ref="I395" si="1163">J394</f>
        <v>0.8749972636024641</v>
      </c>
      <c r="J395">
        <f t="shared" ref="J395" si="1164">I395</f>
        <v>0.8749972636024641</v>
      </c>
    </row>
    <row r="396" spans="8:10" x14ac:dyDescent="0.3">
      <c r="H396">
        <f t="shared" ref="H396" si="1165">H393+1</f>
        <v>194</v>
      </c>
      <c r="I396">
        <f t="shared" ref="I396" si="1166">J394</f>
        <v>0.8749972636024641</v>
      </c>
      <c r="J396">
        <f t="shared" ref="J396" si="1167">$E$3*I396*(1-I396)</f>
        <v>0.38281968301732416</v>
      </c>
    </row>
    <row r="397" spans="8:10" x14ac:dyDescent="0.3">
      <c r="H397">
        <f t="shared" ref="H397" si="1168">H395+1</f>
        <v>195</v>
      </c>
      <c r="I397">
        <f t="shared" ref="I397" si="1169">J396</f>
        <v>0.38281968301732416</v>
      </c>
      <c r="J397">
        <f t="shared" ref="J397" si="1170">I397</f>
        <v>0.38281968301732416</v>
      </c>
    </row>
    <row r="398" spans="8:10" x14ac:dyDescent="0.3">
      <c r="H398">
        <f t="shared" ref="H398" si="1171">H395+1</f>
        <v>195</v>
      </c>
      <c r="I398">
        <f t="shared" ref="I398" si="1172">J396</f>
        <v>0.38281968301732416</v>
      </c>
      <c r="J398">
        <f t="shared" ref="J398" si="1173">$E$3*I398*(1-I398)</f>
        <v>0.8269407065914387</v>
      </c>
    </row>
    <row r="399" spans="8:10" x14ac:dyDescent="0.3">
      <c r="H399">
        <f t="shared" ref="H399" si="1174">H397+1</f>
        <v>196</v>
      </c>
      <c r="I399">
        <f t="shared" ref="I399" si="1175">J398</f>
        <v>0.8269407065914387</v>
      </c>
      <c r="J399">
        <f t="shared" ref="J399" si="1176">I399</f>
        <v>0.8269407065914387</v>
      </c>
    </row>
    <row r="400" spans="8:10" x14ac:dyDescent="0.3">
      <c r="H400">
        <f t="shared" ref="H400" si="1177">H397+1</f>
        <v>196</v>
      </c>
      <c r="I400">
        <f t="shared" ref="I400" si="1178">J398</f>
        <v>0.8269407065914387</v>
      </c>
      <c r="J400">
        <f t="shared" ref="J400" si="1179">$E$3*I400*(1-I400)</f>
        <v>0.50088421030721786</v>
      </c>
    </row>
    <row r="401" spans="8:10" x14ac:dyDescent="0.3">
      <c r="H401">
        <f t="shared" ref="H401" si="1180">H399+1</f>
        <v>197</v>
      </c>
      <c r="I401">
        <f t="shared" ref="I401" si="1181">J400</f>
        <v>0.50088421030721786</v>
      </c>
      <c r="J401">
        <f t="shared" ref="J401" si="1182">I401</f>
        <v>0.50088421030721786</v>
      </c>
    </row>
    <row r="402" spans="8:10" x14ac:dyDescent="0.3">
      <c r="H402">
        <f t="shared" ref="H402" si="1183">H399+1</f>
        <v>197</v>
      </c>
      <c r="I402">
        <f t="shared" ref="I402" si="1184">J400</f>
        <v>0.50088421030721786</v>
      </c>
      <c r="J402">
        <f t="shared" ref="J402" si="1185">$E$3*I402*(1-I402)</f>
        <v>0.8749972636024641</v>
      </c>
    </row>
    <row r="403" spans="8:10" x14ac:dyDescent="0.3">
      <c r="H403">
        <f t="shared" ref="H403" si="1186">H401+1</f>
        <v>198</v>
      </c>
      <c r="I403">
        <f t="shared" ref="I403" si="1187">J402</f>
        <v>0.8749972636024641</v>
      </c>
      <c r="J403">
        <f t="shared" ref="J403" si="1188">I403</f>
        <v>0.8749972636024641</v>
      </c>
    </row>
    <row r="404" spans="8:10" x14ac:dyDescent="0.3">
      <c r="H404">
        <f t="shared" ref="H404" si="1189">H401+1</f>
        <v>198</v>
      </c>
      <c r="I404">
        <f t="shared" ref="I404" si="1190">J402</f>
        <v>0.8749972636024641</v>
      </c>
      <c r="J404">
        <f t="shared" ref="J404" si="1191">$E$3*I404*(1-I404)</f>
        <v>0.38281968301732416</v>
      </c>
    </row>
    <row r="405" spans="8:10" x14ac:dyDescent="0.3">
      <c r="H405">
        <f t="shared" ref="H405" si="1192">H403+1</f>
        <v>199</v>
      </c>
      <c r="I405">
        <f t="shared" ref="I405" si="1193">J404</f>
        <v>0.38281968301732416</v>
      </c>
      <c r="J405">
        <f t="shared" ref="J405" si="1194">I405</f>
        <v>0.38281968301732416</v>
      </c>
    </row>
    <row r="406" spans="8:10" x14ac:dyDescent="0.3">
      <c r="H406">
        <f t="shared" ref="H406" si="1195">H403+1</f>
        <v>199</v>
      </c>
      <c r="I406">
        <f t="shared" ref="I406" si="1196">J404</f>
        <v>0.38281968301732416</v>
      </c>
      <c r="J406">
        <f t="shared" ref="J406" si="1197">$E$3*I406*(1-I406)</f>
        <v>0.8269407065914387</v>
      </c>
    </row>
    <row r="407" spans="8:10" x14ac:dyDescent="0.3">
      <c r="H407">
        <f t="shared" ref="H407" si="1198">H405+1</f>
        <v>200</v>
      </c>
      <c r="I407">
        <f t="shared" ref="I407" si="1199">J406</f>
        <v>0.8269407065914387</v>
      </c>
      <c r="J407">
        <f t="shared" ref="J407" si="1200">I407</f>
        <v>0.8269407065914387</v>
      </c>
    </row>
    <row r="408" spans="8:10" x14ac:dyDescent="0.3">
      <c r="H408">
        <f t="shared" ref="H408" si="1201">H405+1</f>
        <v>200</v>
      </c>
      <c r="I408">
        <f t="shared" ref="I408" si="1202">J406</f>
        <v>0.8269407065914387</v>
      </c>
      <c r="J408">
        <f t="shared" ref="J408" si="1203">$E$3*I408*(1-I408)</f>
        <v>0.50088421030721786</v>
      </c>
    </row>
  </sheetData>
  <phoneticPr fontId="1" type="noConversion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4EAD-9692-45F6-BA72-81F5B46C0043}">
  <sheetPr codeName="Sheet3"/>
  <dimension ref="A1:AA206"/>
  <sheetViews>
    <sheetView topLeftCell="D1" zoomScale="80" zoomScaleNormal="80" workbookViewId="0">
      <selection activeCell="N19" sqref="N19"/>
    </sheetView>
  </sheetViews>
  <sheetFormatPr defaultRowHeight="16.5" x14ac:dyDescent="0.3"/>
  <cols>
    <col min="2" max="2" width="11.5" customWidth="1"/>
    <col min="3" max="3" width="11.25" customWidth="1"/>
    <col min="6" max="6" width="28.5" customWidth="1"/>
    <col min="9" max="9" width="33.375" customWidth="1"/>
    <col min="10" max="10" width="11.5" customWidth="1"/>
  </cols>
  <sheetData>
    <row r="1" spans="1:27" x14ac:dyDescent="0.3">
      <c r="A1" t="s">
        <v>54</v>
      </c>
      <c r="D1" t="s">
        <v>53</v>
      </c>
      <c r="I1" t="s">
        <v>66</v>
      </c>
      <c r="N1" s="9" t="s">
        <v>59</v>
      </c>
      <c r="O1" s="9"/>
      <c r="P1" s="9"/>
    </row>
    <row r="2" spans="1:27" x14ac:dyDescent="0.3">
      <c r="A2" t="s">
        <v>58</v>
      </c>
      <c r="C2" s="1" t="s">
        <v>52</v>
      </c>
      <c r="D2" s="1">
        <v>100</v>
      </c>
      <c r="F2" t="s">
        <v>51</v>
      </c>
      <c r="I2" s="8" t="s">
        <v>56</v>
      </c>
      <c r="L2" s="1" t="s">
        <v>55</v>
      </c>
      <c r="N2" s="9" t="s">
        <v>60</v>
      </c>
      <c r="O2" s="9"/>
      <c r="P2" s="9"/>
    </row>
    <row r="3" spans="1:27" x14ac:dyDescent="0.3">
      <c r="A3" t="s">
        <v>50</v>
      </c>
      <c r="C3" s="1" t="s">
        <v>49</v>
      </c>
      <c r="D3" s="1">
        <v>1E-3</v>
      </c>
      <c r="E3">
        <v>0.01</v>
      </c>
      <c r="I3" s="8">
        <f>IF(I8*I7&lt;=0,1,0)</f>
        <v>0</v>
      </c>
      <c r="L3" s="1">
        <f>INDEX($H6:$H206,MATCH(1,L6:$L206,0))</f>
        <v>411.07759854416224</v>
      </c>
      <c r="N3" s="9" t="s">
        <v>61</v>
      </c>
      <c r="O3" s="9"/>
      <c r="P3" s="9"/>
    </row>
    <row r="4" spans="1:27" x14ac:dyDescent="0.3">
      <c r="C4" s="1" t="s">
        <v>48</v>
      </c>
      <c r="D4" s="1">
        <v>67</v>
      </c>
      <c r="N4" s="9" t="s">
        <v>65</v>
      </c>
      <c r="O4" s="9"/>
      <c r="P4" s="9"/>
    </row>
    <row r="5" spans="1:27" x14ac:dyDescent="0.3">
      <c r="A5" t="s">
        <v>47</v>
      </c>
      <c r="B5" t="s">
        <v>46</v>
      </c>
      <c r="C5" t="s">
        <v>45</v>
      </c>
      <c r="F5" t="s">
        <v>44</v>
      </c>
      <c r="G5" t="s">
        <v>43</v>
      </c>
      <c r="H5" t="s">
        <v>5</v>
      </c>
      <c r="I5" t="s">
        <v>42</v>
      </c>
      <c r="J5" t="s">
        <v>41</v>
      </c>
      <c r="K5" t="s">
        <v>6</v>
      </c>
      <c r="L5" t="s">
        <v>57</v>
      </c>
      <c r="N5" s="9" t="s">
        <v>62</v>
      </c>
      <c r="O5" s="9"/>
      <c r="P5" s="9"/>
      <c r="R5" t="s">
        <v>48</v>
      </c>
      <c r="S5" t="s">
        <v>55</v>
      </c>
    </row>
    <row r="6" spans="1:27" x14ac:dyDescent="0.3">
      <c r="A6">
        <v>0</v>
      </c>
      <c r="B6">
        <f t="shared" ref="B6:B69" si="0">D$2*COS(D$4*PI()/180)*A6</f>
        <v>0</v>
      </c>
      <c r="C6">
        <f t="shared" ref="C6:C69" si="1">D$2*SIN(D$4*PI()/180)*A6-(1/2)*9.8*A6^2</f>
        <v>0</v>
      </c>
      <c r="G6" s="1">
        <f>$D$2*COS($D$4*PI()/180)</f>
        <v>39.073112848927394</v>
      </c>
      <c r="H6" s="1">
        <v>0</v>
      </c>
      <c r="J6" s="1">
        <f>$D$2*SIN($D$4*PI()/180)</f>
        <v>92.050485345244027</v>
      </c>
      <c r="K6" s="1">
        <v>0</v>
      </c>
      <c r="N6" s="9" t="s">
        <v>63</v>
      </c>
      <c r="O6" s="9"/>
      <c r="P6" s="9"/>
      <c r="R6">
        <v>25</v>
      </c>
      <c r="S6">
        <v>516.20805147957526</v>
      </c>
      <c r="U6" t="s">
        <v>92</v>
      </c>
    </row>
    <row r="7" spans="1:27" x14ac:dyDescent="0.3">
      <c r="A7">
        <f t="shared" ref="A7:A38" si="2">A6+0.1</f>
        <v>0.1</v>
      </c>
      <c r="B7">
        <f t="shared" si="0"/>
        <v>3.9073112848927396</v>
      </c>
      <c r="C7">
        <f t="shared" si="1"/>
        <v>9.1560485345244036</v>
      </c>
      <c r="F7">
        <f t="shared" ref="F7:F38" si="3">-1*$D$3*(G6^2+J6^2)^(1/2)*G6</f>
        <v>-3.9073112848927396</v>
      </c>
      <c r="G7">
        <f t="shared" ref="G7:G38" si="4">G6+F7*(A7-A6)</f>
        <v>38.682381720438123</v>
      </c>
      <c r="H7">
        <f t="shared" ref="H7:H38" si="5">H6+G7*(A7-A6)</f>
        <v>3.8682381720438124</v>
      </c>
      <c r="I7">
        <f t="shared" ref="I7:I38" si="6">-9.8-($D$3*((G6^2+J6^2)^(1/2))*J6)</f>
        <v>-19.005048534524406</v>
      </c>
      <c r="J7">
        <f t="shared" ref="J7:J38" si="7">J6+I7*(A7-A6)</f>
        <v>90.149980491791581</v>
      </c>
      <c r="K7">
        <f t="shared" ref="K7:K38" si="8">K6+J7*(A7-A6)</f>
        <v>9.0149980491791588</v>
      </c>
      <c r="N7" s="9" t="s">
        <v>64</v>
      </c>
      <c r="O7" s="9"/>
      <c r="P7" s="9"/>
      <c r="R7">
        <f>R6+0.5</f>
        <v>25.5</v>
      </c>
      <c r="S7">
        <v>519.56827938477716</v>
      </c>
      <c r="U7" s="10" t="s">
        <v>91</v>
      </c>
      <c r="V7" s="10"/>
      <c r="W7" s="10"/>
      <c r="X7" s="10"/>
      <c r="Y7" s="10"/>
      <c r="Z7" s="10"/>
      <c r="AA7" s="10"/>
    </row>
    <row r="8" spans="1:27" x14ac:dyDescent="0.3">
      <c r="A8">
        <f t="shared" si="2"/>
        <v>0.2</v>
      </c>
      <c r="B8">
        <f t="shared" si="0"/>
        <v>7.8146225697854792</v>
      </c>
      <c r="C8">
        <f t="shared" si="1"/>
        <v>18.214097069048805</v>
      </c>
      <c r="F8">
        <f t="shared" si="3"/>
        <v>-3.7946895254044741</v>
      </c>
      <c r="G8">
        <f t="shared" si="4"/>
        <v>38.302912767897674</v>
      </c>
      <c r="H8">
        <f t="shared" si="5"/>
        <v>7.6985294488335798</v>
      </c>
      <c r="I8">
        <f t="shared" si="6"/>
        <v>-18.643591616461215</v>
      </c>
      <c r="J8">
        <f t="shared" si="7"/>
        <v>88.28562133014546</v>
      </c>
      <c r="K8">
        <f t="shared" si="8"/>
        <v>17.843560182193706</v>
      </c>
      <c r="L8">
        <f>IF(K8*K7&lt;=0,1,0)</f>
        <v>0</v>
      </c>
      <c r="R8">
        <f t="shared" ref="R8:R71" si="9">R7+0.5</f>
        <v>26</v>
      </c>
      <c r="S8">
        <v>527.94928041570154</v>
      </c>
    </row>
    <row r="9" spans="1:27" x14ac:dyDescent="0.3">
      <c r="A9">
        <f t="shared" si="2"/>
        <v>0.30000000000000004</v>
      </c>
      <c r="B9">
        <f t="shared" si="0"/>
        <v>11.72193385467822</v>
      </c>
      <c r="C9">
        <f t="shared" si="1"/>
        <v>27.174145603573212</v>
      </c>
      <c r="F9">
        <f t="shared" si="3"/>
        <v>-3.6861382900414048</v>
      </c>
      <c r="G9">
        <f t="shared" si="4"/>
        <v>37.934298938893534</v>
      </c>
      <c r="H9">
        <f t="shared" si="5"/>
        <v>11.491959342722934</v>
      </c>
      <c r="I9">
        <f t="shared" si="6"/>
        <v>-18.296299255807416</v>
      </c>
      <c r="J9">
        <f t="shared" si="7"/>
        <v>86.455991404564713</v>
      </c>
      <c r="K9">
        <f t="shared" si="8"/>
        <v>26.489159322650181</v>
      </c>
      <c r="L9">
        <f t="shared" ref="L9:L72" si="10">IF(K9*K8&lt;=0,1,0)</f>
        <v>0</v>
      </c>
      <c r="R9">
        <f t="shared" si="9"/>
        <v>26.5</v>
      </c>
      <c r="S9">
        <v>531.06688161335524</v>
      </c>
    </row>
    <row r="10" spans="1:27" x14ac:dyDescent="0.3">
      <c r="A10">
        <f t="shared" si="2"/>
        <v>0.4</v>
      </c>
      <c r="B10">
        <f t="shared" si="0"/>
        <v>15.629245139570958</v>
      </c>
      <c r="C10">
        <f t="shared" si="1"/>
        <v>36.036194138097613</v>
      </c>
      <c r="F10">
        <f t="shared" si="3"/>
        <v>-3.5814578010738418</v>
      </c>
      <c r="G10">
        <f t="shared" si="4"/>
        <v>37.576153158786148</v>
      </c>
      <c r="H10">
        <f t="shared" si="5"/>
        <v>15.249574658601547</v>
      </c>
      <c r="I10">
        <f t="shared" si="6"/>
        <v>-17.96249393099982</v>
      </c>
      <c r="J10">
        <f t="shared" si="7"/>
        <v>84.659742011464729</v>
      </c>
      <c r="K10">
        <f t="shared" si="8"/>
        <v>34.955133523796654</v>
      </c>
      <c r="L10">
        <f t="shared" si="10"/>
        <v>0</v>
      </c>
      <c r="R10">
        <f t="shared" si="9"/>
        <v>27</v>
      </c>
      <c r="S10">
        <v>534.08510066981478</v>
      </c>
    </row>
    <row r="11" spans="1:27" x14ac:dyDescent="0.3">
      <c r="A11">
        <f t="shared" si="2"/>
        <v>0.5</v>
      </c>
      <c r="B11">
        <f t="shared" si="0"/>
        <v>19.536556424463697</v>
      </c>
      <c r="C11">
        <f t="shared" si="1"/>
        <v>44.800242672622012</v>
      </c>
      <c r="F11">
        <f t="shared" si="3"/>
        <v>-3.4804604718572252</v>
      </c>
      <c r="G11">
        <f t="shared" si="4"/>
        <v>37.228107111600423</v>
      </c>
      <c r="H11">
        <f t="shared" si="5"/>
        <v>18.972385369761589</v>
      </c>
      <c r="I11">
        <f t="shared" si="6"/>
        <v>-17.641539403552187</v>
      </c>
      <c r="J11">
        <f t="shared" si="7"/>
        <v>82.895588071109515</v>
      </c>
      <c r="K11">
        <f t="shared" si="8"/>
        <v>43.244692330907604</v>
      </c>
      <c r="L11">
        <f t="shared" si="10"/>
        <v>0</v>
      </c>
      <c r="R11">
        <f t="shared" si="9"/>
        <v>27.5</v>
      </c>
      <c r="S11">
        <v>537.0036087024879</v>
      </c>
    </row>
    <row r="12" spans="1:27" x14ac:dyDescent="0.3">
      <c r="A12">
        <f t="shared" si="2"/>
        <v>0.6</v>
      </c>
      <c r="B12">
        <f t="shared" si="0"/>
        <v>23.443867709356436</v>
      </c>
      <c r="C12">
        <f t="shared" si="1"/>
        <v>53.466291207146412</v>
      </c>
      <c r="F12">
        <f t="shared" si="3"/>
        <v>-3.3829700369942608</v>
      </c>
      <c r="G12">
        <f t="shared" si="4"/>
        <v>36.889810107900999</v>
      </c>
      <c r="H12">
        <f t="shared" si="5"/>
        <v>22.661366380551687</v>
      </c>
      <c r="I12">
        <f t="shared" si="6"/>
        <v>-17.332837750866961</v>
      </c>
      <c r="J12">
        <f t="shared" si="7"/>
        <v>81.162304296022825</v>
      </c>
      <c r="K12">
        <f t="shared" si="8"/>
        <v>51.360922760509887</v>
      </c>
      <c r="L12">
        <f t="shared" si="10"/>
        <v>0</v>
      </c>
      <c r="R12">
        <f t="shared" si="9"/>
        <v>28</v>
      </c>
      <c r="S12">
        <v>544.73457429819257</v>
      </c>
    </row>
    <row r="13" spans="1:27" x14ac:dyDescent="0.3">
      <c r="A13">
        <f t="shared" si="2"/>
        <v>0.7</v>
      </c>
      <c r="B13">
        <f t="shared" si="0"/>
        <v>27.351178994249175</v>
      </c>
      <c r="C13">
        <f t="shared" si="1"/>
        <v>62.03433974167082</v>
      </c>
      <c r="F13">
        <f t="shared" si="3"/>
        <v>-3.2888207553602045</v>
      </c>
      <c r="G13">
        <f t="shared" si="4"/>
        <v>36.560928032364977</v>
      </c>
      <c r="H13">
        <f t="shared" si="5"/>
        <v>26.317459183788184</v>
      </c>
      <c r="I13">
        <f t="shared" si="6"/>
        <v>-17.035826645376261</v>
      </c>
      <c r="J13">
        <f t="shared" si="7"/>
        <v>79.458721631485204</v>
      </c>
      <c r="K13">
        <f t="shared" si="8"/>
        <v>59.306794923658401</v>
      </c>
      <c r="L13">
        <f t="shared" si="10"/>
        <v>0</v>
      </c>
      <c r="R13">
        <f t="shared" si="9"/>
        <v>28.5</v>
      </c>
      <c r="S13">
        <v>547.40931395038126</v>
      </c>
    </row>
    <row r="14" spans="1:27" x14ac:dyDescent="0.3">
      <c r="A14">
        <f t="shared" si="2"/>
        <v>0.79999999999999993</v>
      </c>
      <c r="B14">
        <f t="shared" si="0"/>
        <v>31.258490279141913</v>
      </c>
      <c r="C14">
        <f t="shared" si="1"/>
        <v>70.504388276195215</v>
      </c>
      <c r="F14">
        <f t="shared" si="3"/>
        <v>-3.19785667918869</v>
      </c>
      <c r="G14">
        <f t="shared" si="4"/>
        <v>36.241142364446105</v>
      </c>
      <c r="H14">
        <f t="shared" si="5"/>
        <v>29.941573420232793</v>
      </c>
      <c r="I14">
        <f t="shared" si="6"/>
        <v>-16.74997685682661</v>
      </c>
      <c r="J14">
        <f t="shared" si="7"/>
        <v>77.783723945802549</v>
      </c>
      <c r="K14">
        <f t="shared" si="8"/>
        <v>67.085167318238661</v>
      </c>
      <c r="L14">
        <f t="shared" si="10"/>
        <v>0</v>
      </c>
      <c r="R14">
        <f t="shared" si="9"/>
        <v>29</v>
      </c>
      <c r="S14">
        <v>549.9835224162274</v>
      </c>
    </row>
    <row r="15" spans="1:27" x14ac:dyDescent="0.3">
      <c r="A15">
        <f t="shared" si="2"/>
        <v>0.89999999999999991</v>
      </c>
      <c r="B15">
        <f t="shared" si="0"/>
        <v>35.165801564034652</v>
      </c>
      <c r="C15">
        <f t="shared" si="1"/>
        <v>78.876436810719625</v>
      </c>
      <c r="F15">
        <f t="shared" si="3"/>
        <v>-3.1099309831310165</v>
      </c>
      <c r="G15">
        <f t="shared" si="4"/>
        <v>35.930149266133</v>
      </c>
      <c r="H15">
        <f t="shared" si="5"/>
        <v>33.534588346846093</v>
      </c>
      <c r="I15">
        <f t="shared" si="6"/>
        <v>-16.474789956943415</v>
      </c>
      <c r="J15">
        <f t="shared" si="7"/>
        <v>76.136244950108207</v>
      </c>
      <c r="K15">
        <f t="shared" si="8"/>
        <v>74.698791813249485</v>
      </c>
      <c r="L15">
        <f t="shared" si="10"/>
        <v>0</v>
      </c>
      <c r="R15">
        <f t="shared" si="9"/>
        <v>29.5</v>
      </c>
      <c r="S15">
        <v>552.45686463583536</v>
      </c>
    </row>
    <row r="16" spans="1:27" x14ac:dyDescent="0.3">
      <c r="A16">
        <f t="shared" si="2"/>
        <v>0.99999999999999989</v>
      </c>
      <c r="B16">
        <f t="shared" si="0"/>
        <v>39.073112848927387</v>
      </c>
      <c r="C16">
        <f t="shared" si="1"/>
        <v>87.150485345244007</v>
      </c>
      <c r="F16">
        <f t="shared" si="3"/>
        <v>-3.0249053478351913</v>
      </c>
      <c r="G16">
        <f t="shared" si="4"/>
        <v>35.627658731349484</v>
      </c>
      <c r="H16">
        <f t="shared" si="5"/>
        <v>37.097354219981042</v>
      </c>
      <c r="I16">
        <f t="shared" si="6"/>
        <v>-16.209796207853579</v>
      </c>
      <c r="J16">
        <f t="shared" si="7"/>
        <v>74.515265329322844</v>
      </c>
      <c r="K16">
        <f t="shared" si="8"/>
        <v>82.150318346181763</v>
      </c>
      <c r="L16">
        <f t="shared" si="10"/>
        <v>0</v>
      </c>
      <c r="R16">
        <f t="shared" si="9"/>
        <v>30</v>
      </c>
      <c r="S16">
        <v>559.53986655892675</v>
      </c>
    </row>
    <row r="17" spans="1:19" x14ac:dyDescent="0.3">
      <c r="A17">
        <f t="shared" si="2"/>
        <v>1.0999999999999999</v>
      </c>
      <c r="B17">
        <f t="shared" si="0"/>
        <v>42.980424133820129</v>
      </c>
      <c r="C17">
        <f t="shared" si="1"/>
        <v>95.326533879768419</v>
      </c>
      <c r="F17">
        <f t="shared" si="3"/>
        <v>-2.9426493931527524</v>
      </c>
      <c r="G17">
        <f t="shared" si="4"/>
        <v>35.333393792034208</v>
      </c>
      <c r="H17">
        <f t="shared" si="5"/>
        <v>40.630693599184461</v>
      </c>
      <c r="I17">
        <f t="shared" si="6"/>
        <v>-15.954552617542792</v>
      </c>
      <c r="J17">
        <f t="shared" si="7"/>
        <v>72.919810067568562</v>
      </c>
      <c r="K17">
        <f t="shared" si="8"/>
        <v>89.442299352938619</v>
      </c>
      <c r="L17">
        <f t="shared" si="10"/>
        <v>0</v>
      </c>
      <c r="R17">
        <f t="shared" si="9"/>
        <v>30.5</v>
      </c>
      <c r="S17">
        <v>561.76806266984318</v>
      </c>
    </row>
    <row r="18" spans="1:19" x14ac:dyDescent="0.3">
      <c r="A18">
        <f t="shared" si="2"/>
        <v>1.2</v>
      </c>
      <c r="B18">
        <f t="shared" si="0"/>
        <v>46.887735418712872</v>
      </c>
      <c r="C18">
        <f t="shared" si="1"/>
        <v>103.40458241429283</v>
      </c>
      <c r="F18">
        <f t="shared" si="3"/>
        <v>-2.8630401565802845</v>
      </c>
      <c r="G18">
        <f t="shared" si="4"/>
        <v>35.047089776376183</v>
      </c>
      <c r="H18">
        <f t="shared" si="5"/>
        <v>44.135402576822081</v>
      </c>
      <c r="I18">
        <f t="shared" si="6"/>
        <v>-15.708641147308164</v>
      </c>
      <c r="J18">
        <f t="shared" si="7"/>
        <v>71.348945952837738</v>
      </c>
      <c r="K18">
        <f t="shared" si="8"/>
        <v>96.577193948222401</v>
      </c>
      <c r="L18">
        <f t="shared" si="10"/>
        <v>0</v>
      </c>
      <c r="R18">
        <f t="shared" si="9"/>
        <v>31</v>
      </c>
      <c r="S18">
        <v>563.89452671374772</v>
      </c>
    </row>
    <row r="19" spans="1:19" x14ac:dyDescent="0.3">
      <c r="A19">
        <f t="shared" si="2"/>
        <v>1.3</v>
      </c>
      <c r="B19">
        <f t="shared" si="0"/>
        <v>50.795046703605614</v>
      </c>
      <c r="C19">
        <f t="shared" si="1"/>
        <v>111.38463094881723</v>
      </c>
      <c r="F19">
        <f t="shared" si="3"/>
        <v>-2.7859616129862901</v>
      </c>
      <c r="G19">
        <f t="shared" si="4"/>
        <v>34.768493615077553</v>
      </c>
      <c r="H19">
        <f t="shared" si="5"/>
        <v>47.612251938329841</v>
      </c>
      <c r="I19">
        <f t="shared" si="6"/>
        <v>-15.471667057663257</v>
      </c>
      <c r="J19">
        <f t="shared" si="7"/>
        <v>69.801779247071408</v>
      </c>
      <c r="K19">
        <f t="shared" si="8"/>
        <v>103.55737187292955</v>
      </c>
      <c r="L19">
        <f t="shared" si="10"/>
        <v>0</v>
      </c>
      <c r="R19">
        <f t="shared" si="9"/>
        <v>31.5</v>
      </c>
      <c r="S19">
        <v>565.91891610757636</v>
      </c>
    </row>
    <row r="20" spans="1:19" x14ac:dyDescent="0.3">
      <c r="A20">
        <f t="shared" si="2"/>
        <v>1.4000000000000001</v>
      </c>
      <c r="B20">
        <f t="shared" si="0"/>
        <v>54.702357988498356</v>
      </c>
      <c r="C20">
        <f t="shared" si="1"/>
        <v>119.26667948334166</v>
      </c>
      <c r="F20">
        <f t="shared" si="3"/>
        <v>-2.7113042320694136</v>
      </c>
      <c r="G20">
        <f t="shared" si="4"/>
        <v>34.497363191870612</v>
      </c>
      <c r="H20">
        <f t="shared" si="5"/>
        <v>51.061988257516902</v>
      </c>
      <c r="I20">
        <f t="shared" si="6"/>
        <v>-15.243257380483367</v>
      </c>
      <c r="J20">
        <f t="shared" si="7"/>
        <v>68.277453509023076</v>
      </c>
      <c r="K20">
        <f t="shared" si="8"/>
        <v>110.38511722383187</v>
      </c>
      <c r="L20">
        <f t="shared" si="10"/>
        <v>0</v>
      </c>
      <c r="R20">
        <f t="shared" si="9"/>
        <v>32</v>
      </c>
      <c r="S20">
        <v>567.84088731156316</v>
      </c>
    </row>
    <row r="21" spans="1:19" x14ac:dyDescent="0.3">
      <c r="A21">
        <f t="shared" si="2"/>
        <v>1.5000000000000002</v>
      </c>
      <c r="B21">
        <f t="shared" si="0"/>
        <v>58.609669273391098</v>
      </c>
      <c r="C21">
        <f t="shared" si="1"/>
        <v>127.05072801786605</v>
      </c>
      <c r="F21">
        <f t="shared" si="3"/>
        <v>-2.6389645703467499</v>
      </c>
      <c r="G21">
        <f t="shared" si="4"/>
        <v>34.233466734835936</v>
      </c>
      <c r="H21">
        <f t="shared" si="5"/>
        <v>54.485334931000494</v>
      </c>
      <c r="I21">
        <f t="shared" si="6"/>
        <v>-15.02305950636452</v>
      </c>
      <c r="J21">
        <f t="shared" si="7"/>
        <v>66.775147558386621</v>
      </c>
      <c r="K21">
        <f t="shared" si="8"/>
        <v>117.06263197967054</v>
      </c>
      <c r="L21">
        <f t="shared" si="10"/>
        <v>0</v>
      </c>
      <c r="R21">
        <f t="shared" si="9"/>
        <v>32.5</v>
      </c>
      <c r="S21">
        <v>574.13266748907972</v>
      </c>
    </row>
    <row r="22" spans="1:19" x14ac:dyDescent="0.3">
      <c r="A22">
        <f t="shared" si="2"/>
        <v>1.6000000000000003</v>
      </c>
      <c r="B22">
        <f t="shared" si="0"/>
        <v>62.516980558283841</v>
      </c>
      <c r="C22">
        <f t="shared" si="1"/>
        <v>134.73677655239047</v>
      </c>
      <c r="F22">
        <f t="shared" si="3"/>
        <v>-2.5688448947861171</v>
      </c>
      <c r="G22">
        <f t="shared" si="4"/>
        <v>33.976582245357321</v>
      </c>
      <c r="H22">
        <f t="shared" si="5"/>
        <v>57.882993155536226</v>
      </c>
      <c r="I22">
        <f t="shared" si="6"/>
        <v>-14.810739877226554</v>
      </c>
      <c r="J22">
        <f t="shared" si="7"/>
        <v>65.294073570663969</v>
      </c>
      <c r="K22">
        <f t="shared" si="8"/>
        <v>123.59203933673695</v>
      </c>
      <c r="L22">
        <f t="shared" si="10"/>
        <v>0</v>
      </c>
      <c r="R22">
        <f t="shared" si="9"/>
        <v>33</v>
      </c>
      <c r="S22">
        <v>575.80731366430928</v>
      </c>
    </row>
    <row r="23" spans="1:19" x14ac:dyDescent="0.3">
      <c r="A23">
        <f t="shared" si="2"/>
        <v>1.7000000000000004</v>
      </c>
      <c r="B23">
        <f t="shared" si="0"/>
        <v>66.42429184317659</v>
      </c>
      <c r="C23">
        <f t="shared" si="1"/>
        <v>142.32482508691487</v>
      </c>
      <c r="F23">
        <f t="shared" si="3"/>
        <v>-2.5008528354782369</v>
      </c>
      <c r="G23">
        <f t="shared" si="4"/>
        <v>33.726496961809495</v>
      </c>
      <c r="H23">
        <f t="shared" si="5"/>
        <v>61.255642851717177</v>
      </c>
      <c r="I23">
        <f t="shared" si="6"/>
        <v>-14.605982775134255</v>
      </c>
      <c r="J23">
        <f t="shared" si="7"/>
        <v>63.833475293150542</v>
      </c>
      <c r="K23">
        <f t="shared" si="8"/>
        <v>129.97538686605202</v>
      </c>
      <c r="L23">
        <f t="shared" si="10"/>
        <v>0</v>
      </c>
      <c r="R23">
        <f t="shared" si="9"/>
        <v>33.5</v>
      </c>
      <c r="S23">
        <v>577.37862054747188</v>
      </c>
    </row>
    <row r="24" spans="1:19" x14ac:dyDescent="0.3">
      <c r="A24">
        <f t="shared" si="2"/>
        <v>1.8000000000000005</v>
      </c>
      <c r="B24">
        <f t="shared" si="0"/>
        <v>70.331603128069332</v>
      </c>
      <c r="C24">
        <f t="shared" si="1"/>
        <v>149.81487362143929</v>
      </c>
      <c r="F24">
        <f t="shared" si="3"/>
        <v>-2.434901064997447</v>
      </c>
      <c r="G24">
        <f t="shared" si="4"/>
        <v>33.483006855309753</v>
      </c>
      <c r="H24">
        <f t="shared" si="5"/>
        <v>64.603943537248156</v>
      </c>
      <c r="I24">
        <f t="shared" si="6"/>
        <v>-14.408489199153443</v>
      </c>
      <c r="J24">
        <f t="shared" si="7"/>
        <v>62.392626373235196</v>
      </c>
      <c r="K24">
        <f t="shared" si="8"/>
        <v>136.21464950337554</v>
      </c>
      <c r="L24">
        <f t="shared" si="10"/>
        <v>0</v>
      </c>
      <c r="R24">
        <f t="shared" si="9"/>
        <v>34</v>
      </c>
      <c r="S24">
        <v>578.84623554642576</v>
      </c>
    </row>
    <row r="25" spans="1:19" x14ac:dyDescent="0.3">
      <c r="A25">
        <f t="shared" si="2"/>
        <v>1.9000000000000006</v>
      </c>
      <c r="B25">
        <f t="shared" si="0"/>
        <v>74.238914412962075</v>
      </c>
      <c r="C25">
        <f t="shared" si="1"/>
        <v>157.2069221559637</v>
      </c>
      <c r="F25">
        <f t="shared" si="3"/>
        <v>-2.3709070023264287</v>
      </c>
      <c r="G25">
        <f t="shared" si="4"/>
        <v>33.245916155077111</v>
      </c>
      <c r="H25">
        <f t="shared" si="5"/>
        <v>67.92853515275587</v>
      </c>
      <c r="I25">
        <f t="shared" si="6"/>
        <v>-14.217975822812985</v>
      </c>
      <c r="J25">
        <f t="shared" si="7"/>
        <v>60.970828790953895</v>
      </c>
      <c r="K25">
        <f t="shared" si="8"/>
        <v>142.31173238247092</v>
      </c>
      <c r="L25">
        <f t="shared" si="10"/>
        <v>0</v>
      </c>
      <c r="R25">
        <f t="shared" si="9"/>
        <v>34.5</v>
      </c>
      <c r="S25">
        <v>580.20980467347738</v>
      </c>
    </row>
    <row r="26" spans="1:19" x14ac:dyDescent="0.3">
      <c r="A26">
        <f t="shared" si="2"/>
        <v>2.0000000000000004</v>
      </c>
      <c r="B26">
        <f t="shared" si="0"/>
        <v>78.146225697854803</v>
      </c>
      <c r="C26">
        <f t="shared" si="1"/>
        <v>164.50097069048809</v>
      </c>
      <c r="F26">
        <f t="shared" si="3"/>
        <v>-2.3087925394241942</v>
      </c>
      <c r="G26">
        <f t="shared" si="4"/>
        <v>33.015036901134692</v>
      </c>
      <c r="H26">
        <f t="shared" si="5"/>
        <v>71.230038842869334</v>
      </c>
      <c r="I26">
        <f t="shared" si="6"/>
        <v>-14.034174025418363</v>
      </c>
      <c r="J26">
        <f t="shared" si="7"/>
        <v>59.567411388412062</v>
      </c>
      <c r="K26">
        <f t="shared" si="8"/>
        <v>148.26847352131213</v>
      </c>
      <c r="L26">
        <f t="shared" si="10"/>
        <v>0</v>
      </c>
      <c r="R26">
        <f t="shared" si="9"/>
        <v>35</v>
      </c>
      <c r="S26">
        <v>581.46897245550679</v>
      </c>
    </row>
    <row r="27" spans="1:19" x14ac:dyDescent="0.3">
      <c r="A27">
        <f t="shared" si="2"/>
        <v>2.1000000000000005</v>
      </c>
      <c r="B27">
        <f t="shared" si="0"/>
        <v>82.053536982747545</v>
      </c>
      <c r="C27">
        <f t="shared" si="1"/>
        <v>171.6970192250125</v>
      </c>
      <c r="F27">
        <f t="shared" si="3"/>
        <v>-2.2484837886999842</v>
      </c>
      <c r="G27">
        <f t="shared" si="4"/>
        <v>32.790188522264692</v>
      </c>
      <c r="H27">
        <f t="shared" si="5"/>
        <v>74.509057695095805</v>
      </c>
      <c r="I27">
        <f t="shared" si="6"/>
        <v>-13.856828991066919</v>
      </c>
      <c r="J27">
        <f t="shared" si="7"/>
        <v>58.181728489305371</v>
      </c>
      <c r="K27">
        <f t="shared" si="8"/>
        <v>154.08664637024268</v>
      </c>
      <c r="L27">
        <f t="shared" si="10"/>
        <v>0</v>
      </c>
      <c r="R27">
        <f t="shared" si="9"/>
        <v>35.5</v>
      </c>
      <c r="S27">
        <v>582.62338184630084</v>
      </c>
    </row>
    <row r="28" spans="1:19" x14ac:dyDescent="0.3">
      <c r="A28">
        <f t="shared" si="2"/>
        <v>2.2000000000000006</v>
      </c>
      <c r="B28">
        <f t="shared" si="0"/>
        <v>85.960848267640287</v>
      </c>
      <c r="C28">
        <f t="shared" si="1"/>
        <v>178.79506775953692</v>
      </c>
      <c r="F28">
        <f t="shared" si="3"/>
        <v>-2.189910849820909</v>
      </c>
      <c r="G28">
        <f t="shared" si="4"/>
        <v>32.571197437282599</v>
      </c>
      <c r="H28">
        <f t="shared" si="5"/>
        <v>77.766177438824073</v>
      </c>
      <c r="I28">
        <f t="shared" si="6"/>
        <v>-13.685698869756429</v>
      </c>
      <c r="J28">
        <f t="shared" si="7"/>
        <v>56.813158602329729</v>
      </c>
      <c r="K28">
        <f t="shared" si="8"/>
        <v>159.76796223047566</v>
      </c>
      <c r="L28">
        <f t="shared" si="10"/>
        <v>0</v>
      </c>
      <c r="R28">
        <f t="shared" si="9"/>
        <v>36</v>
      </c>
      <c r="S28">
        <v>587.83161714185633</v>
      </c>
    </row>
    <row r="29" spans="1:19" x14ac:dyDescent="0.3">
      <c r="A29">
        <f t="shared" si="2"/>
        <v>2.3000000000000007</v>
      </c>
      <c r="B29">
        <f t="shared" si="0"/>
        <v>89.868159552533029</v>
      </c>
      <c r="C29">
        <f t="shared" si="1"/>
        <v>185.7951162940613</v>
      </c>
      <c r="F29">
        <f t="shared" si="3"/>
        <v>-2.1330075944301563</v>
      </c>
      <c r="G29">
        <f t="shared" si="4"/>
        <v>32.357896677839584</v>
      </c>
      <c r="H29">
        <f t="shared" si="5"/>
        <v>81.001967106608035</v>
      </c>
      <c r="I29">
        <f t="shared" si="6"/>
        <v>-13.520553995464176</v>
      </c>
      <c r="J29">
        <f t="shared" si="7"/>
        <v>55.461103202783313</v>
      </c>
      <c r="K29">
        <f t="shared" si="8"/>
        <v>165.31407255075399</v>
      </c>
      <c r="L29">
        <f t="shared" si="10"/>
        <v>0</v>
      </c>
      <c r="R29">
        <f t="shared" si="9"/>
        <v>36.5</v>
      </c>
      <c r="S29">
        <v>588.7349554211504</v>
      </c>
    </row>
    <row r="30" spans="1:19" x14ac:dyDescent="0.3">
      <c r="A30">
        <f t="shared" si="2"/>
        <v>2.4000000000000008</v>
      </c>
      <c r="B30">
        <f t="shared" si="0"/>
        <v>93.775470837425772</v>
      </c>
      <c r="C30">
        <f t="shared" si="1"/>
        <v>192.69716482858573</v>
      </c>
      <c r="F30">
        <f t="shared" si="3"/>
        <v>-2.0777114674870236</v>
      </c>
      <c r="G30">
        <f t="shared" si="4"/>
        <v>32.150125531090879</v>
      </c>
      <c r="H30">
        <f t="shared" si="5"/>
        <v>84.216979659717126</v>
      </c>
      <c r="I30">
        <f t="shared" si="6"/>
        <v>-13.361176156509003</v>
      </c>
      <c r="J30">
        <f t="shared" si="7"/>
        <v>54.124985587132414</v>
      </c>
      <c r="K30">
        <f t="shared" si="8"/>
        <v>170.72657110946724</v>
      </c>
      <c r="L30">
        <f t="shared" si="10"/>
        <v>0</v>
      </c>
      <c r="R30">
        <f t="shared" si="9"/>
        <v>37</v>
      </c>
      <c r="S30">
        <v>589.53253816299809</v>
      </c>
    </row>
    <row r="31" spans="1:19" x14ac:dyDescent="0.3">
      <c r="A31">
        <f t="shared" si="2"/>
        <v>2.5000000000000009</v>
      </c>
      <c r="B31">
        <f t="shared" si="0"/>
        <v>97.682782122318514</v>
      </c>
      <c r="C31">
        <f t="shared" si="1"/>
        <v>199.50121336311011</v>
      </c>
      <c r="F31">
        <f t="shared" si="3"/>
        <v>-2.0239633040614748</v>
      </c>
      <c r="G31">
        <f t="shared" si="4"/>
        <v>31.94772920068473</v>
      </c>
      <c r="H31">
        <f t="shared" si="5"/>
        <v>87.411752579785599</v>
      </c>
      <c r="I31">
        <f t="shared" si="6"/>
        <v>-13.207357913899108</v>
      </c>
      <c r="J31">
        <f t="shared" si="7"/>
        <v>52.8042497957425</v>
      </c>
      <c r="K31">
        <f t="shared" si="8"/>
        <v>176.00699608904151</v>
      </c>
      <c r="L31">
        <f t="shared" si="10"/>
        <v>0</v>
      </c>
      <c r="R31">
        <f t="shared" si="9"/>
        <v>37.5</v>
      </c>
      <c r="S31">
        <v>590.22399744694394</v>
      </c>
    </row>
    <row r="32" spans="1:19" x14ac:dyDescent="0.3">
      <c r="A32">
        <f t="shared" si="2"/>
        <v>2.600000000000001</v>
      </c>
      <c r="B32">
        <f t="shared" si="0"/>
        <v>101.59009340721126</v>
      </c>
      <c r="C32">
        <f t="shared" si="1"/>
        <v>206.20726189763454</v>
      </c>
      <c r="F32">
        <f t="shared" si="3"/>
        <v>-1.9717071605255967</v>
      </c>
      <c r="G32">
        <f t="shared" si="4"/>
        <v>31.750558484632169</v>
      </c>
      <c r="H32">
        <f t="shared" si="5"/>
        <v>90.586808428248816</v>
      </c>
      <c r="I32">
        <f t="shared" si="6"/>
        <v>-13.058901963718171</v>
      </c>
      <c r="J32">
        <f t="shared" si="7"/>
        <v>51.49835959937068</v>
      </c>
      <c r="K32">
        <f t="shared" si="8"/>
        <v>181.15683204897857</v>
      </c>
      <c r="L32">
        <f t="shared" si="10"/>
        <v>0</v>
      </c>
      <c r="R32">
        <f t="shared" si="9"/>
        <v>38</v>
      </c>
      <c r="S32">
        <v>590.80896343111192</v>
      </c>
    </row>
    <row r="33" spans="1:19" x14ac:dyDescent="0.3">
      <c r="A33">
        <f t="shared" si="2"/>
        <v>2.7000000000000011</v>
      </c>
      <c r="B33">
        <f t="shared" si="0"/>
        <v>105.49740469210401</v>
      </c>
      <c r="C33">
        <f t="shared" si="1"/>
        <v>212.81531043215895</v>
      </c>
      <c r="F33">
        <f t="shared" si="3"/>
        <v>-1.920890159183311</v>
      </c>
      <c r="G33">
        <f t="shared" si="4"/>
        <v>31.558469468713838</v>
      </c>
      <c r="H33">
        <f t="shared" si="5"/>
        <v>93.742655375120208</v>
      </c>
      <c r="I33">
        <f t="shared" si="6"/>
        <v>-12.915620539915697</v>
      </c>
      <c r="J33">
        <f t="shared" si="7"/>
        <v>50.206797545379111</v>
      </c>
      <c r="K33">
        <f t="shared" si="8"/>
        <v>186.1775118035165</v>
      </c>
      <c r="L33">
        <f t="shared" si="10"/>
        <v>0</v>
      </c>
      <c r="R33">
        <f t="shared" si="9"/>
        <v>38.5</v>
      </c>
      <c r="S33">
        <v>591.28706428044211</v>
      </c>
    </row>
    <row r="34" spans="1:19" x14ac:dyDescent="0.3">
      <c r="A34">
        <f t="shared" si="2"/>
        <v>2.8000000000000012</v>
      </c>
      <c r="B34">
        <f t="shared" si="0"/>
        <v>109.40471597699675</v>
      </c>
      <c r="C34">
        <f t="shared" si="1"/>
        <v>219.32535896668335</v>
      </c>
      <c r="F34">
        <f t="shared" si="3"/>
        <v>-1.8714623454690105</v>
      </c>
      <c r="G34">
        <f t="shared" si="4"/>
        <v>31.371323234166937</v>
      </c>
      <c r="H34">
        <f t="shared" si="5"/>
        <v>96.879787698536902</v>
      </c>
      <c r="I34">
        <f t="shared" si="6"/>
        <v>-12.777334854147865</v>
      </c>
      <c r="J34">
        <f t="shared" si="7"/>
        <v>48.929064059964325</v>
      </c>
      <c r="K34">
        <f t="shared" si="8"/>
        <v>191.07041820951292</v>
      </c>
      <c r="L34">
        <f t="shared" si="10"/>
        <v>0</v>
      </c>
      <c r="R34">
        <f t="shared" si="9"/>
        <v>39</v>
      </c>
      <c r="S34">
        <v>591.6579260977195</v>
      </c>
    </row>
    <row r="35" spans="1:19" x14ac:dyDescent="0.3">
      <c r="A35">
        <f t="shared" si="2"/>
        <v>2.9000000000000012</v>
      </c>
      <c r="B35">
        <f t="shared" si="0"/>
        <v>113.3120272618895</v>
      </c>
      <c r="C35">
        <f t="shared" si="1"/>
        <v>225.73740750120774</v>
      </c>
      <c r="F35">
        <f t="shared" si="3"/>
        <v>-1.823376556926074</v>
      </c>
      <c r="G35">
        <f t="shared" si="4"/>
        <v>31.18898557847433</v>
      </c>
      <c r="H35">
        <f t="shared" si="5"/>
        <v>99.998686256384332</v>
      </c>
      <c r="I35">
        <f t="shared" si="6"/>
        <v>-12.643874569565705</v>
      </c>
      <c r="J35">
        <f t="shared" si="7"/>
        <v>47.664676603007756</v>
      </c>
      <c r="K35">
        <f t="shared" si="8"/>
        <v>195.8368858698137</v>
      </c>
      <c r="L35">
        <f t="shared" si="10"/>
        <v>0</v>
      </c>
      <c r="R35">
        <f t="shared" si="9"/>
        <v>39.5</v>
      </c>
      <c r="S35">
        <v>591.92117285753102</v>
      </c>
    </row>
    <row r="36" spans="1:19" x14ac:dyDescent="0.3">
      <c r="A36">
        <f t="shared" si="2"/>
        <v>3.0000000000000013</v>
      </c>
      <c r="B36">
        <f t="shared" si="0"/>
        <v>117.21933854678224</v>
      </c>
      <c r="C36">
        <f t="shared" si="1"/>
        <v>232.0514560357322</v>
      </c>
      <c r="F36">
        <f t="shared" si="3"/>
        <v>-1.7765883032481773</v>
      </c>
      <c r="G36">
        <f t="shared" si="4"/>
        <v>31.011326748149514</v>
      </c>
      <c r="H36">
        <f t="shared" si="5"/>
        <v>103.09981893119928</v>
      </c>
      <c r="I36">
        <f t="shared" si="6"/>
        <v>-12.515077305670836</v>
      </c>
      <c r="J36">
        <f t="shared" si="7"/>
        <v>46.413168872440671</v>
      </c>
      <c r="K36">
        <f t="shared" si="8"/>
        <v>200.47820275705777</v>
      </c>
      <c r="L36">
        <f t="shared" si="10"/>
        <v>0</v>
      </c>
      <c r="R36">
        <f t="shared" si="9"/>
        <v>40</v>
      </c>
      <c r="S36">
        <v>592.07642634328568</v>
      </c>
    </row>
    <row r="37" spans="1:19" x14ac:dyDescent="0.3">
      <c r="A37">
        <f t="shared" si="2"/>
        <v>3.1000000000000014</v>
      </c>
      <c r="B37">
        <f t="shared" si="0"/>
        <v>121.12664983167498</v>
      </c>
      <c r="C37">
        <f t="shared" si="1"/>
        <v>238.26750457025656</v>
      </c>
      <c r="F37">
        <f t="shared" si="3"/>
        <v>-1.731055656730383</v>
      </c>
      <c r="G37">
        <f t="shared" si="4"/>
        <v>30.838221182476477</v>
      </c>
      <c r="H37">
        <f t="shared" si="5"/>
        <v>106.18364104944693</v>
      </c>
      <c r="I37">
        <f t="shared" si="6"/>
        <v>-12.390788171557839</v>
      </c>
      <c r="J37">
        <f t="shared" si="7"/>
        <v>45.174090055284886</v>
      </c>
      <c r="K37">
        <f t="shared" si="8"/>
        <v>204.99561176258626</v>
      </c>
      <c r="L37">
        <f t="shared" si="10"/>
        <v>0</v>
      </c>
      <c r="R37">
        <f t="shared" si="9"/>
        <v>40.5</v>
      </c>
      <c r="S37">
        <v>592.12330608742514</v>
      </c>
    </row>
    <row r="38" spans="1:19" x14ac:dyDescent="0.3">
      <c r="A38">
        <f t="shared" si="2"/>
        <v>3.2000000000000015</v>
      </c>
      <c r="B38">
        <f t="shared" si="0"/>
        <v>125.03396111656772</v>
      </c>
      <c r="C38">
        <f t="shared" si="1"/>
        <v>244.38555310478097</v>
      </c>
      <c r="F38">
        <f t="shared" si="3"/>
        <v>-1.6867391525334952</v>
      </c>
      <c r="G38">
        <f t="shared" si="4"/>
        <v>30.669547267223127</v>
      </c>
      <c r="H38">
        <f t="shared" si="5"/>
        <v>109.25059577616925</v>
      </c>
      <c r="I38">
        <f t="shared" si="6"/>
        <v>-12.27085932503854</v>
      </c>
      <c r="J38">
        <f t="shared" si="7"/>
        <v>43.947004122781031</v>
      </c>
      <c r="K38">
        <f t="shared" si="8"/>
        <v>209.39031217486436</v>
      </c>
      <c r="L38">
        <f t="shared" si="10"/>
        <v>0</v>
      </c>
      <c r="R38">
        <f t="shared" si="9"/>
        <v>41</v>
      </c>
      <c r="S38">
        <v>592.06142931501006</v>
      </c>
    </row>
    <row r="39" spans="1:19" x14ac:dyDescent="0.3">
      <c r="A39">
        <f t="shared" ref="A39:A70" si="11">A38+0.1</f>
        <v>3.3000000000000016</v>
      </c>
      <c r="B39">
        <f t="shared" si="0"/>
        <v>128.94127240146045</v>
      </c>
      <c r="C39">
        <f t="shared" si="1"/>
        <v>250.40560163930542</v>
      </c>
      <c r="F39">
        <f t="shared" ref="F39:F70" si="12">-1*$D$3*(G38^2+J38^2)^(1/2)*G38</f>
        <v>-1.6436016982142527</v>
      </c>
      <c r="G39">
        <f t="shared" ref="G39:G70" si="13">G38+F39*(A39-A38)</f>
        <v>30.505187097401702</v>
      </c>
      <c r="H39">
        <f t="shared" ref="H39:H70" si="14">H38+G39*(A39-A38)</f>
        <v>112.30111448590942</v>
      </c>
      <c r="I39">
        <f t="shared" ref="I39:I70" si="15">-9.8-($D$3*((G38^2+J38^2)^(1/2))*J38)</f>
        <v>-12.15514955529931</v>
      </c>
      <c r="J39">
        <f t="shared" ref="J39:J70" si="16">J38+I39*(A39-A38)</f>
        <v>42.731489167251098</v>
      </c>
      <c r="K39">
        <f t="shared" ref="K39:K70" si="17">K38+J39*(A39-A38)</f>
        <v>213.66346109158948</v>
      </c>
      <c r="L39">
        <f t="shared" si="10"/>
        <v>0</v>
      </c>
      <c r="R39">
        <f t="shared" si="9"/>
        <v>41.5</v>
      </c>
      <c r="S39">
        <v>591.89041089082855</v>
      </c>
    </row>
    <row r="40" spans="1:19" x14ac:dyDescent="0.3">
      <c r="A40">
        <f t="shared" si="11"/>
        <v>3.4000000000000017</v>
      </c>
      <c r="B40">
        <f t="shared" si="0"/>
        <v>132.84858368635321</v>
      </c>
      <c r="C40">
        <f t="shared" si="1"/>
        <v>256.3276501738298</v>
      </c>
      <c r="F40">
        <f t="shared" si="12"/>
        <v>-1.6016084920156821</v>
      </c>
      <c r="G40">
        <f t="shared" si="13"/>
        <v>30.345026248200135</v>
      </c>
      <c r="H40">
        <f t="shared" si="14"/>
        <v>115.33561711072944</v>
      </c>
      <c r="I40">
        <f t="shared" si="15"/>
        <v>-12.043523886879385</v>
      </c>
      <c r="J40">
        <f t="shared" si="16"/>
        <v>41.527136778563161</v>
      </c>
      <c r="K40">
        <f t="shared" si="17"/>
        <v>217.81617476944581</v>
      </c>
      <c r="L40">
        <f t="shared" si="10"/>
        <v>0</v>
      </c>
      <c r="R40">
        <f t="shared" si="9"/>
        <v>42</v>
      </c>
      <c r="S40">
        <v>591.60986327023272</v>
      </c>
    </row>
    <row r="41" spans="1:19" x14ac:dyDescent="0.3">
      <c r="A41">
        <f t="shared" si="11"/>
        <v>3.5000000000000018</v>
      </c>
      <c r="B41">
        <f t="shared" si="0"/>
        <v>136.75589497124594</v>
      </c>
      <c r="C41">
        <f t="shared" si="1"/>
        <v>262.15169870835416</v>
      </c>
      <c r="F41">
        <f t="shared" si="12"/>
        <v>-1.5607269494461131</v>
      </c>
      <c r="G41">
        <f t="shared" si="13"/>
        <v>30.188953553255523</v>
      </c>
      <c r="H41">
        <f t="shared" si="14"/>
        <v>118.354512466055</v>
      </c>
      <c r="I41">
        <f t="shared" si="15"/>
        <v>-11.935853202878103</v>
      </c>
      <c r="J41">
        <f t="shared" si="16"/>
        <v>40.333551458275352</v>
      </c>
      <c r="K41">
        <f t="shared" si="17"/>
        <v>221.84952991527334</v>
      </c>
      <c r="L41">
        <f t="shared" si="10"/>
        <v>0</v>
      </c>
      <c r="R41">
        <f t="shared" si="9"/>
        <v>42.5</v>
      </c>
      <c r="S41">
        <v>591.21939645388966</v>
      </c>
    </row>
    <row r="42" spans="1:19" x14ac:dyDescent="0.3">
      <c r="A42">
        <f t="shared" si="11"/>
        <v>3.6000000000000019</v>
      </c>
      <c r="B42">
        <f t="shared" si="0"/>
        <v>140.66320625613869</v>
      </c>
      <c r="C42">
        <f t="shared" si="1"/>
        <v>267.87774724287857</v>
      </c>
      <c r="F42">
        <f t="shared" si="12"/>
        <v>-1.5209266377017707</v>
      </c>
      <c r="G42">
        <f t="shared" si="13"/>
        <v>30.036860889485347</v>
      </c>
      <c r="H42">
        <f t="shared" si="14"/>
        <v>121.35819855500354</v>
      </c>
      <c r="I42">
        <f t="shared" si="15"/>
        <v>-11.832013885403153</v>
      </c>
      <c r="J42">
        <f t="shared" si="16"/>
        <v>39.150350069735033</v>
      </c>
      <c r="K42">
        <f t="shared" si="17"/>
        <v>225.76456492224685</v>
      </c>
      <c r="L42">
        <f t="shared" si="10"/>
        <v>0</v>
      </c>
      <c r="R42">
        <f t="shared" si="9"/>
        <v>43</v>
      </c>
      <c r="S42">
        <v>590.71861794667927</v>
      </c>
    </row>
    <row r="43" spans="1:19" x14ac:dyDescent="0.3">
      <c r="A43">
        <f t="shared" si="11"/>
        <v>3.700000000000002</v>
      </c>
      <c r="B43">
        <f t="shared" si="0"/>
        <v>144.57051754103142</v>
      </c>
      <c r="C43">
        <f t="shared" si="1"/>
        <v>273.50579577740302</v>
      </c>
      <c r="F43">
        <f t="shared" si="12"/>
        <v>-1.4821792175059094</v>
      </c>
      <c r="G43">
        <f t="shared" si="13"/>
        <v>29.888642967734757</v>
      </c>
      <c r="H43">
        <f t="shared" si="14"/>
        <v>124.34706285177703</v>
      </c>
      <c r="I43">
        <f t="shared" si="15"/>
        <v>-11.731887471362077</v>
      </c>
      <c r="J43">
        <f t="shared" si="16"/>
        <v>37.977161322598825</v>
      </c>
      <c r="K43">
        <f t="shared" si="17"/>
        <v>229.56228105450674</v>
      </c>
      <c r="L43">
        <f t="shared" si="10"/>
        <v>0</v>
      </c>
      <c r="R43">
        <f t="shared" si="9"/>
        <v>43.5</v>
      </c>
      <c r="S43">
        <v>590.10713272096166</v>
      </c>
    </row>
    <row r="44" spans="1:19" x14ac:dyDescent="0.3">
      <c r="A44">
        <f t="shared" si="11"/>
        <v>3.800000000000002</v>
      </c>
      <c r="B44">
        <f t="shared" si="0"/>
        <v>148.47782882592418</v>
      </c>
      <c r="C44">
        <f t="shared" si="1"/>
        <v>279.03584431192741</v>
      </c>
      <c r="F44">
        <f t="shared" si="12"/>
        <v>-1.4444583919465672</v>
      </c>
      <c r="G44">
        <f t="shared" si="13"/>
        <v>29.744197128540101</v>
      </c>
      <c r="H44">
        <f t="shared" si="14"/>
        <v>127.32148256463104</v>
      </c>
      <c r="I44">
        <f t="shared" si="15"/>
        <v>-11.635360321776897</v>
      </c>
      <c r="J44">
        <f t="shared" si="16"/>
        <v>36.813625290421136</v>
      </c>
      <c r="K44">
        <f t="shared" si="17"/>
        <v>233.24364358354885</v>
      </c>
      <c r="L44">
        <f t="shared" si="10"/>
        <v>0</v>
      </c>
      <c r="R44">
        <f t="shared" si="9"/>
        <v>44</v>
      </c>
      <c r="S44">
        <v>589.38454318447702</v>
      </c>
    </row>
    <row r="45" spans="1:19" x14ac:dyDescent="0.3">
      <c r="A45">
        <f t="shared" si="11"/>
        <v>3.9000000000000021</v>
      </c>
      <c r="B45">
        <f t="shared" si="0"/>
        <v>152.38514011081693</v>
      </c>
      <c r="C45">
        <f t="shared" si="1"/>
        <v>284.46789284645183</v>
      </c>
      <c r="F45">
        <f t="shared" si="12"/>
        <v>-1.4077398618942569</v>
      </c>
      <c r="G45">
        <f t="shared" si="13"/>
        <v>29.603423142350675</v>
      </c>
      <c r="H45">
        <f t="shared" si="14"/>
        <v>130.2818248788661</v>
      </c>
      <c r="I45">
        <f t="shared" si="15"/>
        <v>-11.54232330286832</v>
      </c>
      <c r="J45">
        <f t="shared" si="16"/>
        <v>35.659392960134305</v>
      </c>
      <c r="K45">
        <f t="shared" si="17"/>
        <v>236.80958287956227</v>
      </c>
      <c r="L45">
        <f t="shared" si="10"/>
        <v>0</v>
      </c>
      <c r="R45">
        <f t="shared" si="9"/>
        <v>44.5</v>
      </c>
      <c r="S45">
        <v>588.55044915314863</v>
      </c>
    </row>
    <row r="46" spans="1:19" x14ac:dyDescent="0.3">
      <c r="A46">
        <f t="shared" si="11"/>
        <v>4.0000000000000018</v>
      </c>
      <c r="B46">
        <f t="shared" si="0"/>
        <v>156.29245139570963</v>
      </c>
      <c r="C46">
        <f t="shared" si="1"/>
        <v>289.80194138097619</v>
      </c>
      <c r="F46">
        <f t="shared" si="12"/>
        <v>-1.3720012875692211</v>
      </c>
      <c r="G46">
        <f t="shared" si="13"/>
        <v>29.466223013593751</v>
      </c>
      <c r="H46">
        <f t="shared" si="14"/>
        <v>133.22844718022546</v>
      </c>
      <c r="I46">
        <f t="shared" si="15"/>
        <v>-11.452671477213368</v>
      </c>
      <c r="J46">
        <f t="shared" si="16"/>
        <v>34.514125812412971</v>
      </c>
      <c r="K46">
        <f t="shared" si="17"/>
        <v>240.26099546080354</v>
      </c>
      <c r="L46">
        <f t="shared" si="10"/>
        <v>0</v>
      </c>
      <c r="R46">
        <f t="shared" si="9"/>
        <v>45</v>
      </c>
      <c r="S46">
        <v>587.60444782908769</v>
      </c>
    </row>
    <row r="47" spans="1:19" x14ac:dyDescent="0.3">
      <c r="A47">
        <f t="shared" si="11"/>
        <v>4.1000000000000014</v>
      </c>
      <c r="B47">
        <f t="shared" si="0"/>
        <v>160.19976268060236</v>
      </c>
      <c r="C47">
        <f t="shared" si="1"/>
        <v>295.03798991550053</v>
      </c>
      <c r="F47">
        <f t="shared" si="12"/>
        <v>-1.337222255803979</v>
      </c>
      <c r="G47">
        <f t="shared" si="13"/>
        <v>29.332500788013355</v>
      </c>
      <c r="H47">
        <f t="shared" si="14"/>
        <v>136.16169725902679</v>
      </c>
      <c r="I47">
        <f t="shared" si="15"/>
        <v>-11.366303803330521</v>
      </c>
      <c r="J47">
        <f t="shared" si="16"/>
        <v>33.377495432079925</v>
      </c>
      <c r="K47">
        <f t="shared" si="17"/>
        <v>243.59874500401153</v>
      </c>
      <c r="L47">
        <f t="shared" si="10"/>
        <v>0</v>
      </c>
      <c r="R47">
        <f t="shared" si="9"/>
        <v>45.5</v>
      </c>
      <c r="S47">
        <v>586.54613378410716</v>
      </c>
    </row>
    <row r="48" spans="1:19" x14ac:dyDescent="0.3">
      <c r="A48">
        <f t="shared" si="11"/>
        <v>4.2000000000000011</v>
      </c>
      <c r="B48">
        <f t="shared" si="0"/>
        <v>164.10707396549509</v>
      </c>
      <c r="C48">
        <f t="shared" si="1"/>
        <v>300.17603845002498</v>
      </c>
      <c r="F48">
        <f t="shared" si="12"/>
        <v>-1.3033842525092743</v>
      </c>
      <c r="G48">
        <f t="shared" si="13"/>
        <v>29.202162362762429</v>
      </c>
      <c r="H48">
        <f t="shared" si="14"/>
        <v>139.08191349530304</v>
      </c>
      <c r="I48">
        <f t="shared" si="15"/>
        <v>-11.283122842091625</v>
      </c>
      <c r="J48">
        <f t="shared" si="16"/>
        <v>32.249183147870767</v>
      </c>
      <c r="K48">
        <f t="shared" si="17"/>
        <v>246.82366331879859</v>
      </c>
      <c r="L48">
        <f t="shared" si="10"/>
        <v>0</v>
      </c>
      <c r="R48">
        <f t="shared" si="9"/>
        <v>46</v>
      </c>
      <c r="S48">
        <v>585.37509894910056</v>
      </c>
    </row>
    <row r="49" spans="1:19" x14ac:dyDescent="0.3">
      <c r="A49">
        <f t="shared" si="11"/>
        <v>4.3000000000000007</v>
      </c>
      <c r="B49">
        <f t="shared" si="0"/>
        <v>168.01438525038782</v>
      </c>
      <c r="C49">
        <f t="shared" si="1"/>
        <v>305.21608698454941</v>
      </c>
      <c r="F49">
        <f t="shared" si="12"/>
        <v>-1.2704706397985384</v>
      </c>
      <c r="G49">
        <f t="shared" si="13"/>
        <v>29.075115298782578</v>
      </c>
      <c r="H49">
        <f t="shared" si="14"/>
        <v>141.98942502518128</v>
      </c>
      <c r="I49">
        <f t="shared" si="15"/>
        <v>-11.203034468402972</v>
      </c>
      <c r="J49">
        <f t="shared" si="16"/>
        <v>31.128879701030474</v>
      </c>
      <c r="K49">
        <f t="shared" si="17"/>
        <v>249.93655128890163</v>
      </c>
      <c r="L49">
        <f t="shared" si="10"/>
        <v>0</v>
      </c>
      <c r="R49">
        <f t="shared" si="9"/>
        <v>46.5</v>
      </c>
      <c r="S49">
        <v>584.09093260964255</v>
      </c>
    </row>
    <row r="50" spans="1:19" x14ac:dyDescent="0.3">
      <c r="A50">
        <f t="shared" si="11"/>
        <v>4.4000000000000004</v>
      </c>
      <c r="B50">
        <f t="shared" si="0"/>
        <v>171.92169653528055</v>
      </c>
      <c r="C50">
        <f t="shared" si="1"/>
        <v>310.15813551907371</v>
      </c>
      <c r="F50">
        <f t="shared" si="12"/>
        <v>-1.2384666371557598</v>
      </c>
      <c r="G50">
        <f t="shared" si="13"/>
        <v>28.951268635067002</v>
      </c>
      <c r="H50">
        <f t="shared" si="14"/>
        <v>144.88455188868798</v>
      </c>
      <c r="I50">
        <f t="shared" si="15"/>
        <v>-11.125947586642095</v>
      </c>
      <c r="J50">
        <f t="shared" si="16"/>
        <v>30.016284942366269</v>
      </c>
      <c r="K50">
        <f t="shared" si="17"/>
        <v>252.93817978313825</v>
      </c>
      <c r="L50">
        <f t="shared" si="10"/>
        <v>0</v>
      </c>
      <c r="R50">
        <f t="shared" si="9"/>
        <v>47</v>
      </c>
      <c r="S50">
        <v>582.69322140820691</v>
      </c>
    </row>
    <row r="51" spans="1:19" x14ac:dyDescent="0.3">
      <c r="A51">
        <f t="shared" si="11"/>
        <v>4.5</v>
      </c>
      <c r="B51">
        <f t="shared" si="0"/>
        <v>175.82900782017327</v>
      </c>
      <c r="C51">
        <f t="shared" si="1"/>
        <v>315.00218405359811</v>
      </c>
      <c r="F51">
        <f t="shared" si="12"/>
        <v>-1.2073593059422905</v>
      </c>
      <c r="G51">
        <f t="shared" si="13"/>
        <v>28.830532704472773</v>
      </c>
      <c r="H51">
        <f t="shared" si="14"/>
        <v>147.76760515913526</v>
      </c>
      <c r="I51">
        <f t="shared" si="15"/>
        <v>-11.05177384838623</v>
      </c>
      <c r="J51">
        <f t="shared" si="16"/>
        <v>28.91110755752765</v>
      </c>
      <c r="K51">
        <f t="shared" si="17"/>
        <v>255.829290538891</v>
      </c>
      <c r="L51">
        <f t="shared" si="10"/>
        <v>0</v>
      </c>
      <c r="R51">
        <f t="shared" si="9"/>
        <v>47.5</v>
      </c>
      <c r="S51">
        <v>581.18154935342477</v>
      </c>
    </row>
    <row r="52" spans="1:19" x14ac:dyDescent="0.3">
      <c r="A52">
        <f t="shared" si="11"/>
        <v>4.5999999999999996</v>
      </c>
      <c r="B52">
        <f t="shared" si="0"/>
        <v>179.736319105066</v>
      </c>
      <c r="C52">
        <f t="shared" si="1"/>
        <v>319.74823258812251</v>
      </c>
      <c r="F52">
        <f t="shared" si="12"/>
        <v>-1.1771375364277308</v>
      </c>
      <c r="G52">
        <f t="shared" si="13"/>
        <v>28.712818950830002</v>
      </c>
      <c r="H52">
        <f t="shared" si="14"/>
        <v>150.63888705421826</v>
      </c>
      <c r="I52">
        <f t="shared" si="15"/>
        <v>-10.980427371027574</v>
      </c>
      <c r="J52">
        <f t="shared" si="16"/>
        <v>27.813064820424898</v>
      </c>
      <c r="K52">
        <f t="shared" si="17"/>
        <v>258.61059702093348</v>
      </c>
      <c r="L52">
        <f t="shared" si="10"/>
        <v>0</v>
      </c>
      <c r="R52">
        <f t="shared" si="9"/>
        <v>48</v>
      </c>
      <c r="S52">
        <v>579.55549783684205</v>
      </c>
    </row>
    <row r="53" spans="1:19" x14ac:dyDescent="0.3">
      <c r="A53">
        <f t="shared" si="11"/>
        <v>4.6999999999999993</v>
      </c>
      <c r="B53">
        <f t="shared" si="0"/>
        <v>183.64363038995873</v>
      </c>
      <c r="C53">
        <f t="shared" si="1"/>
        <v>324.39628112264688</v>
      </c>
      <c r="F53">
        <f t="shared" si="12"/>
        <v>-1.1477920363968417</v>
      </c>
      <c r="G53">
        <f t="shared" si="13"/>
        <v>28.598039747190317</v>
      </c>
      <c r="H53">
        <f t="shared" si="14"/>
        <v>153.49869102893729</v>
      </c>
      <c r="I53">
        <f t="shared" si="15"/>
        <v>-10.911824455945663</v>
      </c>
      <c r="J53">
        <f t="shared" si="16"/>
        <v>26.721882374830336</v>
      </c>
      <c r="K53">
        <f t="shared" si="17"/>
        <v>261.28278525841648</v>
      </c>
      <c r="L53">
        <f t="shared" si="10"/>
        <v>0</v>
      </c>
      <c r="R53">
        <f t="shared" si="9"/>
        <v>48.5</v>
      </c>
      <c r="S53">
        <v>577.81464565764441</v>
      </c>
    </row>
    <row r="54" spans="1:19" x14ac:dyDescent="0.3">
      <c r="A54">
        <f t="shared" si="11"/>
        <v>4.7999999999999989</v>
      </c>
      <c r="B54">
        <f t="shared" si="0"/>
        <v>187.55094167485146</v>
      </c>
      <c r="C54">
        <f t="shared" si="1"/>
        <v>328.94632965717125</v>
      </c>
      <c r="F54">
        <f t="shared" si="12"/>
        <v>-1.1193153202270647</v>
      </c>
      <c r="G54">
        <f t="shared" si="13"/>
        <v>28.486108215167611</v>
      </c>
      <c r="H54">
        <f t="shared" si="14"/>
        <v>156.34730185045404</v>
      </c>
      <c r="I54">
        <f t="shared" si="15"/>
        <v>-10.845883305004911</v>
      </c>
      <c r="J54">
        <f t="shared" si="16"/>
        <v>25.637294044329849</v>
      </c>
      <c r="K54">
        <f t="shared" si="17"/>
        <v>263.84651466284947</v>
      </c>
      <c r="L54">
        <f t="shared" si="10"/>
        <v>0</v>
      </c>
      <c r="R54">
        <f t="shared" si="9"/>
        <v>49</v>
      </c>
      <c r="S54">
        <v>575.95856905589551</v>
      </c>
    </row>
    <row r="55" spans="1:19" x14ac:dyDescent="0.3">
      <c r="A55">
        <f t="shared" si="11"/>
        <v>4.8999999999999986</v>
      </c>
      <c r="B55">
        <f t="shared" si="0"/>
        <v>191.45825295974419</v>
      </c>
      <c r="C55">
        <f t="shared" si="1"/>
        <v>333.39837819169566</v>
      </c>
      <c r="F55">
        <f t="shared" si="12"/>
        <v>-1.0917016971489502</v>
      </c>
      <c r="G55">
        <f t="shared" si="13"/>
        <v>28.376938045452718</v>
      </c>
      <c r="H55">
        <f t="shared" si="14"/>
        <v>159.18499565499931</v>
      </c>
      <c r="I55">
        <f t="shared" si="15"/>
        <v>-10.782523734274065</v>
      </c>
      <c r="J55">
        <f t="shared" si="16"/>
        <v>24.559041670902445</v>
      </c>
      <c r="K55">
        <f t="shared" si="17"/>
        <v>266.30241882993971</v>
      </c>
      <c r="L55">
        <f t="shared" si="10"/>
        <v>0</v>
      </c>
      <c r="R55">
        <f t="shared" si="9"/>
        <v>49.5</v>
      </c>
      <c r="S55">
        <v>573.9868417548231</v>
      </c>
    </row>
    <row r="56" spans="1:19" x14ac:dyDescent="0.3">
      <c r="A56">
        <f t="shared" si="11"/>
        <v>4.9999999999999982</v>
      </c>
      <c r="B56">
        <f t="shared" si="0"/>
        <v>195.36556424463691</v>
      </c>
      <c r="C56">
        <f t="shared" si="1"/>
        <v>337.75242672622005</v>
      </c>
      <c r="F56">
        <f t="shared" si="12"/>
        <v>-1.0649472571948715</v>
      </c>
      <c r="G56">
        <f t="shared" si="13"/>
        <v>28.270443319733232</v>
      </c>
      <c r="H56">
        <f t="shared" si="14"/>
        <v>162.01203998697264</v>
      </c>
      <c r="I56">
        <f t="shared" si="15"/>
        <v>-10.721666884033432</v>
      </c>
      <c r="J56">
        <f t="shared" si="16"/>
        <v>23.486874982499106</v>
      </c>
      <c r="K56">
        <f t="shared" si="17"/>
        <v>268.6511063281896</v>
      </c>
      <c r="L56">
        <f t="shared" si="10"/>
        <v>0</v>
      </c>
      <c r="R56">
        <f t="shared" si="9"/>
        <v>50</v>
      </c>
      <c r="S56">
        <v>571.89903501275603</v>
      </c>
    </row>
    <row r="57" spans="1:19" x14ac:dyDescent="0.3">
      <c r="A57">
        <f t="shared" si="11"/>
        <v>5.0999999999999979</v>
      </c>
      <c r="B57">
        <f t="shared" si="0"/>
        <v>199.27287552952961</v>
      </c>
      <c r="C57">
        <f t="shared" si="1"/>
        <v>342.00847526074443</v>
      </c>
      <c r="F57">
        <f t="shared" si="12"/>
        <v>-1.0390498531116112</v>
      </c>
      <c r="G57">
        <f t="shared" si="13"/>
        <v>28.166538334422071</v>
      </c>
      <c r="H57">
        <f t="shared" si="14"/>
        <v>164.82869382041483</v>
      </c>
      <c r="I57">
        <f t="shared" si="15"/>
        <v>-10.663234924355859</v>
      </c>
      <c r="J57">
        <f t="shared" si="16"/>
        <v>22.420551490063524</v>
      </c>
      <c r="K57">
        <f t="shared" si="17"/>
        <v>270.89316147719592</v>
      </c>
      <c r="L57">
        <f t="shared" si="10"/>
        <v>0</v>
      </c>
      <c r="R57">
        <f t="shared" si="9"/>
        <v>50.5</v>
      </c>
      <c r="S57">
        <v>569.69471768536005</v>
      </c>
    </row>
    <row r="58" spans="1:19" x14ac:dyDescent="0.3">
      <c r="A58">
        <f t="shared" si="11"/>
        <v>5.1999999999999975</v>
      </c>
      <c r="B58">
        <f t="shared" si="0"/>
        <v>203.18018681442234</v>
      </c>
      <c r="C58">
        <f t="shared" si="1"/>
        <v>346.16652379526886</v>
      </c>
      <c r="F58">
        <f t="shared" si="12"/>
        <v>-1.0140090762635907</v>
      </c>
      <c r="G58">
        <f t="shared" si="13"/>
        <v>28.065137426795712</v>
      </c>
      <c r="H58">
        <f t="shared" si="14"/>
        <v>167.63520756309438</v>
      </c>
      <c r="I58">
        <f t="shared" si="15"/>
        <v>-10.607150755830574</v>
      </c>
      <c r="J58">
        <f t="shared" si="16"/>
        <v>21.359836414480469</v>
      </c>
      <c r="K58">
        <f t="shared" si="17"/>
        <v>273.02914511864395</v>
      </c>
      <c r="L58">
        <f t="shared" si="10"/>
        <v>0</v>
      </c>
      <c r="R58">
        <f t="shared" si="9"/>
        <v>51</v>
      </c>
      <c r="S58">
        <v>564.40571110476822</v>
      </c>
    </row>
    <row r="59" spans="1:19" x14ac:dyDescent="0.3">
      <c r="A59">
        <f t="shared" si="11"/>
        <v>5.2999999999999972</v>
      </c>
      <c r="B59">
        <f t="shared" si="0"/>
        <v>207.08749809931507</v>
      </c>
      <c r="C59">
        <f t="shared" si="1"/>
        <v>350.22657232979316</v>
      </c>
      <c r="F59">
        <f t="shared" si="12"/>
        <v>-0.98982622429229017</v>
      </c>
      <c r="G59">
        <f t="shared" si="13"/>
        <v>27.966154804366482</v>
      </c>
      <c r="H59">
        <f t="shared" si="14"/>
        <v>170.43182304353101</v>
      </c>
      <c r="I59">
        <f t="shared" si="15"/>
        <v>-10.553337705357537</v>
      </c>
      <c r="J59">
        <f t="shared" si="16"/>
        <v>20.304502643944719</v>
      </c>
      <c r="K59">
        <f t="shared" si="17"/>
        <v>275.05959538303841</v>
      </c>
      <c r="L59">
        <f t="shared" si="10"/>
        <v>0</v>
      </c>
      <c r="R59">
        <f t="shared" si="9"/>
        <v>51.5</v>
      </c>
      <c r="S59">
        <v>562.00639483554244</v>
      </c>
    </row>
    <row r="60" spans="1:19" x14ac:dyDescent="0.3">
      <c r="A60">
        <f t="shared" si="11"/>
        <v>5.3999999999999968</v>
      </c>
      <c r="B60">
        <f t="shared" si="0"/>
        <v>210.9948093842078</v>
      </c>
      <c r="C60">
        <f t="shared" si="1"/>
        <v>354.18862086431761</v>
      </c>
      <c r="F60">
        <f t="shared" si="12"/>
        <v>-0.96650425803390416</v>
      </c>
      <c r="G60">
        <f t="shared" si="13"/>
        <v>27.869504378563093</v>
      </c>
      <c r="H60">
        <f t="shared" si="14"/>
        <v>173.2187734813873</v>
      </c>
      <c r="I60">
        <f t="shared" si="15"/>
        <v>-10.501719217386626</v>
      </c>
      <c r="J60">
        <f t="shared" si="16"/>
        <v>19.25433072220606</v>
      </c>
      <c r="K60">
        <f t="shared" si="17"/>
        <v>276.985028455259</v>
      </c>
      <c r="L60">
        <f t="shared" si="10"/>
        <v>0</v>
      </c>
      <c r="R60">
        <f t="shared" si="9"/>
        <v>52</v>
      </c>
      <c r="S60">
        <v>559.48926034555484</v>
      </c>
    </row>
    <row r="61" spans="1:19" x14ac:dyDescent="0.3">
      <c r="A61">
        <f t="shared" si="11"/>
        <v>5.4999999999999964</v>
      </c>
      <c r="B61">
        <f t="shared" si="0"/>
        <v>214.90212066910053</v>
      </c>
      <c r="C61">
        <f t="shared" si="1"/>
        <v>358.052669398842</v>
      </c>
      <c r="F61">
        <f t="shared" si="12"/>
        <v>-0.94404774494600319</v>
      </c>
      <c r="G61">
        <f t="shared" si="13"/>
        <v>27.775099604068494</v>
      </c>
      <c r="H61">
        <f t="shared" si="14"/>
        <v>175.99628344179413</v>
      </c>
      <c r="I61">
        <f t="shared" si="15"/>
        <v>-10.452218541522566</v>
      </c>
      <c r="J61">
        <f t="shared" si="16"/>
        <v>18.209108868053807</v>
      </c>
      <c r="K61">
        <f t="shared" si="17"/>
        <v>278.80593934206439</v>
      </c>
      <c r="L61">
        <f t="shared" si="10"/>
        <v>0</v>
      </c>
      <c r="R61">
        <f t="shared" si="9"/>
        <v>52.5</v>
      </c>
      <c r="S61">
        <v>556.85386927459979</v>
      </c>
    </row>
    <row r="62" spans="1:19" x14ac:dyDescent="0.3">
      <c r="A62">
        <f t="shared" si="11"/>
        <v>5.5999999999999961</v>
      </c>
      <c r="B62">
        <f t="shared" si="0"/>
        <v>218.80943195399325</v>
      </c>
      <c r="C62">
        <f t="shared" si="1"/>
        <v>361.81871793336643</v>
      </c>
      <c r="F62">
        <f t="shared" si="12"/>
        <v>-0.92246278607452903</v>
      </c>
      <c r="G62">
        <f t="shared" si="13"/>
        <v>27.682853325461043</v>
      </c>
      <c r="H62">
        <f t="shared" si="14"/>
        <v>178.76456877434023</v>
      </c>
      <c r="I62">
        <f t="shared" si="15"/>
        <v>-10.404758418072383</v>
      </c>
      <c r="J62">
        <f t="shared" si="16"/>
        <v>17.168633026246571</v>
      </c>
      <c r="K62">
        <f t="shared" si="17"/>
        <v>280.52280264468902</v>
      </c>
      <c r="L62">
        <f t="shared" si="10"/>
        <v>0</v>
      </c>
      <c r="R62">
        <f t="shared" si="9"/>
        <v>53</v>
      </c>
      <c r="S62">
        <v>554.09978125235625</v>
      </c>
    </row>
    <row r="63" spans="1:19" x14ac:dyDescent="0.3">
      <c r="A63">
        <f t="shared" si="11"/>
        <v>5.6999999999999957</v>
      </c>
      <c r="B63">
        <f t="shared" si="0"/>
        <v>222.71674323888598</v>
      </c>
      <c r="C63">
        <f t="shared" si="1"/>
        <v>365.48676646789079</v>
      </c>
      <c r="F63">
        <f t="shared" si="12"/>
        <v>-0.90175692343014224</v>
      </c>
      <c r="G63">
        <f t="shared" si="13"/>
        <v>27.592677633118029</v>
      </c>
      <c r="H63">
        <f t="shared" si="14"/>
        <v>181.52383653765202</v>
      </c>
      <c r="I63">
        <f t="shared" si="15"/>
        <v>-10.35926076388267</v>
      </c>
      <c r="J63">
        <f t="shared" si="16"/>
        <v>16.132706949858306</v>
      </c>
      <c r="K63">
        <f t="shared" si="17"/>
        <v>282.13607333967485</v>
      </c>
      <c r="L63">
        <f t="shared" si="10"/>
        <v>0</v>
      </c>
      <c r="R63">
        <f t="shared" si="9"/>
        <v>53.5</v>
      </c>
      <c r="S63">
        <v>551.22655403630779</v>
      </c>
    </row>
    <row r="64" spans="1:19" x14ac:dyDescent="0.3">
      <c r="A64">
        <f t="shared" si="11"/>
        <v>5.7999999999999954</v>
      </c>
      <c r="B64">
        <f t="shared" si="0"/>
        <v>226.62405452377871</v>
      </c>
      <c r="C64">
        <f t="shared" si="1"/>
        <v>369.05681500241525</v>
      </c>
      <c r="F64">
        <f t="shared" si="12"/>
        <v>-0.88193902456901452</v>
      </c>
      <c r="G64">
        <f t="shared" si="13"/>
        <v>27.504483730661129</v>
      </c>
      <c r="H64">
        <f t="shared" si="14"/>
        <v>184.27428491071811</v>
      </c>
      <c r="I64">
        <f t="shared" si="15"/>
        <v>-10.315646361697736</v>
      </c>
      <c r="J64">
        <f t="shared" si="16"/>
        <v>15.101142313688536</v>
      </c>
      <c r="K64">
        <f t="shared" si="17"/>
        <v>283.6461875710437</v>
      </c>
      <c r="L64">
        <f t="shared" si="10"/>
        <v>0</v>
      </c>
      <c r="R64">
        <f t="shared" si="9"/>
        <v>54</v>
      </c>
      <c r="S64">
        <v>545.48396510526516</v>
      </c>
    </row>
    <row r="65" spans="1:19" x14ac:dyDescent="0.3">
      <c r="A65">
        <f t="shared" si="11"/>
        <v>5.899999999999995</v>
      </c>
      <c r="B65">
        <f t="shared" si="0"/>
        <v>230.53136580867144</v>
      </c>
      <c r="C65">
        <f t="shared" si="1"/>
        <v>372.52886353693953</v>
      </c>
      <c r="F65">
        <f t="shared" si="12"/>
        <v>-0.86301914122447154</v>
      </c>
      <c r="G65">
        <f t="shared" si="13"/>
        <v>27.418181816538681</v>
      </c>
      <c r="H65">
        <f t="shared" si="14"/>
        <v>187.01610309237196</v>
      </c>
      <c r="I65">
        <f t="shared" si="15"/>
        <v>-10.273834557255832</v>
      </c>
      <c r="J65">
        <f t="shared" si="16"/>
        <v>14.073758857962957</v>
      </c>
      <c r="K65">
        <f t="shared" si="17"/>
        <v>285.05356345683998</v>
      </c>
      <c r="L65">
        <f t="shared" si="10"/>
        <v>0</v>
      </c>
      <c r="R65">
        <f t="shared" si="9"/>
        <v>54.5</v>
      </c>
      <c r="S65">
        <v>542.41067095205233</v>
      </c>
    </row>
    <row r="66" spans="1:19" x14ac:dyDescent="0.3">
      <c r="A66">
        <f t="shared" si="11"/>
        <v>5.9999999999999947</v>
      </c>
      <c r="B66">
        <f t="shared" si="0"/>
        <v>234.43867709356417</v>
      </c>
      <c r="C66">
        <f t="shared" si="1"/>
        <v>375.90291207146396</v>
      </c>
      <c r="F66">
        <f t="shared" si="12"/>
        <v>-0.84500833905356387</v>
      </c>
      <c r="G66">
        <f t="shared" si="13"/>
        <v>27.333680982633325</v>
      </c>
      <c r="H66">
        <f t="shared" si="14"/>
        <v>189.74947119063529</v>
      </c>
      <c r="I66">
        <f t="shared" si="15"/>
        <v>-10.233742969405585</v>
      </c>
      <c r="J66">
        <f t="shared" si="16"/>
        <v>13.050384561022403</v>
      </c>
      <c r="K66">
        <f t="shared" si="17"/>
        <v>286.35860191294222</v>
      </c>
      <c r="L66">
        <f t="shared" si="10"/>
        <v>0</v>
      </c>
      <c r="R66">
        <f t="shared" si="9"/>
        <v>55</v>
      </c>
      <c r="S66">
        <v>539.21690898817337</v>
      </c>
    </row>
    <row r="67" spans="1:19" x14ac:dyDescent="0.3">
      <c r="A67">
        <f t="shared" si="11"/>
        <v>6.0999999999999943</v>
      </c>
      <c r="B67">
        <f t="shared" si="0"/>
        <v>238.34598837845689</v>
      </c>
      <c r="C67">
        <f t="shared" si="1"/>
        <v>379.17896060598838</v>
      </c>
      <c r="F67">
        <f t="shared" si="12"/>
        <v>-0.82791849598985956</v>
      </c>
      <c r="G67">
        <f t="shared" si="13"/>
        <v>27.250889133034338</v>
      </c>
      <c r="H67">
        <f t="shared" si="14"/>
        <v>192.47456010393873</v>
      </c>
      <c r="I67">
        <f t="shared" si="15"/>
        <v>-10.195287219628991</v>
      </c>
      <c r="J67">
        <f t="shared" si="16"/>
        <v>12.030855839059507</v>
      </c>
      <c r="K67">
        <f t="shared" si="17"/>
        <v>287.56168749684815</v>
      </c>
      <c r="L67">
        <f t="shared" si="10"/>
        <v>0</v>
      </c>
      <c r="R67">
        <f t="shared" si="9"/>
        <v>55.5</v>
      </c>
      <c r="S67">
        <v>535.90223220052383</v>
      </c>
    </row>
    <row r="68" spans="1:19" x14ac:dyDescent="0.3">
      <c r="A68">
        <f t="shared" si="11"/>
        <v>6.199999999999994</v>
      </c>
      <c r="B68">
        <f t="shared" si="0"/>
        <v>242.25329966334959</v>
      </c>
      <c r="C68">
        <f t="shared" si="1"/>
        <v>382.35700914051279</v>
      </c>
      <c r="F68">
        <f t="shared" si="12"/>
        <v>-0.81176206737158429</v>
      </c>
      <c r="G68">
        <f t="shared" si="13"/>
        <v>27.16971292629718</v>
      </c>
      <c r="H68">
        <f t="shared" si="14"/>
        <v>195.19153139656845</v>
      </c>
      <c r="I68">
        <f t="shared" si="15"/>
        <v>-10.158380688442403</v>
      </c>
      <c r="J68">
        <f t="shared" si="16"/>
        <v>11.01501777021527</v>
      </c>
      <c r="K68">
        <f t="shared" si="17"/>
        <v>288.66318927386965</v>
      </c>
      <c r="L68">
        <f t="shared" si="10"/>
        <v>0</v>
      </c>
      <c r="R68">
        <f t="shared" si="9"/>
        <v>56</v>
      </c>
      <c r="S68">
        <v>532.46619254275663</v>
      </c>
    </row>
    <row r="69" spans="1:19" x14ac:dyDescent="0.3">
      <c r="A69">
        <f t="shared" si="11"/>
        <v>6.2999999999999936</v>
      </c>
      <c r="B69">
        <f t="shared" si="0"/>
        <v>246.16061094824232</v>
      </c>
      <c r="C69">
        <f t="shared" si="1"/>
        <v>385.43705767503718</v>
      </c>
      <c r="F69">
        <f t="shared" si="12"/>
        <v>-0.79655181697654842</v>
      </c>
      <c r="G69">
        <f t="shared" si="13"/>
        <v>27.090057744599527</v>
      </c>
      <c r="H69">
        <f t="shared" si="14"/>
        <v>197.90053717102839</v>
      </c>
      <c r="I69">
        <f t="shared" si="15"/>
        <v>-10.122934307134386</v>
      </c>
      <c r="J69">
        <f t="shared" si="16"/>
        <v>10.002724339501835</v>
      </c>
      <c r="K69">
        <f t="shared" si="17"/>
        <v>289.66346170781981</v>
      </c>
      <c r="L69">
        <f t="shared" si="10"/>
        <v>0</v>
      </c>
      <c r="R69">
        <f t="shared" si="9"/>
        <v>56.5</v>
      </c>
      <c r="S69">
        <v>526.33939532847046</v>
      </c>
    </row>
    <row r="70" spans="1:19" x14ac:dyDescent="0.3">
      <c r="A70">
        <f t="shared" si="11"/>
        <v>6.3999999999999932</v>
      </c>
      <c r="B70">
        <f t="shared" ref="B70:B133" si="18">D$2*COS(D$4*PI()/180)*A70</f>
        <v>250.06792223313505</v>
      </c>
      <c r="C70">
        <f t="shared" ref="C70:C133" si="19">D$2*SIN(D$4*PI()/180)*A70-(1/2)*9.8*A70^2</f>
        <v>388.41910620956151</v>
      </c>
      <c r="F70">
        <f t="shared" si="12"/>
        <v>-0.78230051436147319</v>
      </c>
      <c r="G70">
        <f t="shared" si="13"/>
        <v>27.011827693163379</v>
      </c>
      <c r="H70">
        <f t="shared" si="14"/>
        <v>200.60171994034471</v>
      </c>
      <c r="I70">
        <f t="shared" si="15"/>
        <v>-10.088856394090495</v>
      </c>
      <c r="J70">
        <f t="shared" si="16"/>
        <v>8.9938387000927893</v>
      </c>
      <c r="K70">
        <f t="shared" si="17"/>
        <v>290.56284557782908</v>
      </c>
      <c r="L70">
        <f t="shared" si="10"/>
        <v>0</v>
      </c>
      <c r="R70">
        <f t="shared" si="9"/>
        <v>57</v>
      </c>
      <c r="S70">
        <v>522.69908030660929</v>
      </c>
    </row>
    <row r="71" spans="1:19" x14ac:dyDescent="0.3">
      <c r="A71">
        <f t="shared" ref="A71:A102" si="20">A70+0.1</f>
        <v>6.4999999999999929</v>
      </c>
      <c r="B71">
        <f t="shared" si="18"/>
        <v>253.97523351802778</v>
      </c>
      <c r="C71">
        <f t="shared" si="19"/>
        <v>391.30315474408599</v>
      </c>
      <c r="F71">
        <f t="shared" ref="F71:F102" si="21">-1*$D$3*(G70^2+J70^2)^(1/2)*G70</f>
        <v>-0.76902060047039977</v>
      </c>
      <c r="G71">
        <f t="shared" ref="G71:G102" si="22">G70+F71*(A71-A70)</f>
        <v>26.93492563311634</v>
      </c>
      <c r="H71">
        <f t="shared" ref="H71:H102" si="23">H70+G71*(A71-A70)</f>
        <v>203.29521250365633</v>
      </c>
      <c r="I71">
        <f t="shared" ref="I71:I102" si="24">-9.8-($D$3*((G70^2+J70^2)^(1/2))*J70)</f>
        <v>-10.056052545434747</v>
      </c>
      <c r="J71">
        <f t="shared" ref="J71:J102" si="25">J70+I71*(A71-A70)</f>
        <v>7.9882334455493176</v>
      </c>
      <c r="K71">
        <f t="shared" ref="K71:K102" si="26">K70+J71*(A71-A70)</f>
        <v>291.36166892238401</v>
      </c>
      <c r="L71">
        <f t="shared" si="10"/>
        <v>0</v>
      </c>
      <c r="R71">
        <f t="shared" si="9"/>
        <v>57.5</v>
      </c>
      <c r="S71">
        <v>518.9360671745228</v>
      </c>
    </row>
    <row r="72" spans="1:19" x14ac:dyDescent="0.3">
      <c r="A72">
        <f t="shared" si="20"/>
        <v>6.5999999999999925</v>
      </c>
      <c r="B72">
        <f t="shared" si="18"/>
        <v>257.88254480292051</v>
      </c>
      <c r="C72">
        <f t="shared" si="19"/>
        <v>394.0892032786104</v>
      </c>
      <c r="F72">
        <f t="shared" si="21"/>
        <v>-0.75672382531123283</v>
      </c>
      <c r="G72">
        <f t="shared" si="22"/>
        <v>26.859253250585216</v>
      </c>
      <c r="H72">
        <f t="shared" si="23"/>
        <v>205.98113782871485</v>
      </c>
      <c r="I72">
        <f t="shared" si="24"/>
        <v>-10.024425589761535</v>
      </c>
      <c r="J72">
        <f t="shared" si="25"/>
        <v>6.9857908865731675</v>
      </c>
      <c r="K72">
        <f t="shared" si="26"/>
        <v>292.06024801104132</v>
      </c>
      <c r="L72">
        <f t="shared" si="10"/>
        <v>0</v>
      </c>
      <c r="R72">
        <f t="shared" ref="R72:R90" si="27">R71+0.5</f>
        <v>58</v>
      </c>
      <c r="S72">
        <v>515.04990696664458</v>
      </c>
    </row>
    <row r="73" spans="1:19" x14ac:dyDescent="0.3">
      <c r="A73">
        <f t="shared" si="20"/>
        <v>6.6999999999999922</v>
      </c>
      <c r="B73">
        <f t="shared" si="18"/>
        <v>261.78985608781323</v>
      </c>
      <c r="C73">
        <f t="shared" si="19"/>
        <v>396.7772518131348</v>
      </c>
      <c r="F73">
        <f t="shared" si="21"/>
        <v>-0.74542086352979875</v>
      </c>
      <c r="G73">
        <f t="shared" si="22"/>
        <v>26.784711164232235</v>
      </c>
      <c r="H73">
        <f t="shared" si="23"/>
        <v>208.65960894513807</v>
      </c>
      <c r="I73">
        <f t="shared" si="24"/>
        <v>-9.9938756162178315</v>
      </c>
      <c r="J73">
        <f t="shared" si="25"/>
        <v>5.9864033249513877</v>
      </c>
      <c r="K73">
        <f t="shared" si="26"/>
        <v>292.65888834353643</v>
      </c>
      <c r="L73">
        <f t="shared" ref="L73:L136" si="28">IF(K73*K72&lt;=0,1,0)</f>
        <v>0</v>
      </c>
      <c r="R73">
        <f t="shared" si="27"/>
        <v>58.5</v>
      </c>
      <c r="S73">
        <v>508.61432516499207</v>
      </c>
    </row>
    <row r="74" spans="1:19" x14ac:dyDescent="0.3">
      <c r="A74">
        <f t="shared" si="20"/>
        <v>6.7999999999999918</v>
      </c>
      <c r="B74">
        <f t="shared" si="18"/>
        <v>265.69716737270596</v>
      </c>
      <c r="C74">
        <f t="shared" si="19"/>
        <v>399.36730034765912</v>
      </c>
      <c r="F74">
        <f t="shared" si="21"/>
        <v>-0.73512091582408334</v>
      </c>
      <c r="G74">
        <f t="shared" si="22"/>
        <v>26.711199072649826</v>
      </c>
      <c r="H74">
        <f t="shared" si="23"/>
        <v>211.33072885240304</v>
      </c>
      <c r="I74">
        <f t="shared" si="24"/>
        <v>-9.964300084019845</v>
      </c>
      <c r="J74">
        <f t="shared" si="25"/>
        <v>4.9899733165494071</v>
      </c>
      <c r="K74">
        <f t="shared" si="26"/>
        <v>293.15788567519138</v>
      </c>
      <c r="L74">
        <f t="shared" si="28"/>
        <v>0</v>
      </c>
      <c r="R74">
        <f t="shared" si="27"/>
        <v>59</v>
      </c>
      <c r="S74">
        <v>504.52058352484823</v>
      </c>
    </row>
    <row r="75" spans="1:19" x14ac:dyDescent="0.3">
      <c r="A75">
        <f t="shared" si="20"/>
        <v>6.8999999999999915</v>
      </c>
      <c r="B75">
        <f t="shared" si="18"/>
        <v>269.60447865759869</v>
      </c>
      <c r="C75">
        <f t="shared" si="19"/>
        <v>401.85934888218355</v>
      </c>
      <c r="F75">
        <f t="shared" si="21"/>
        <v>-0.72583130618379765</v>
      </c>
      <c r="G75">
        <f t="shared" si="22"/>
        <v>26.638615942031446</v>
      </c>
      <c r="H75">
        <f t="shared" si="23"/>
        <v>213.99459044660617</v>
      </c>
      <c r="I75">
        <f t="shared" si="24"/>
        <v>-9.9355940195841637</v>
      </c>
      <c r="J75">
        <f t="shared" si="25"/>
        <v>3.9964139145909945</v>
      </c>
      <c r="K75">
        <f t="shared" si="26"/>
        <v>293.55752706665049</v>
      </c>
      <c r="L75">
        <f t="shared" si="28"/>
        <v>0</v>
      </c>
      <c r="R75">
        <f t="shared" si="27"/>
        <v>59.5</v>
      </c>
      <c r="S75">
        <v>500.30236627458828</v>
      </c>
    </row>
    <row r="76" spans="1:19" x14ac:dyDescent="0.3">
      <c r="A76">
        <f t="shared" si="20"/>
        <v>6.9999999999999911</v>
      </c>
      <c r="B76">
        <f t="shared" si="18"/>
        <v>273.51178994249142</v>
      </c>
      <c r="C76">
        <f t="shared" si="19"/>
        <v>404.25339741670797</v>
      </c>
      <c r="F76">
        <f t="shared" si="21"/>
        <v>-0.71755708672553165</v>
      </c>
      <c r="G76">
        <f t="shared" si="22"/>
        <v>26.566860233358895</v>
      </c>
      <c r="H76">
        <f t="shared" si="23"/>
        <v>216.65127646994205</v>
      </c>
      <c r="I76">
        <f t="shared" si="24"/>
        <v>-9.9076503048110176</v>
      </c>
      <c r="J76">
        <f t="shared" si="25"/>
        <v>3.0056488841098963</v>
      </c>
      <c r="K76">
        <f t="shared" si="26"/>
        <v>293.85809195506147</v>
      </c>
      <c r="L76">
        <f t="shared" si="28"/>
        <v>0</v>
      </c>
      <c r="R76">
        <f t="shared" si="27"/>
        <v>60</v>
      </c>
      <c r="S76">
        <v>493.63810803409007</v>
      </c>
    </row>
    <row r="77" spans="1:19" x14ac:dyDescent="0.3">
      <c r="A77">
        <f t="shared" si="20"/>
        <v>7.0999999999999908</v>
      </c>
      <c r="B77">
        <f t="shared" si="18"/>
        <v>277.41910122738415</v>
      </c>
      <c r="C77">
        <f t="shared" si="19"/>
        <v>406.54944595123243</v>
      </c>
      <c r="F77">
        <f t="shared" si="21"/>
        <v>-0.71030066321775831</v>
      </c>
      <c r="G77">
        <f t="shared" si="22"/>
        <v>26.49583016703712</v>
      </c>
      <c r="H77">
        <f t="shared" si="23"/>
        <v>219.30085948664575</v>
      </c>
      <c r="I77">
        <f t="shared" si="24"/>
        <v>-9.8803600567410026</v>
      </c>
      <c r="J77">
        <f t="shared" si="25"/>
        <v>2.0176128784357994</v>
      </c>
      <c r="K77">
        <f t="shared" si="26"/>
        <v>294.05985324290504</v>
      </c>
      <c r="L77">
        <f t="shared" si="28"/>
        <v>0</v>
      </c>
      <c r="R77">
        <f t="shared" si="27"/>
        <v>60.5</v>
      </c>
      <c r="S77">
        <v>489.20991900714699</v>
      </c>
    </row>
    <row r="78" spans="1:19" x14ac:dyDescent="0.3">
      <c r="A78">
        <f t="shared" si="20"/>
        <v>7.1999999999999904</v>
      </c>
      <c r="B78">
        <f t="shared" si="18"/>
        <v>281.32641251227687</v>
      </c>
      <c r="C78">
        <f t="shared" si="19"/>
        <v>408.74749448575682</v>
      </c>
      <c r="F78">
        <f t="shared" si="21"/>
        <v>-0.70406145505508599</v>
      </c>
      <c r="G78">
        <f t="shared" si="22"/>
        <v>26.425424021531612</v>
      </c>
      <c r="H78">
        <f t="shared" si="23"/>
        <v>221.94340188879889</v>
      </c>
      <c r="I78">
        <f t="shared" si="24"/>
        <v>-9.8536130949652847</v>
      </c>
      <c r="J78">
        <f t="shared" si="25"/>
        <v>1.0322515689392744</v>
      </c>
      <c r="K78">
        <f t="shared" si="26"/>
        <v>294.16307839979896</v>
      </c>
      <c r="L78">
        <f t="shared" si="28"/>
        <v>0</v>
      </c>
      <c r="R78">
        <f t="shared" si="27"/>
        <v>61</v>
      </c>
      <c r="S78">
        <v>484.65594074782598</v>
      </c>
    </row>
    <row r="79" spans="1:19" x14ac:dyDescent="0.3">
      <c r="A79">
        <f t="shared" si="20"/>
        <v>7.2999999999999901</v>
      </c>
      <c r="B79">
        <f t="shared" si="18"/>
        <v>285.2337237971696</v>
      </c>
      <c r="C79">
        <f t="shared" si="19"/>
        <v>410.84754302028114</v>
      </c>
      <c r="F79">
        <f t="shared" si="21"/>
        <v>-0.69883560328386252</v>
      </c>
      <c r="G79">
        <f t="shared" si="22"/>
        <v>26.355540461203226</v>
      </c>
      <c r="H79">
        <f t="shared" si="23"/>
        <v>224.57895593491921</v>
      </c>
      <c r="I79">
        <f t="shared" si="24"/>
        <v>-9.8272984890358863</v>
      </c>
      <c r="J79">
        <f t="shared" si="25"/>
        <v>4.9521720035689221E-2</v>
      </c>
      <c r="K79">
        <f t="shared" si="26"/>
        <v>294.16803057180255</v>
      </c>
      <c r="L79">
        <f t="shared" si="28"/>
        <v>0</v>
      </c>
      <c r="R79">
        <f t="shared" si="27"/>
        <v>61.5</v>
      </c>
      <c r="S79">
        <v>477.76073081600083</v>
      </c>
    </row>
    <row r="80" spans="1:19" x14ac:dyDescent="0.3">
      <c r="A80">
        <f t="shared" si="20"/>
        <v>7.3999999999999897</v>
      </c>
      <c r="B80">
        <f t="shared" si="18"/>
        <v>289.14103508206233</v>
      </c>
      <c r="C80">
        <f t="shared" si="19"/>
        <v>412.84959155480556</v>
      </c>
      <c r="F80">
        <f t="shared" si="21"/>
        <v>-0.69461573920141573</v>
      </c>
      <c r="G80">
        <f t="shared" si="22"/>
        <v>26.286078887283086</v>
      </c>
      <c r="H80">
        <f t="shared" si="23"/>
        <v>227.20756382364752</v>
      </c>
      <c r="I80">
        <f t="shared" si="24"/>
        <v>-9.801305174000122</v>
      </c>
      <c r="J80">
        <f t="shared" si="25"/>
        <v>-0.93060879736431945</v>
      </c>
      <c r="K80">
        <f t="shared" si="26"/>
        <v>294.07496969206613</v>
      </c>
      <c r="L80">
        <f t="shared" si="28"/>
        <v>0</v>
      </c>
      <c r="R80">
        <f t="shared" si="27"/>
        <v>62</v>
      </c>
      <c r="S80">
        <v>472.99443612754823</v>
      </c>
    </row>
    <row r="81" spans="1:19" x14ac:dyDescent="0.3">
      <c r="A81">
        <f t="shared" si="20"/>
        <v>7.4999999999999893</v>
      </c>
      <c r="B81">
        <f t="shared" si="18"/>
        <v>293.04834636695506</v>
      </c>
      <c r="C81">
        <f t="shared" si="19"/>
        <v>414.75364008932996</v>
      </c>
      <c r="F81">
        <f t="shared" si="21"/>
        <v>-0.69139082403680796</v>
      </c>
      <c r="G81">
        <f t="shared" si="22"/>
        <v>26.216939804879406</v>
      </c>
      <c r="H81">
        <f t="shared" si="23"/>
        <v>229.82925780413544</v>
      </c>
      <c r="I81">
        <f t="shared" si="24"/>
        <v>-9.7755226184162112</v>
      </c>
      <c r="J81">
        <f t="shared" si="25"/>
        <v>-1.9081610592059373</v>
      </c>
      <c r="K81">
        <f t="shared" si="26"/>
        <v>293.88415358614554</v>
      </c>
      <c r="L81">
        <f t="shared" si="28"/>
        <v>0</v>
      </c>
      <c r="R81">
        <f t="shared" si="27"/>
        <v>62.5</v>
      </c>
      <c r="S81">
        <v>468.10106404227497</v>
      </c>
    </row>
    <row r="82" spans="1:19" x14ac:dyDescent="0.3">
      <c r="A82">
        <f t="shared" si="20"/>
        <v>7.599999999999989</v>
      </c>
      <c r="B82">
        <f t="shared" si="18"/>
        <v>296.95565765184779</v>
      </c>
      <c r="C82">
        <f t="shared" si="19"/>
        <v>416.55968862385441</v>
      </c>
      <c r="F82">
        <f t="shared" si="21"/>
        <v>-0.68914606736219353</v>
      </c>
      <c r="G82">
        <f t="shared" si="22"/>
        <v>26.148025198143188</v>
      </c>
      <c r="H82">
        <f t="shared" si="23"/>
        <v>232.44406032394974</v>
      </c>
      <c r="I82">
        <f t="shared" si="24"/>
        <v>-9.7498415261417861</v>
      </c>
      <c r="J82">
        <f t="shared" si="25"/>
        <v>-2.8831452118201124</v>
      </c>
      <c r="K82">
        <f t="shared" si="26"/>
        <v>293.59583906496351</v>
      </c>
      <c r="L82">
        <f t="shared" si="28"/>
        <v>0</v>
      </c>
      <c r="R82">
        <f t="shared" si="27"/>
        <v>63</v>
      </c>
      <c r="S82">
        <v>460.97273102225881</v>
      </c>
    </row>
    <row r="83" spans="1:19" x14ac:dyDescent="0.3">
      <c r="A83">
        <f t="shared" si="20"/>
        <v>7.6999999999999886</v>
      </c>
      <c r="B83">
        <f t="shared" si="18"/>
        <v>300.86296893674051</v>
      </c>
      <c r="C83">
        <f t="shared" si="19"/>
        <v>418.26773715837885</v>
      </c>
      <c r="F83">
        <f t="shared" si="21"/>
        <v>-0.68786292837240426</v>
      </c>
      <c r="G83">
        <f t="shared" si="22"/>
        <v>26.079238905305946</v>
      </c>
      <c r="H83">
        <f t="shared" si="23"/>
        <v>235.05198421448031</v>
      </c>
      <c r="I83">
        <f t="shared" si="24"/>
        <v>-9.7241545511258618</v>
      </c>
      <c r="J83">
        <f t="shared" si="25"/>
        <v>-3.8555606669326954</v>
      </c>
      <c r="K83">
        <f t="shared" si="26"/>
        <v>293.21028299827026</v>
      </c>
      <c r="L83">
        <f t="shared" si="28"/>
        <v>0</v>
      </c>
      <c r="R83">
        <f t="shared" si="27"/>
        <v>63.5</v>
      </c>
      <c r="S83">
        <v>455.86476493260119</v>
      </c>
    </row>
    <row r="84" spans="1:19" x14ac:dyDescent="0.3">
      <c r="A84">
        <f t="shared" si="20"/>
        <v>7.7999999999999883</v>
      </c>
      <c r="B84">
        <f t="shared" si="18"/>
        <v>304.77028022163324</v>
      </c>
      <c r="C84">
        <f t="shared" si="19"/>
        <v>419.87778569290316</v>
      </c>
      <c r="F84">
        <f t="shared" si="21"/>
        <v>-0.68751920028177749</v>
      </c>
      <c r="G84">
        <f t="shared" si="22"/>
        <v>26.010486985277769</v>
      </c>
      <c r="H84">
        <f t="shared" si="23"/>
        <v>237.65303291300808</v>
      </c>
      <c r="I84">
        <f t="shared" si="24"/>
        <v>-9.6983570035923048</v>
      </c>
      <c r="J84">
        <f t="shared" si="25"/>
        <v>-4.8253963672919227</v>
      </c>
      <c r="K84">
        <f t="shared" si="26"/>
        <v>292.72774336154106</v>
      </c>
      <c r="L84">
        <f t="shared" si="28"/>
        <v>0</v>
      </c>
      <c r="R84">
        <f t="shared" si="27"/>
        <v>64</v>
      </c>
      <c r="S84">
        <v>450.62847229987142</v>
      </c>
    </row>
    <row r="85" spans="1:19" x14ac:dyDescent="0.3">
      <c r="A85">
        <f t="shared" si="20"/>
        <v>7.8999999999999879</v>
      </c>
      <c r="B85">
        <f t="shared" si="18"/>
        <v>308.67759150652591</v>
      </c>
      <c r="C85">
        <f t="shared" si="19"/>
        <v>421.38983422742757</v>
      </c>
      <c r="F85">
        <f t="shared" si="21"/>
        <v>-0.68808917414827864</v>
      </c>
      <c r="G85">
        <f t="shared" si="22"/>
        <v>25.941678067862942</v>
      </c>
      <c r="H85">
        <f t="shared" si="23"/>
        <v>240.24720071979436</v>
      </c>
      <c r="I85">
        <f t="shared" si="24"/>
        <v>-9.6723475264731746</v>
      </c>
      <c r="J85">
        <f t="shared" si="25"/>
        <v>-5.7926311199392364</v>
      </c>
      <c r="K85">
        <f t="shared" si="26"/>
        <v>292.14848024954716</v>
      </c>
      <c r="L85">
        <f t="shared" si="28"/>
        <v>0</v>
      </c>
      <c r="R85">
        <f t="shared" si="27"/>
        <v>64.5</v>
      </c>
      <c r="S85">
        <v>443.264979336431</v>
      </c>
    </row>
    <row r="86" spans="1:19" x14ac:dyDescent="0.3">
      <c r="A86">
        <f t="shared" si="20"/>
        <v>7.9999999999999876</v>
      </c>
      <c r="B86">
        <f t="shared" si="18"/>
        <v>312.58490279141864</v>
      </c>
      <c r="C86">
        <f t="shared" si="19"/>
        <v>422.80388276195202</v>
      </c>
      <c r="F86">
        <f t="shared" si="21"/>
        <v>-0.68954387478113044</v>
      </c>
      <c r="G86">
        <f t="shared" si="22"/>
        <v>25.87272368038483</v>
      </c>
      <c r="H86">
        <f t="shared" si="23"/>
        <v>242.83447308783283</v>
      </c>
      <c r="I86">
        <f t="shared" si="24"/>
        <v>-9.6460287226920443</v>
      </c>
      <c r="J86">
        <f t="shared" si="25"/>
        <v>-6.7572339922084375</v>
      </c>
      <c r="K86">
        <f t="shared" si="26"/>
        <v>291.47275685032633</v>
      </c>
      <c r="L86">
        <f t="shared" si="28"/>
        <v>0</v>
      </c>
      <c r="R86">
        <f t="shared" si="27"/>
        <v>65</v>
      </c>
      <c r="S86">
        <v>437.81190971313868</v>
      </c>
    </row>
    <row r="87" spans="1:19" x14ac:dyDescent="0.3">
      <c r="A87">
        <f t="shared" si="20"/>
        <v>8.0999999999999872</v>
      </c>
      <c r="B87">
        <f t="shared" si="18"/>
        <v>316.49221407631137</v>
      </c>
      <c r="C87">
        <f t="shared" si="19"/>
        <v>424.11993129647652</v>
      </c>
      <c r="F87">
        <f t="shared" si="21"/>
        <v>-0.69185135831951905</v>
      </c>
      <c r="G87">
        <f t="shared" si="22"/>
        <v>25.803538544552879</v>
      </c>
      <c r="H87">
        <f t="shared" si="23"/>
        <v>245.4148269422881</v>
      </c>
      <c r="I87">
        <f t="shared" si="24"/>
        <v>-9.6193077167389021</v>
      </c>
      <c r="J87">
        <f t="shared" si="25"/>
        <v>-7.7191647638823238</v>
      </c>
      <c r="K87">
        <f t="shared" si="26"/>
        <v>290.70084037393809</v>
      </c>
      <c r="L87">
        <f t="shared" si="28"/>
        <v>0</v>
      </c>
      <c r="R87">
        <f t="shared" si="27"/>
        <v>65.5</v>
      </c>
      <c r="S87">
        <v>430.29995483575129</v>
      </c>
    </row>
    <row r="88" spans="1:19" x14ac:dyDescent="0.3">
      <c r="A88">
        <f t="shared" si="20"/>
        <v>8.1999999999999869</v>
      </c>
      <c r="B88">
        <f t="shared" si="18"/>
        <v>320.3995253612041</v>
      </c>
      <c r="C88">
        <f t="shared" si="19"/>
        <v>425.33797983100089</v>
      </c>
      <c r="F88">
        <f t="shared" si="21"/>
        <v>-0.6949770588129538</v>
      </c>
      <c r="G88">
        <f t="shared" si="22"/>
        <v>25.734040838671582</v>
      </c>
      <c r="H88">
        <f t="shared" si="23"/>
        <v>247.98823102615526</v>
      </c>
      <c r="I88">
        <f t="shared" si="24"/>
        <v>-9.5920966376439871</v>
      </c>
      <c r="J88">
        <f t="shared" si="25"/>
        <v>-8.6783744276467196</v>
      </c>
      <c r="K88">
        <f t="shared" si="26"/>
        <v>289.83300293117344</v>
      </c>
      <c r="L88">
        <f t="shared" si="28"/>
        <v>0</v>
      </c>
      <c r="R88">
        <f t="shared" si="27"/>
        <v>66</v>
      </c>
      <c r="S88">
        <v>424.62880486069133</v>
      </c>
    </row>
    <row r="89" spans="1:19" x14ac:dyDescent="0.3">
      <c r="A89">
        <f t="shared" si="20"/>
        <v>8.2999999999999865</v>
      </c>
      <c r="B89">
        <f t="shared" si="18"/>
        <v>324.30683664609683</v>
      </c>
      <c r="C89">
        <f t="shared" si="19"/>
        <v>426.45802836552525</v>
      </c>
      <c r="F89">
        <f t="shared" si="21"/>
        <v>-0.69888416981690149</v>
      </c>
      <c r="G89">
        <f t="shared" si="22"/>
        <v>25.664152421689892</v>
      </c>
      <c r="H89">
        <f t="shared" si="23"/>
        <v>250.55464626832423</v>
      </c>
      <c r="I89">
        <f t="shared" si="24"/>
        <v>-9.5643130146078068</v>
      </c>
      <c r="J89">
        <f t="shared" si="25"/>
        <v>-9.6348057291074962</v>
      </c>
      <c r="K89">
        <f t="shared" si="26"/>
        <v>288.86952235826271</v>
      </c>
      <c r="L89">
        <f t="shared" si="28"/>
        <v>0</v>
      </c>
      <c r="R89">
        <f t="shared" si="27"/>
        <v>66.5</v>
      </c>
      <c r="S89">
        <v>418.8273853946211</v>
      </c>
    </row>
    <row r="90" spans="1:19" x14ac:dyDescent="0.3">
      <c r="A90">
        <f t="shared" si="20"/>
        <v>8.3999999999999861</v>
      </c>
      <c r="B90">
        <f t="shared" si="18"/>
        <v>328.21414793098955</v>
      </c>
      <c r="C90">
        <f t="shared" si="19"/>
        <v>427.48007690004971</v>
      </c>
      <c r="F90">
        <f t="shared" si="21"/>
        <v>-0.70353404666242403</v>
      </c>
      <c r="G90">
        <f t="shared" si="22"/>
        <v>25.593799017023649</v>
      </c>
      <c r="H90">
        <f t="shared" si="23"/>
        <v>253.11402617002659</v>
      </c>
      <c r="I90">
        <f t="shared" si="24"/>
        <v>-9.5358800808213502</v>
      </c>
      <c r="J90">
        <f t="shared" si="25"/>
        <v>-10.588393737189628</v>
      </c>
      <c r="K90">
        <f t="shared" si="26"/>
        <v>287.81068298454375</v>
      </c>
      <c r="L90">
        <f t="shared" si="28"/>
        <v>0</v>
      </c>
      <c r="R90">
        <f t="shared" si="27"/>
        <v>67</v>
      </c>
      <c r="S90">
        <v>411.07759854416224</v>
      </c>
    </row>
    <row r="91" spans="1:19" x14ac:dyDescent="0.3">
      <c r="A91">
        <f t="shared" si="20"/>
        <v>8.4999999999999858</v>
      </c>
      <c r="B91">
        <f t="shared" si="18"/>
        <v>332.12145921588228</v>
      </c>
      <c r="C91">
        <f t="shared" si="19"/>
        <v>428.4041254345741</v>
      </c>
      <c r="F91">
        <f t="shared" si="21"/>
        <v>-0.70888661559022981</v>
      </c>
      <c r="G91">
        <f t="shared" si="22"/>
        <v>25.522910355464628</v>
      </c>
      <c r="H91">
        <f t="shared" si="23"/>
        <v>255.66631720557305</v>
      </c>
      <c r="I91">
        <f t="shared" si="24"/>
        <v>-9.5067269850833576</v>
      </c>
      <c r="J91">
        <f t="shared" si="25"/>
        <v>-11.539066435697961</v>
      </c>
      <c r="K91">
        <f t="shared" si="26"/>
        <v>286.65677634097398</v>
      </c>
      <c r="L91">
        <f t="shared" si="28"/>
        <v>0</v>
      </c>
    </row>
    <row r="92" spans="1:19" x14ac:dyDescent="0.3">
      <c r="A92">
        <f t="shared" si="20"/>
        <v>8.5999999999999854</v>
      </c>
      <c r="B92">
        <f t="shared" si="18"/>
        <v>336.02877050077501</v>
      </c>
      <c r="C92">
        <f t="shared" si="19"/>
        <v>429.23017396909853</v>
      </c>
      <c r="F92">
        <f t="shared" si="21"/>
        <v>-0.71490077720626033</v>
      </c>
      <c r="G92">
        <f t="shared" si="22"/>
        <v>25.451420277744003</v>
      </c>
      <c r="H92">
        <f t="shared" si="23"/>
        <v>258.21145923334745</v>
      </c>
      <c r="I92">
        <f t="shared" si="24"/>
        <v>-9.4767889144213964</v>
      </c>
      <c r="J92">
        <f t="shared" si="25"/>
        <v>-12.486745327140097</v>
      </c>
      <c r="K92">
        <f t="shared" si="26"/>
        <v>285.40810180825997</v>
      </c>
      <c r="L92">
        <f t="shared" si="28"/>
        <v>0</v>
      </c>
    </row>
    <row r="93" spans="1:19" x14ac:dyDescent="0.3">
      <c r="A93">
        <f t="shared" si="20"/>
        <v>8.6999999999999851</v>
      </c>
      <c r="B93">
        <f t="shared" si="18"/>
        <v>339.93608178566774</v>
      </c>
      <c r="C93">
        <f t="shared" si="19"/>
        <v>429.95822250362284</v>
      </c>
      <c r="F93">
        <f t="shared" si="21"/>
        <v>-0.72153479351930494</v>
      </c>
      <c r="G93">
        <f t="shared" si="22"/>
        <v>25.379266798392074</v>
      </c>
      <c r="H93">
        <f t="shared" si="23"/>
        <v>260.74938591318664</v>
      </c>
      <c r="I93">
        <f t="shared" si="24"/>
        <v>-9.4460071338641711</v>
      </c>
      <c r="J93">
        <f t="shared" si="25"/>
        <v>-13.431346040526511</v>
      </c>
      <c r="K93">
        <f t="shared" si="26"/>
        <v>284.06496720420733</v>
      </c>
      <c r="L93">
        <f t="shared" si="28"/>
        <v>0</v>
      </c>
    </row>
    <row r="94" spans="1:19" x14ac:dyDescent="0.3">
      <c r="A94">
        <f t="shared" si="20"/>
        <v>8.7999999999999847</v>
      </c>
      <c r="B94">
        <f t="shared" si="18"/>
        <v>343.84339307056047</v>
      </c>
      <c r="C94">
        <f t="shared" si="19"/>
        <v>430.5882710381473</v>
      </c>
      <c r="F94">
        <f t="shared" si="21"/>
        <v>-0.72874664994634919</v>
      </c>
      <c r="G94">
        <f t="shared" si="22"/>
        <v>25.306392133397438</v>
      </c>
      <c r="H94">
        <f t="shared" si="23"/>
        <v>263.28002512652637</v>
      </c>
      <c r="I94">
        <f t="shared" si="24"/>
        <v>-9.4143289516967457</v>
      </c>
      <c r="J94">
        <f t="shared" si="25"/>
        <v>-14.372778935696182</v>
      </c>
      <c r="K94">
        <f t="shared" si="26"/>
        <v>282.62768931063772</v>
      </c>
      <c r="L94">
        <f t="shared" si="28"/>
        <v>0</v>
      </c>
    </row>
    <row r="95" spans="1:19" x14ac:dyDescent="0.3">
      <c r="A95">
        <f t="shared" si="20"/>
        <v>8.8999999999999844</v>
      </c>
      <c r="B95">
        <f t="shared" si="18"/>
        <v>347.75070435545319</v>
      </c>
      <c r="C95">
        <f t="shared" si="19"/>
        <v>431.12031957267175</v>
      </c>
      <c r="F95">
        <f t="shared" si="21"/>
        <v>-0.73649438591404492</v>
      </c>
      <c r="G95">
        <f t="shared" si="22"/>
        <v>25.232742694806035</v>
      </c>
      <c r="H95">
        <f t="shared" si="23"/>
        <v>265.80329939600693</v>
      </c>
      <c r="I95">
        <f t="shared" si="24"/>
        <v>-9.3817076199434233</v>
      </c>
      <c r="J95">
        <f t="shared" si="25"/>
        <v>-15.310949697690521</v>
      </c>
      <c r="K95">
        <f t="shared" si="26"/>
        <v>281.09659434086865</v>
      </c>
      <c r="L95">
        <f t="shared" si="28"/>
        <v>0</v>
      </c>
    </row>
    <row r="96" spans="1:19" x14ac:dyDescent="0.3">
      <c r="A96">
        <f t="shared" si="20"/>
        <v>8.999999999999984</v>
      </c>
      <c r="B96">
        <f t="shared" si="18"/>
        <v>351.65801564034592</v>
      </c>
      <c r="C96">
        <f t="shared" si="19"/>
        <v>431.55436810719618</v>
      </c>
      <c r="F96">
        <f t="shared" si="21"/>
        <v>-0.74473638987048463</v>
      </c>
      <c r="G96">
        <f t="shared" si="22"/>
        <v>25.158269055818987</v>
      </c>
      <c r="H96">
        <f t="shared" si="23"/>
        <v>268.31912630158882</v>
      </c>
      <c r="I96">
        <f t="shared" si="24"/>
        <v>-9.3481021805174684</v>
      </c>
      <c r="J96">
        <f t="shared" si="25"/>
        <v>-16.245759915742266</v>
      </c>
      <c r="K96">
        <f t="shared" si="26"/>
        <v>279.47201834929444</v>
      </c>
      <c r="L96">
        <f t="shared" si="28"/>
        <v>0</v>
      </c>
    </row>
    <row r="97" spans="1:12" x14ac:dyDescent="0.3">
      <c r="A97">
        <f t="shared" si="20"/>
        <v>9.0999999999999837</v>
      </c>
      <c r="B97">
        <f t="shared" si="18"/>
        <v>355.56532692523865</v>
      </c>
      <c r="C97">
        <f t="shared" si="19"/>
        <v>431.89041664172061</v>
      </c>
      <c r="F97">
        <f t="shared" si="21"/>
        <v>-0.75343165651755573</v>
      </c>
      <c r="G97">
        <f t="shared" si="22"/>
        <v>25.082925890167232</v>
      </c>
      <c r="H97">
        <f t="shared" si="23"/>
        <v>270.82741889060554</v>
      </c>
      <c r="I97">
        <f t="shared" si="24"/>
        <v>-9.3134772675517947</v>
      </c>
      <c r="J97">
        <f t="shared" si="25"/>
        <v>-17.177107642497443</v>
      </c>
      <c r="K97">
        <f t="shared" si="26"/>
        <v>277.75430758504473</v>
      </c>
      <c r="L97">
        <f t="shared" si="28"/>
        <v>0</v>
      </c>
    </row>
    <row r="98" spans="1:12" x14ac:dyDescent="0.3">
      <c r="A98">
        <f t="shared" si="20"/>
        <v>9.1999999999999833</v>
      </c>
      <c r="B98">
        <f t="shared" si="18"/>
        <v>359.47263821013138</v>
      </c>
      <c r="C98">
        <f t="shared" si="19"/>
        <v>432.12846517624496</v>
      </c>
      <c r="F98">
        <f t="shared" si="21"/>
        <v>-0.76254000579270287</v>
      </c>
      <c r="G98">
        <f t="shared" si="22"/>
        <v>25.006671889587963</v>
      </c>
      <c r="H98">
        <f t="shared" si="23"/>
        <v>273.32808607956434</v>
      </c>
      <c r="I98">
        <f t="shared" si="24"/>
        <v>-9.2778028760055253</v>
      </c>
      <c r="J98">
        <f t="shared" si="25"/>
        <v>-18.104887930097991</v>
      </c>
      <c r="K98">
        <f t="shared" si="26"/>
        <v>275.94381879203496</v>
      </c>
      <c r="L98">
        <f t="shared" si="28"/>
        <v>0</v>
      </c>
    </row>
    <row r="99" spans="1:12" x14ac:dyDescent="0.3">
      <c r="A99">
        <f t="shared" si="20"/>
        <v>9.2999999999999829</v>
      </c>
      <c r="B99">
        <f t="shared" si="18"/>
        <v>363.37994949502411</v>
      </c>
      <c r="C99">
        <f t="shared" si="19"/>
        <v>432.26851371076941</v>
      </c>
      <c r="F99">
        <f t="shared" si="21"/>
        <v>-0.77202226452446709</v>
      </c>
      <c r="G99">
        <f t="shared" si="22"/>
        <v>24.929469663135517</v>
      </c>
      <c r="H99">
        <f t="shared" si="23"/>
        <v>275.82103304587787</v>
      </c>
      <c r="I99">
        <f t="shared" si="24"/>
        <v>-9.2410541058614157</v>
      </c>
      <c r="J99">
        <f t="shared" si="25"/>
        <v>-19.028993340684128</v>
      </c>
      <c r="K99">
        <f t="shared" si="26"/>
        <v>274.04091945796654</v>
      </c>
      <c r="L99">
        <f t="shared" si="28"/>
        <v>0</v>
      </c>
    </row>
    <row r="100" spans="1:12" x14ac:dyDescent="0.3">
      <c r="A100">
        <f t="shared" si="20"/>
        <v>9.3999999999999826</v>
      </c>
      <c r="B100">
        <f t="shared" si="18"/>
        <v>367.28726077991683</v>
      </c>
      <c r="C100">
        <f t="shared" si="19"/>
        <v>432.31056224529385</v>
      </c>
      <c r="F100">
        <f t="shared" si="21"/>
        <v>-0.78184041274882343</v>
      </c>
      <c r="G100">
        <f t="shared" si="22"/>
        <v>24.851285621860637</v>
      </c>
      <c r="H100">
        <f t="shared" si="23"/>
        <v>278.30616160806392</v>
      </c>
      <c r="I100">
        <f t="shared" si="24"/>
        <v>-9.2032108902149901</v>
      </c>
      <c r="J100">
        <f t="shared" si="25"/>
        <v>-19.949314429705623</v>
      </c>
      <c r="K100">
        <f t="shared" si="26"/>
        <v>272.045988014996</v>
      </c>
      <c r="L100">
        <f t="shared" si="28"/>
        <v>0</v>
      </c>
    </row>
    <row r="101" spans="1:12" x14ac:dyDescent="0.3">
      <c r="A101">
        <f t="shared" si="20"/>
        <v>9.4999999999999822</v>
      </c>
      <c r="B101">
        <f t="shared" si="18"/>
        <v>371.19457206480956</v>
      </c>
      <c r="C101">
        <f t="shared" si="19"/>
        <v>432.25461077981828</v>
      </c>
      <c r="F101">
        <f t="shared" si="21"/>
        <v>-0.79195769742007938</v>
      </c>
      <c r="G101">
        <f t="shared" si="22"/>
        <v>24.772089852118629</v>
      </c>
      <c r="H101">
        <f t="shared" si="23"/>
        <v>280.78337059327578</v>
      </c>
      <c r="I101">
        <f t="shared" si="24"/>
        <v>-9.1642577144193673</v>
      </c>
      <c r="J101">
        <f t="shared" si="25"/>
        <v>-20.865740201147556</v>
      </c>
      <c r="K101">
        <f t="shared" si="26"/>
        <v>269.95941399488123</v>
      </c>
      <c r="L101">
        <f t="shared" si="28"/>
        <v>0</v>
      </c>
    </row>
    <row r="102" spans="1:12" x14ac:dyDescent="0.3">
      <c r="A102">
        <f t="shared" si="20"/>
        <v>9.5999999999999819</v>
      </c>
      <c r="B102">
        <f t="shared" si="18"/>
        <v>375.10188334970229</v>
      </c>
      <c r="C102">
        <f t="shared" si="19"/>
        <v>432.10065931434269</v>
      </c>
      <c r="F102">
        <f t="shared" si="21"/>
        <v>-0.80233871671578361</v>
      </c>
      <c r="G102">
        <f t="shared" si="22"/>
        <v>24.691855980447052</v>
      </c>
      <c r="H102">
        <f t="shared" si="23"/>
        <v>283.25255619132048</v>
      </c>
      <c r="I102">
        <f t="shared" si="24"/>
        <v>-9.124183332280225</v>
      </c>
      <c r="J102">
        <f t="shared" si="25"/>
        <v>-21.778158534375574</v>
      </c>
      <c r="K102">
        <f t="shared" si="26"/>
        <v>267.78159814144368</v>
      </c>
      <c r="L102">
        <f t="shared" si="28"/>
        <v>0</v>
      </c>
    </row>
    <row r="103" spans="1:12" x14ac:dyDescent="0.3">
      <c r="A103">
        <f t="shared" ref="A103:A134" si="29">A102+0.1</f>
        <v>9.6999999999999815</v>
      </c>
      <c r="B103">
        <f t="shared" si="18"/>
        <v>379.00919463459502</v>
      </c>
      <c r="C103">
        <f t="shared" si="19"/>
        <v>431.84870784886704</v>
      </c>
      <c r="F103">
        <f t="shared" ref="F103:F134" si="30">-1*$D$3*(G102^2+J102^2)^(1/2)*G102</f>
        <v>-0.81294947836437659</v>
      </c>
      <c r="G103">
        <f t="shared" ref="G103:G134" si="31">G102+F103*(A103-A102)</f>
        <v>24.610561032610615</v>
      </c>
      <c r="H103">
        <f t="shared" ref="H103:H134" si="32">H102+G103*(A103-A102)</f>
        <v>285.71361229458154</v>
      </c>
      <c r="I103">
        <f t="shared" ref="I103:I134" si="33">-9.8-($D$3*((G102^2+J102^2)^(1/2))*J102)</f>
        <v>-9.0829804841613715</v>
      </c>
      <c r="J103">
        <f t="shared" ref="J103:J134" si="34">J102+I103*(A103-A102)</f>
        <v>-22.68645658279171</v>
      </c>
      <c r="K103">
        <f t="shared" ref="K103:K134" si="35">K102+J103*(A103-A102)</f>
        <v>265.5129524831645</v>
      </c>
      <c r="L103">
        <f t="shared" si="28"/>
        <v>0</v>
      </c>
    </row>
    <row r="104" spans="1:12" x14ac:dyDescent="0.3">
      <c r="A104">
        <f t="shared" si="29"/>
        <v>9.7999999999999812</v>
      </c>
      <c r="B104">
        <f t="shared" si="18"/>
        <v>382.91650591948775</v>
      </c>
      <c r="C104">
        <f t="shared" si="19"/>
        <v>431.49875638339148</v>
      </c>
      <c r="F104">
        <f t="shared" si="30"/>
        <v>-0.82375743546512625</v>
      </c>
      <c r="G104">
        <f t="shared" si="31"/>
        <v>24.528185289064101</v>
      </c>
      <c r="H104">
        <f t="shared" si="32"/>
        <v>288.16643082348793</v>
      </c>
      <c r="I104">
        <f t="shared" si="33"/>
        <v>-9.0406456208101709</v>
      </c>
      <c r="J104">
        <f t="shared" si="34"/>
        <v>-23.590521144872724</v>
      </c>
      <c r="K104">
        <f t="shared" si="35"/>
        <v>263.15390036867723</v>
      </c>
      <c r="L104">
        <f t="shared" si="28"/>
        <v>0</v>
      </c>
    </row>
    <row r="105" spans="1:12" x14ac:dyDescent="0.3">
      <c r="A105">
        <f t="shared" si="29"/>
        <v>9.8999999999999808</v>
      </c>
      <c r="B105">
        <f t="shared" si="18"/>
        <v>386.82381720438048</v>
      </c>
      <c r="C105">
        <f t="shared" si="19"/>
        <v>431.05080491791591</v>
      </c>
      <c r="F105">
        <f t="shared" si="30"/>
        <v>-0.83473150316871003</v>
      </c>
      <c r="G105">
        <f t="shared" si="31"/>
        <v>24.444712138747231</v>
      </c>
      <c r="H105">
        <f t="shared" si="32"/>
        <v>290.61090203736262</v>
      </c>
      <c r="I105">
        <f t="shared" si="33"/>
        <v>-8.997178635772439</v>
      </c>
      <c r="J105">
        <f t="shared" si="34"/>
        <v>-24.490239008449965</v>
      </c>
      <c r="K105">
        <f t="shared" si="35"/>
        <v>260.70487646783226</v>
      </c>
      <c r="L105">
        <f t="shared" si="28"/>
        <v>0</v>
      </c>
    </row>
    <row r="106" spans="1:12" x14ac:dyDescent="0.3">
      <c r="A106">
        <f t="shared" si="29"/>
        <v>9.9999999999999805</v>
      </c>
      <c r="B106">
        <f t="shared" si="18"/>
        <v>390.7311284892732</v>
      </c>
      <c r="C106">
        <f t="shared" si="19"/>
        <v>430.50485345244044</v>
      </c>
      <c r="F106">
        <f t="shared" si="30"/>
        <v>-0.84584205938557055</v>
      </c>
      <c r="G106">
        <f t="shared" si="31"/>
        <v>24.360127932808673</v>
      </c>
      <c r="H106">
        <f t="shared" si="32"/>
        <v>293.04691483064346</v>
      </c>
      <c r="I106">
        <f t="shared" si="33"/>
        <v>-8.9525826084522766</v>
      </c>
      <c r="J106">
        <f t="shared" si="34"/>
        <v>-25.38549726929519</v>
      </c>
      <c r="K106">
        <f t="shared" si="35"/>
        <v>258.16632674090278</v>
      </c>
      <c r="L106">
        <f t="shared" si="28"/>
        <v>0</v>
      </c>
    </row>
    <row r="107" spans="1:12" x14ac:dyDescent="0.3">
      <c r="A107">
        <f t="shared" si="29"/>
        <v>10.09999999999998</v>
      </c>
      <c r="B107">
        <f t="shared" si="18"/>
        <v>394.63843977416593</v>
      </c>
      <c r="C107">
        <f t="shared" si="19"/>
        <v>429.86090198696473</v>
      </c>
      <c r="F107">
        <f t="shared" si="30"/>
        <v>-0.85706093242367298</v>
      </c>
      <c r="G107">
        <f t="shared" si="31"/>
        <v>24.274421839566305</v>
      </c>
      <c r="H107">
        <f t="shared" si="32"/>
        <v>295.47435701460006</v>
      </c>
      <c r="I107">
        <f t="shared" si="33"/>
        <v>-8.9068635591868919</v>
      </c>
      <c r="J107">
        <f t="shared" si="34"/>
        <v>-26.276183625213875</v>
      </c>
      <c r="K107">
        <f t="shared" si="35"/>
        <v>255.53870837838139</v>
      </c>
      <c r="L107">
        <f t="shared" si="28"/>
        <v>0</v>
      </c>
    </row>
    <row r="108" spans="1:12" x14ac:dyDescent="0.3">
      <c r="A108">
        <f t="shared" si="29"/>
        <v>10.19999999999998</v>
      </c>
      <c r="B108">
        <f t="shared" si="18"/>
        <v>398.5457510590586</v>
      </c>
      <c r="C108">
        <f t="shared" si="19"/>
        <v>429.11895052148918</v>
      </c>
      <c r="F108">
        <f t="shared" si="30"/>
        <v>-0.86836137815654857</v>
      </c>
      <c r="G108">
        <f t="shared" si="31"/>
        <v>24.187585701750649</v>
      </c>
      <c r="H108">
        <f t="shared" si="32"/>
        <v>297.8931155847751</v>
      </c>
      <c r="I108">
        <f t="shared" si="33"/>
        <v>-8.8600302171442813</v>
      </c>
      <c r="J108">
        <f t="shared" si="34"/>
        <v>-27.162186646928301</v>
      </c>
      <c r="K108">
        <f t="shared" si="35"/>
        <v>252.82248971368855</v>
      </c>
      <c r="L108">
        <f t="shared" si="28"/>
        <v>0</v>
      </c>
    </row>
    <row r="109" spans="1:12" x14ac:dyDescent="0.3">
      <c r="A109">
        <f t="shared" si="29"/>
        <v>10.299999999999979</v>
      </c>
      <c r="B109">
        <f t="shared" si="18"/>
        <v>402.45306234395133</v>
      </c>
      <c r="C109">
        <f t="shared" si="19"/>
        <v>428.27899905601362</v>
      </c>
      <c r="F109">
        <f t="shared" si="30"/>
        <v>-0.879718049008957</v>
      </c>
      <c r="G109">
        <f t="shared" si="31"/>
        <v>24.099613896849753</v>
      </c>
      <c r="H109">
        <f t="shared" si="32"/>
        <v>300.30307697446005</v>
      </c>
      <c r="I109">
        <f t="shared" si="33"/>
        <v>-8.8120938014031136</v>
      </c>
      <c r="J109">
        <f t="shared" si="34"/>
        <v>-28.04339602706861</v>
      </c>
      <c r="K109">
        <f t="shared" si="35"/>
        <v>250.01815011098171</v>
      </c>
      <c r="L109">
        <f t="shared" si="28"/>
        <v>0</v>
      </c>
    </row>
    <row r="110" spans="1:12" x14ac:dyDescent="0.3">
      <c r="A110">
        <f t="shared" si="29"/>
        <v>10.399999999999979</v>
      </c>
      <c r="B110">
        <f t="shared" si="18"/>
        <v>406.36037362884406</v>
      </c>
      <c r="C110">
        <f t="shared" si="19"/>
        <v>427.3410475905381</v>
      </c>
      <c r="F110">
        <f t="shared" si="30"/>
        <v>-0.89110695673769125</v>
      </c>
      <c r="G110">
        <f t="shared" si="31"/>
        <v>24.010503201175986</v>
      </c>
      <c r="H110">
        <f t="shared" si="32"/>
        <v>302.70412729457763</v>
      </c>
      <c r="I110">
        <f t="shared" si="33"/>
        <v>-8.7630678152259716</v>
      </c>
      <c r="J110">
        <f t="shared" si="34"/>
        <v>-28.919702808591204</v>
      </c>
      <c r="K110">
        <f t="shared" si="35"/>
        <v>247.1261798301226</v>
      </c>
      <c r="L110">
        <f t="shared" si="28"/>
        <v>0</v>
      </c>
    </row>
    <row r="111" spans="1:12" x14ac:dyDescent="0.3">
      <c r="A111">
        <f t="shared" si="29"/>
        <v>10.499999999999979</v>
      </c>
      <c r="B111">
        <f t="shared" si="18"/>
        <v>410.26768491373679</v>
      </c>
      <c r="C111">
        <f t="shared" si="19"/>
        <v>426.30509612506251</v>
      </c>
      <c r="F111">
        <f t="shared" si="30"/>
        <v>-0.90250543069035194</v>
      </c>
      <c r="G111">
        <f t="shared" si="31"/>
        <v>23.92025265810695</v>
      </c>
      <c r="H111">
        <f t="shared" si="32"/>
        <v>305.0961525603883</v>
      </c>
      <c r="I111">
        <f t="shared" si="33"/>
        <v>-8.7129678532757175</v>
      </c>
      <c r="J111">
        <f t="shared" si="34"/>
        <v>-29.790999593918773</v>
      </c>
      <c r="K111">
        <f t="shared" si="35"/>
        <v>244.14707987073072</v>
      </c>
      <c r="L111">
        <f t="shared" si="28"/>
        <v>0</v>
      </c>
    </row>
    <row r="112" spans="1:12" x14ac:dyDescent="0.3">
      <c r="A112">
        <f t="shared" si="29"/>
        <v>10.599999999999978</v>
      </c>
      <c r="B112">
        <f t="shared" si="18"/>
        <v>414.17499619862951</v>
      </c>
      <c r="C112">
        <f t="shared" si="19"/>
        <v>425.17114465958684</v>
      </c>
      <c r="F112">
        <f t="shared" si="30"/>
        <v>-0.91389207295270103</v>
      </c>
      <c r="G112">
        <f t="shared" si="31"/>
        <v>23.828863450811681</v>
      </c>
      <c r="H112">
        <f t="shared" si="32"/>
        <v>307.47903890546945</v>
      </c>
      <c r="I112">
        <f t="shared" si="33"/>
        <v>-8.6618114213357931</v>
      </c>
      <c r="J112">
        <f t="shared" si="34"/>
        <v>-30.65718073605235</v>
      </c>
      <c r="K112">
        <f t="shared" si="35"/>
        <v>241.08136179712551</v>
      </c>
      <c r="L112">
        <f t="shared" si="28"/>
        <v>0</v>
      </c>
    </row>
    <row r="113" spans="1:12" x14ac:dyDescent="0.3">
      <c r="A113">
        <f t="shared" si="29"/>
        <v>10.699999999999978</v>
      </c>
      <c r="B113">
        <f t="shared" si="18"/>
        <v>418.08230748352224</v>
      </c>
      <c r="C113">
        <f t="shared" si="19"/>
        <v>423.93919319411134</v>
      </c>
      <c r="F113">
        <f t="shared" si="30"/>
        <v>-0.92524671154947047</v>
      </c>
      <c r="G113">
        <f t="shared" si="31"/>
        <v>23.736338779656734</v>
      </c>
      <c r="H113">
        <f t="shared" si="32"/>
        <v>309.85267278343514</v>
      </c>
      <c r="I113">
        <f t="shared" si="33"/>
        <v>-8.609617767966018</v>
      </c>
      <c r="J113">
        <f t="shared" si="34"/>
        <v>-31.51814251284895</v>
      </c>
      <c r="K113">
        <f t="shared" si="35"/>
        <v>237.92954754584062</v>
      </c>
      <c r="L113">
        <f t="shared" si="28"/>
        <v>0</v>
      </c>
    </row>
    <row r="114" spans="1:12" x14ac:dyDescent="0.3">
      <c r="A114">
        <f t="shared" si="29"/>
        <v>10.799999999999978</v>
      </c>
      <c r="B114">
        <f t="shared" si="18"/>
        <v>421.98961876841497</v>
      </c>
      <c r="C114">
        <f t="shared" si="19"/>
        <v>422.60924172863577</v>
      </c>
      <c r="F114">
        <f t="shared" si="30"/>
        <v>-0.93655035264595732</v>
      </c>
      <c r="G114">
        <f t="shared" si="31"/>
        <v>23.642683744392137</v>
      </c>
      <c r="H114">
        <f t="shared" si="32"/>
        <v>312.21694115787432</v>
      </c>
      <c r="I114">
        <f t="shared" si="33"/>
        <v>-8.5564077274439256</v>
      </c>
      <c r="J114">
        <f t="shared" si="34"/>
        <v>-32.373783285593341</v>
      </c>
      <c r="K114">
        <f t="shared" si="35"/>
        <v>234.6921692172813</v>
      </c>
      <c r="L114">
        <f t="shared" si="28"/>
        <v>0</v>
      </c>
    </row>
    <row r="115" spans="1:12" x14ac:dyDescent="0.3">
      <c r="A115">
        <f t="shared" si="29"/>
        <v>10.899999999999977</v>
      </c>
      <c r="B115">
        <f t="shared" si="18"/>
        <v>425.8969300533077</v>
      </c>
      <c r="C115">
        <f t="shared" si="19"/>
        <v>421.18129026316024</v>
      </c>
      <c r="F115">
        <f t="shared" si="30"/>
        <v>-0.94778513250827667</v>
      </c>
      <c r="G115">
        <f t="shared" si="31"/>
        <v>23.547905231141311</v>
      </c>
      <c r="H115">
        <f t="shared" si="32"/>
        <v>314.57173168098842</v>
      </c>
      <c r="I115">
        <f t="shared" si="33"/>
        <v>-8.5022035732974626</v>
      </c>
      <c r="J115">
        <f t="shared" si="34"/>
        <v>-33.224003642923087</v>
      </c>
      <c r="K115">
        <f t="shared" si="35"/>
        <v>231.36976885298901</v>
      </c>
      <c r="L115">
        <f t="shared" si="28"/>
        <v>0</v>
      </c>
    </row>
    <row r="116" spans="1:12" x14ac:dyDescent="0.3">
      <c r="A116">
        <f t="shared" si="29"/>
        <v>10.999999999999977</v>
      </c>
      <c r="B116">
        <f t="shared" si="18"/>
        <v>429.80424133820043</v>
      </c>
      <c r="C116">
        <f t="shared" si="19"/>
        <v>419.65533879768464</v>
      </c>
      <c r="F116">
        <f t="shared" si="30"/>
        <v>-0.95893426981752627</v>
      </c>
      <c r="G116">
        <f t="shared" si="31"/>
        <v>23.452011804159557</v>
      </c>
      <c r="H116">
        <f t="shared" si="32"/>
        <v>316.91693286140435</v>
      </c>
      <c r="I116">
        <f t="shared" si="33"/>
        <v>-8.4470288817194668</v>
      </c>
      <c r="J116">
        <f t="shared" si="34"/>
        <v>-34.068706531095032</v>
      </c>
      <c r="K116">
        <f t="shared" si="35"/>
        <v>227.96289819987953</v>
      </c>
      <c r="L116">
        <f t="shared" si="28"/>
        <v>0</v>
      </c>
    </row>
    <row r="117" spans="1:12" x14ac:dyDescent="0.3">
      <c r="A117">
        <f t="shared" si="29"/>
        <v>11.099999999999977</v>
      </c>
      <c r="B117">
        <f t="shared" si="18"/>
        <v>433.71155262309316</v>
      </c>
      <c r="C117">
        <f t="shared" si="19"/>
        <v>418.03138733220896</v>
      </c>
      <c r="F117">
        <f t="shared" si="30"/>
        <v>-0.96998201879539836</v>
      </c>
      <c r="G117">
        <f t="shared" si="31"/>
        <v>23.355013602280017</v>
      </c>
      <c r="H117">
        <f t="shared" si="32"/>
        <v>319.25243422163231</v>
      </c>
      <c r="I117">
        <f t="shared" si="33"/>
        <v>-8.3909084041600934</v>
      </c>
      <c r="J117">
        <f t="shared" si="34"/>
        <v>-34.907797371511037</v>
      </c>
      <c r="K117">
        <f t="shared" si="35"/>
        <v>224.47211846272845</v>
      </c>
      <c r="L117">
        <f t="shared" si="28"/>
        <v>0</v>
      </c>
    </row>
    <row r="118" spans="1:12" x14ac:dyDescent="0.3">
      <c r="A118">
        <f t="shared" si="29"/>
        <v>11.199999999999976</v>
      </c>
      <c r="B118">
        <f t="shared" si="18"/>
        <v>437.61886390798588</v>
      </c>
      <c r="C118">
        <f t="shared" si="19"/>
        <v>416.30943586673357</v>
      </c>
      <c r="F118">
        <f t="shared" si="30"/>
        <v>-0.98091362348354816</v>
      </c>
      <c r="G118">
        <f t="shared" si="31"/>
        <v>23.256922239931662</v>
      </c>
      <c r="H118">
        <f t="shared" si="32"/>
        <v>321.57812644562546</v>
      </c>
      <c r="I118">
        <f t="shared" si="33"/>
        <v>-8.333867948414488</v>
      </c>
      <c r="J118">
        <f t="shared" si="34"/>
        <v>-35.741184166352483</v>
      </c>
      <c r="K118">
        <f t="shared" si="35"/>
        <v>220.89800004609322</v>
      </c>
      <c r="L118">
        <f t="shared" si="28"/>
        <v>0</v>
      </c>
    </row>
    <row r="119" spans="1:12" x14ac:dyDescent="0.3">
      <c r="A119">
        <f t="shared" si="29"/>
        <v>11.299999999999976</v>
      </c>
      <c r="B119">
        <f t="shared" si="18"/>
        <v>441.52617519287861</v>
      </c>
      <c r="C119">
        <f t="shared" si="19"/>
        <v>414.48948440125776</v>
      </c>
      <c r="F119">
        <f t="shared" si="30"/>
        <v>-0.99171527342378907</v>
      </c>
      <c r="G119">
        <f t="shared" si="31"/>
        <v>23.157750712589284</v>
      </c>
      <c r="H119">
        <f t="shared" si="32"/>
        <v>323.8939015168844</v>
      </c>
      <c r="I119">
        <f t="shared" si="33"/>
        <v>-8.2759342675547263</v>
      </c>
      <c r="J119">
        <f t="shared" si="34"/>
        <v>-36.568777593107953</v>
      </c>
      <c r="K119">
        <f t="shared" si="35"/>
        <v>217.24112228678243</v>
      </c>
      <c r="L119">
        <f t="shared" si="28"/>
        <v>0</v>
      </c>
    </row>
    <row r="120" spans="1:12" x14ac:dyDescent="0.3">
      <c r="A120">
        <f t="shared" si="29"/>
        <v>11.399999999999975</v>
      </c>
      <c r="B120">
        <f t="shared" si="18"/>
        <v>445.43348647777134</v>
      </c>
      <c r="C120">
        <f t="shared" si="19"/>
        <v>412.57153293578233</v>
      </c>
      <c r="F120">
        <f t="shared" si="30"/>
        <v>-1.0023740609083904</v>
      </c>
      <c r="G120">
        <f t="shared" si="31"/>
        <v>23.057513306498446</v>
      </c>
      <c r="H120">
        <f t="shared" si="32"/>
        <v>326.19965284753425</v>
      </c>
      <c r="I120">
        <f t="shared" si="33"/>
        <v>-8.2171349560934601</v>
      </c>
      <c r="J120">
        <f t="shared" si="34"/>
        <v>-37.390491088717297</v>
      </c>
      <c r="K120">
        <f t="shared" si="35"/>
        <v>213.50207317791072</v>
      </c>
      <c r="L120">
        <f t="shared" si="28"/>
        <v>0</v>
      </c>
    </row>
    <row r="121" spans="1:12" x14ac:dyDescent="0.3">
      <c r="A121">
        <f t="shared" si="29"/>
        <v>11.499999999999975</v>
      </c>
      <c r="B121">
        <f t="shared" si="18"/>
        <v>449.34079776266407</v>
      </c>
      <c r="C121">
        <f t="shared" si="19"/>
        <v>410.55558147030672</v>
      </c>
      <c r="F121">
        <f t="shared" si="30"/>
        <v>-1.0128779399069914</v>
      </c>
      <c r="G121">
        <f t="shared" si="31"/>
        <v>22.956225512507746</v>
      </c>
      <c r="H121">
        <f t="shared" si="32"/>
        <v>328.495275398785</v>
      </c>
      <c r="I121">
        <f t="shared" si="33"/>
        <v>-8.1574983528090605</v>
      </c>
      <c r="J121">
        <f t="shared" si="34"/>
        <v>-38.206240923998202</v>
      </c>
      <c r="K121">
        <f t="shared" si="35"/>
        <v>209.68144908551091</v>
      </c>
      <c r="L121">
        <f t="shared" si="28"/>
        <v>0</v>
      </c>
    </row>
    <row r="122" spans="1:12" x14ac:dyDescent="0.3">
      <c r="A122">
        <f t="shared" si="29"/>
        <v>11.599999999999975</v>
      </c>
      <c r="B122">
        <f t="shared" si="18"/>
        <v>453.2481090475568</v>
      </c>
      <c r="C122">
        <f t="shared" si="19"/>
        <v>408.44163000483127</v>
      </c>
      <c r="F122">
        <f t="shared" si="30"/>
        <v>-1.0232156867266999</v>
      </c>
      <c r="G122">
        <f t="shared" si="31"/>
        <v>22.853903943835078</v>
      </c>
      <c r="H122">
        <f t="shared" si="32"/>
        <v>330.78066579316851</v>
      </c>
      <c r="I122">
        <f t="shared" si="33"/>
        <v>-8.0970534497060704</v>
      </c>
      <c r="J122">
        <f t="shared" si="34"/>
        <v>-39.015946268968804</v>
      </c>
      <c r="K122">
        <f t="shared" si="35"/>
        <v>205.77985445861404</v>
      </c>
      <c r="L122">
        <f t="shared" si="28"/>
        <v>0</v>
      </c>
    </row>
    <row r="123" spans="1:12" x14ac:dyDescent="0.3">
      <c r="A123">
        <f t="shared" si="29"/>
        <v>11.699999999999974</v>
      </c>
      <c r="B123">
        <f t="shared" si="18"/>
        <v>457.15542033244952</v>
      </c>
      <c r="C123">
        <f t="shared" si="19"/>
        <v>406.22967853935575</v>
      </c>
      <c r="F123">
        <f t="shared" si="30"/>
        <v>-1.0333768624227562</v>
      </c>
      <c r="G123">
        <f t="shared" si="31"/>
        <v>22.750566257592801</v>
      </c>
      <c r="H123">
        <f t="shared" si="32"/>
        <v>333.05572241892776</v>
      </c>
      <c r="I123">
        <f t="shared" si="33"/>
        <v>-8.0358298066288238</v>
      </c>
      <c r="J123">
        <f t="shared" si="34"/>
        <v>-39.819529249631685</v>
      </c>
      <c r="K123">
        <f t="shared" si="35"/>
        <v>201.79790153365087</v>
      </c>
      <c r="L123">
        <f t="shared" si="28"/>
        <v>0</v>
      </c>
    </row>
    <row r="124" spans="1:12" x14ac:dyDescent="0.3">
      <c r="A124">
        <f t="shared" si="29"/>
        <v>11.799999999999974</v>
      </c>
      <c r="B124">
        <f t="shared" si="18"/>
        <v>461.06273161734225</v>
      </c>
      <c r="C124">
        <f t="shared" si="19"/>
        <v>403.91972707388015</v>
      </c>
      <c r="F124">
        <f t="shared" si="30"/>
        <v>-1.0433517769469722</v>
      </c>
      <c r="G124">
        <f t="shared" si="31"/>
        <v>22.646231079898104</v>
      </c>
      <c r="H124">
        <f t="shared" si="32"/>
        <v>335.32034552691755</v>
      </c>
      <c r="I124">
        <f t="shared" si="33"/>
        <v>-7.9738574710891159</v>
      </c>
      <c r="J124">
        <f t="shared" si="34"/>
        <v>-40.616914996740597</v>
      </c>
      <c r="K124">
        <f t="shared" si="35"/>
        <v>197.73621003397682</v>
      </c>
      <c r="L124">
        <f t="shared" si="28"/>
        <v>0</v>
      </c>
    </row>
    <row r="125" spans="1:12" x14ac:dyDescent="0.3">
      <c r="A125">
        <f t="shared" si="29"/>
        <v>11.899999999999974</v>
      </c>
      <c r="B125">
        <f t="shared" si="18"/>
        <v>464.97004290223498</v>
      </c>
      <c r="C125">
        <f t="shared" si="19"/>
        <v>401.51177560840449</v>
      </c>
      <c r="F125">
        <f t="shared" si="30"/>
        <v>-1.0531314549983988</v>
      </c>
      <c r="G125">
        <f t="shared" si="31"/>
        <v>22.540917934398266</v>
      </c>
      <c r="H125">
        <f t="shared" si="32"/>
        <v>337.57443732035739</v>
      </c>
      <c r="I125">
        <f t="shared" si="33"/>
        <v>-7.9111669029098257</v>
      </c>
      <c r="J125">
        <f t="shared" si="34"/>
        <v>-41.408031687031574</v>
      </c>
      <c r="K125">
        <f t="shared" si="35"/>
        <v>193.59540686527367</v>
      </c>
      <c r="L125">
        <f t="shared" si="28"/>
        <v>0</v>
      </c>
    </row>
    <row r="126" spans="1:12" x14ac:dyDescent="0.3">
      <c r="A126">
        <f t="shared" si="29"/>
        <v>11.999999999999973</v>
      </c>
      <c r="B126">
        <f t="shared" si="18"/>
        <v>468.87735418712771</v>
      </c>
      <c r="C126">
        <f t="shared" si="19"/>
        <v>399.00582414292899</v>
      </c>
      <c r="F126">
        <f t="shared" si="30"/>
        <v>-1.0627076035239995</v>
      </c>
      <c r="G126">
        <f t="shared" si="31"/>
        <v>22.434647174045868</v>
      </c>
      <c r="H126">
        <f t="shared" si="32"/>
        <v>339.817902037762</v>
      </c>
      <c r="I126">
        <f t="shared" si="33"/>
        <v>-7.8477889033250747</v>
      </c>
      <c r="J126">
        <f t="shared" si="34"/>
        <v>-42.192810577364078</v>
      </c>
      <c r="K126">
        <f t="shared" si="35"/>
        <v>189.37612580753728</v>
      </c>
      <c r="L126">
        <f t="shared" si="28"/>
        <v>0</v>
      </c>
    </row>
    <row r="127" spans="1:12" x14ac:dyDescent="0.3">
      <c r="A127">
        <f t="shared" si="29"/>
        <v>12.099999999999973</v>
      </c>
      <c r="B127">
        <f t="shared" si="18"/>
        <v>472.78466547202044</v>
      </c>
      <c r="C127">
        <f t="shared" si="19"/>
        <v>396.40187267745353</v>
      </c>
      <c r="F127">
        <f t="shared" si="30"/>
        <v>-1.072072580805369</v>
      </c>
      <c r="G127">
        <f t="shared" si="31"/>
        <v>22.327439915965332</v>
      </c>
      <c r="H127">
        <f t="shared" si="32"/>
        <v>342.05064602935852</v>
      </c>
      <c r="I127">
        <f t="shared" si="33"/>
        <v>-7.7837545482134143</v>
      </c>
      <c r="J127">
        <f t="shared" si="34"/>
        <v>-42.971186032185415</v>
      </c>
      <c r="K127">
        <f t="shared" si="35"/>
        <v>185.07900720431874</v>
      </c>
      <c r="L127">
        <f t="shared" si="28"/>
        <v>0</v>
      </c>
    </row>
    <row r="128" spans="1:12" x14ac:dyDescent="0.3">
      <c r="A128">
        <f t="shared" si="29"/>
        <v>12.199999999999973</v>
      </c>
      <c r="B128">
        <f t="shared" si="18"/>
        <v>476.69197675691316</v>
      </c>
      <c r="C128">
        <f t="shared" si="19"/>
        <v>393.69992121197799</v>
      </c>
      <c r="F128">
        <f t="shared" si="30"/>
        <v>-1.0812193670597365</v>
      </c>
      <c r="G128">
        <f t="shared" si="31"/>
        <v>22.219317979259358</v>
      </c>
      <c r="H128">
        <f t="shared" si="32"/>
        <v>344.27257782728447</v>
      </c>
      <c r="I128">
        <f t="shared" si="33"/>
        <v>-7.719095125173606</v>
      </c>
      <c r="J128">
        <f t="shared" si="34"/>
        <v>-43.743095544702776</v>
      </c>
      <c r="K128">
        <f t="shared" si="35"/>
        <v>180.70469764984847</v>
      </c>
      <c r="L128">
        <f t="shared" si="28"/>
        <v>0</v>
      </c>
    </row>
    <row r="129" spans="1:12" x14ac:dyDescent="0.3">
      <c r="A129">
        <f t="shared" si="29"/>
        <v>12.299999999999972</v>
      </c>
      <c r="B129">
        <f t="shared" si="18"/>
        <v>480.59928804180589</v>
      </c>
      <c r="C129">
        <f t="shared" si="19"/>
        <v>390.89996974650228</v>
      </c>
      <c r="F129">
        <f t="shared" si="30"/>
        <v>-1.0901415364788467</v>
      </c>
      <c r="G129">
        <f t="shared" si="31"/>
        <v>22.110303825611474</v>
      </c>
      <c r="H129">
        <f t="shared" si="32"/>
        <v>346.48360820984561</v>
      </c>
      <c r="I129">
        <f t="shared" si="33"/>
        <v>-7.6538420741826574</v>
      </c>
      <c r="J129">
        <f t="shared" si="34"/>
        <v>-44.50847975212104</v>
      </c>
      <c r="K129">
        <f t="shared" si="35"/>
        <v>176.25384967463637</v>
      </c>
      <c r="L129">
        <f t="shared" si="28"/>
        <v>0</v>
      </c>
    </row>
    <row r="130" spans="1:12" x14ac:dyDescent="0.3">
      <c r="A130">
        <f t="shared" si="29"/>
        <v>12.399999999999972</v>
      </c>
      <c r="B130">
        <f t="shared" si="18"/>
        <v>484.50659932669862</v>
      </c>
      <c r="C130">
        <f t="shared" si="19"/>
        <v>388.00201828102661</v>
      </c>
      <c r="F130">
        <f t="shared" si="30"/>
        <v>-1.09883323062712</v>
      </c>
      <c r="G130">
        <f t="shared" si="31"/>
        <v>22.000420502548764</v>
      </c>
      <c r="H130">
        <f t="shared" si="32"/>
        <v>348.68365026010048</v>
      </c>
      <c r="I130">
        <f t="shared" si="33"/>
        <v>-7.5880269316031281</v>
      </c>
      <c r="J130">
        <f t="shared" si="34"/>
        <v>-45.267282445281353</v>
      </c>
      <c r="K130">
        <f t="shared" si="35"/>
        <v>171.72712143010824</v>
      </c>
      <c r="L130">
        <f t="shared" si="28"/>
        <v>0</v>
      </c>
    </row>
    <row r="131" spans="1:12" x14ac:dyDescent="0.3">
      <c r="A131">
        <f t="shared" si="29"/>
        <v>12.499999999999972</v>
      </c>
      <c r="B131">
        <f t="shared" si="18"/>
        <v>488.41391061159129</v>
      </c>
      <c r="C131">
        <f t="shared" si="19"/>
        <v>385.00606681555109</v>
      </c>
      <c r="F131">
        <f t="shared" si="30"/>
        <v>-1.1072891331202055</v>
      </c>
      <c r="G131">
        <f t="shared" si="31"/>
        <v>21.889691589236744</v>
      </c>
      <c r="H131">
        <f t="shared" si="32"/>
        <v>350.87261941902415</v>
      </c>
      <c r="I131">
        <f t="shared" si="33"/>
        <v>-7.5216812773312141</v>
      </c>
      <c r="J131">
        <f t="shared" si="34"/>
        <v>-46.019450573014474</v>
      </c>
      <c r="K131">
        <f t="shared" si="35"/>
        <v>167.12517637280681</v>
      </c>
      <c r="L131">
        <f t="shared" si="28"/>
        <v>0</v>
      </c>
    </row>
    <row r="132" spans="1:12" x14ac:dyDescent="0.3">
      <c r="A132">
        <f t="shared" si="29"/>
        <v>12.599999999999971</v>
      </c>
      <c r="B132">
        <f t="shared" si="18"/>
        <v>492.32122189648402</v>
      </c>
      <c r="C132">
        <f t="shared" si="19"/>
        <v>381.91211535007551</v>
      </c>
      <c r="F132">
        <f t="shared" si="30"/>
        <v>-1.1155044455061944</v>
      </c>
      <c r="G132">
        <f t="shared" si="31"/>
        <v>21.778141144686124</v>
      </c>
      <c r="H132">
        <f t="shared" si="32"/>
        <v>353.05043353349276</v>
      </c>
      <c r="I132">
        <f t="shared" si="33"/>
        <v>-7.4548366848991234</v>
      </c>
      <c r="J132">
        <f t="shared" si="34"/>
        <v>-46.764934241504385</v>
      </c>
      <c r="K132">
        <f t="shared" si="35"/>
        <v>162.44868294865637</v>
      </c>
      <c r="L132">
        <f t="shared" si="28"/>
        <v>0</v>
      </c>
    </row>
    <row r="133" spans="1:12" x14ac:dyDescent="0.3">
      <c r="A133">
        <f t="shared" si="29"/>
        <v>12.699999999999971</v>
      </c>
      <c r="B133">
        <f t="shared" si="18"/>
        <v>496.22853318137675</v>
      </c>
      <c r="C133">
        <f t="shared" si="19"/>
        <v>378.72016388460008</v>
      </c>
      <c r="F133">
        <f t="shared" si="30"/>
        <v>-1.1234748642739896</v>
      </c>
      <c r="G133">
        <f t="shared" si="31"/>
        <v>21.665793658258725</v>
      </c>
      <c r="H133">
        <f t="shared" si="32"/>
        <v>355.2170128993186</v>
      </c>
      <c r="I133">
        <f t="shared" si="33"/>
        <v>-7.3875246743647924</v>
      </c>
      <c r="J133">
        <f t="shared" si="34"/>
        <v>-47.503686708940862</v>
      </c>
      <c r="K133">
        <f t="shared" si="35"/>
        <v>157.69831427776231</v>
      </c>
      <c r="L133">
        <f t="shared" si="28"/>
        <v>0</v>
      </c>
    </row>
    <row r="134" spans="1:12" x14ac:dyDescent="0.3">
      <c r="A134">
        <f t="shared" si="29"/>
        <v>12.799999999999971</v>
      </c>
      <c r="B134">
        <f t="shared" ref="B134:B197" si="36">D$2*COS(D$4*PI()/180)*A134</f>
        <v>500.13584446626948</v>
      </c>
      <c r="C134">
        <f t="shared" ref="C134:C197" si="37">D$2*SIN(D$4*PI()/180)*A134-(1/2)*9.8*A134^2</f>
        <v>375.43021241912459</v>
      </c>
      <c r="F134">
        <f t="shared" si="30"/>
        <v>-1.1311965589163202</v>
      </c>
      <c r="G134">
        <f t="shared" si="31"/>
        <v>21.552674002367095</v>
      </c>
      <c r="H134">
        <f t="shared" si="32"/>
        <v>357.37228029955531</v>
      </c>
      <c r="I134">
        <f t="shared" si="33"/>
        <v>-7.3197766678392906</v>
      </c>
      <c r="J134">
        <f t="shared" si="34"/>
        <v>-48.235664375724788</v>
      </c>
      <c r="K134">
        <f t="shared" si="35"/>
        <v>152.87474784018985</v>
      </c>
      <c r="L134">
        <f t="shared" si="28"/>
        <v>0</v>
      </c>
    </row>
    <row r="135" spans="1:12" x14ac:dyDescent="0.3">
      <c r="A135">
        <f t="shared" ref="A135:A166" si="38">A134+0.1</f>
        <v>12.89999999999997</v>
      </c>
      <c r="B135">
        <f t="shared" si="36"/>
        <v>504.0431557511622</v>
      </c>
      <c r="C135">
        <f t="shared" si="37"/>
        <v>372.04226095364902</v>
      </c>
      <c r="F135">
        <f t="shared" ref="F135:F166" si="39">-1*$D$3*(G134^2+J134^2)^(1/2)*G134</f>
        <v>-1.1386661509784211</v>
      </c>
      <c r="G135">
        <f t="shared" ref="G135:G166" si="40">G134+F135*(A135-A134)</f>
        <v>21.438807387269254</v>
      </c>
      <c r="H135">
        <f t="shared" ref="H135:H166" si="41">H134+G135*(A135-A134)</f>
        <v>359.51616103828223</v>
      </c>
      <c r="I135">
        <f t="shared" ref="I135:I166" si="42">-9.8-($D$3*((G134^2+J134^2)^(1/2))*J134)</f>
        <v>-7.2516239475175457</v>
      </c>
      <c r="J135">
        <f t="shared" ref="J135:J166" si="43">J134+I135*(A135-A134)</f>
        <v>-48.960826770476537</v>
      </c>
      <c r="K135">
        <f t="shared" ref="K135:K166" si="44">K134+J135*(A135-A134)</f>
        <v>147.97866516314221</v>
      </c>
      <c r="L135">
        <f t="shared" si="28"/>
        <v>0</v>
      </c>
    </row>
    <row r="136" spans="1:12" x14ac:dyDescent="0.3">
      <c r="A136">
        <f t="shared" si="38"/>
        <v>12.99999999999997</v>
      </c>
      <c r="B136">
        <f t="shared" si="36"/>
        <v>507.95046703605493</v>
      </c>
      <c r="C136">
        <f t="shared" si="37"/>
        <v>368.5563094881735</v>
      </c>
      <c r="F136">
        <f t="shared" si="39"/>
        <v>-1.1458806940272515</v>
      </c>
      <c r="G136">
        <f t="shared" si="40"/>
        <v>21.324219317866529</v>
      </c>
      <c r="H136">
        <f t="shared" si="41"/>
        <v>361.6485829700689</v>
      </c>
      <c r="I136">
        <f t="shared" si="42"/>
        <v>-7.1830976160914251</v>
      </c>
      <c r="J136">
        <f t="shared" si="43"/>
        <v>-49.679136532085678</v>
      </c>
      <c r="K136">
        <f t="shared" si="44"/>
        <v>143.01075150993367</v>
      </c>
      <c r="L136">
        <f t="shared" si="28"/>
        <v>0</v>
      </c>
    </row>
    <row r="137" spans="1:12" x14ac:dyDescent="0.3">
      <c r="A137">
        <f t="shared" si="38"/>
        <v>13.099999999999969</v>
      </c>
      <c r="B137">
        <f t="shared" si="36"/>
        <v>511.85777832094766</v>
      </c>
      <c r="C137">
        <f t="shared" si="37"/>
        <v>364.9723580226979</v>
      </c>
      <c r="F137">
        <f t="shared" si="39"/>
        <v>-1.1528376544801862</v>
      </c>
      <c r="G137">
        <f t="shared" si="40"/>
        <v>21.208935552418509</v>
      </c>
      <c r="H137">
        <f t="shared" si="41"/>
        <v>363.76947652531072</v>
      </c>
      <c r="I137">
        <f t="shared" si="42"/>
        <v>-7.1142285594359294</v>
      </c>
      <c r="J137">
        <f t="shared" si="43"/>
        <v>-50.390559388029267</v>
      </c>
      <c r="K137">
        <f t="shared" si="44"/>
        <v>137.97169557113077</v>
      </c>
      <c r="L137">
        <f t="shared" ref="L137:L200" si="45">IF(K137*K136&lt;=0,1,0)</f>
        <v>0</v>
      </c>
    </row>
    <row r="138" spans="1:12" x14ac:dyDescent="0.3">
      <c r="A138">
        <f t="shared" si="38"/>
        <v>13.199999999999969</v>
      </c>
      <c r="B138">
        <f t="shared" si="36"/>
        <v>515.76508960584044</v>
      </c>
      <c r="C138">
        <f t="shared" si="37"/>
        <v>361.29040655722213</v>
      </c>
      <c r="F138">
        <f t="shared" si="39"/>
        <v>-1.1595348932362288</v>
      </c>
      <c r="G138">
        <f t="shared" si="40"/>
        <v>21.092982063094887</v>
      </c>
      <c r="H138">
        <f t="shared" si="41"/>
        <v>365.87877473162018</v>
      </c>
      <c r="I138">
        <f t="shared" si="42"/>
        <v>-7.0450474114694801</v>
      </c>
      <c r="J138">
        <f t="shared" si="43"/>
        <v>-51.095064129176215</v>
      </c>
      <c r="K138">
        <f t="shared" si="44"/>
        <v>132.86218915821317</v>
      </c>
      <c r="L138">
        <f t="shared" si="45"/>
        <v>0</v>
      </c>
    </row>
    <row r="139" spans="1:12" x14ac:dyDescent="0.3">
      <c r="A139">
        <f t="shared" si="38"/>
        <v>13.299999999999969</v>
      </c>
      <c r="B139">
        <f t="shared" si="36"/>
        <v>519.67240089073312</v>
      </c>
      <c r="C139">
        <f t="shared" si="37"/>
        <v>357.51045509174662</v>
      </c>
      <c r="F139">
        <f t="shared" si="39"/>
        <v>-1.1659706480568981</v>
      </c>
      <c r="G139">
        <f t="shared" si="40"/>
        <v>20.976384998289198</v>
      </c>
      <c r="H139">
        <f t="shared" si="41"/>
        <v>367.9764132314491</v>
      </c>
      <c r="I139">
        <f t="shared" si="42"/>
        <v>-6.9755845210981473</v>
      </c>
      <c r="J139">
        <f t="shared" si="43"/>
        <v>-51.792622581286025</v>
      </c>
      <c r="K139">
        <f t="shared" si="44"/>
        <v>127.68292690008458</v>
      </c>
      <c r="L139">
        <f t="shared" si="45"/>
        <v>0</v>
      </c>
    </row>
    <row r="140" spans="1:12" x14ac:dyDescent="0.3">
      <c r="A140">
        <f t="shared" si="38"/>
        <v>13.399999999999968</v>
      </c>
      <c r="B140">
        <f t="shared" si="36"/>
        <v>523.5797121756259</v>
      </c>
      <c r="C140">
        <f t="shared" si="37"/>
        <v>353.63250362627116</v>
      </c>
      <c r="F140">
        <f t="shared" si="39"/>
        <v>-1.1721435166479566</v>
      </c>
      <c r="G140">
        <f t="shared" si="40"/>
        <v>20.859170646624403</v>
      </c>
      <c r="H140">
        <f t="shared" si="41"/>
        <v>370.06233029611155</v>
      </c>
      <c r="I140">
        <f t="shared" si="42"/>
        <v>-6.905869921161333</v>
      </c>
      <c r="J140">
        <f t="shared" si="43"/>
        <v>-52.483209573402156</v>
      </c>
      <c r="K140">
        <f t="shared" si="44"/>
        <v>122.43460594274438</v>
      </c>
      <c r="L140">
        <f t="shared" si="45"/>
        <v>0</v>
      </c>
    </row>
    <row r="141" spans="1:12" x14ac:dyDescent="0.3">
      <c r="A141">
        <f t="shared" si="38"/>
        <v>13.499999999999968</v>
      </c>
      <c r="B141">
        <f t="shared" si="36"/>
        <v>527.48702346051857</v>
      </c>
      <c r="C141">
        <f t="shared" si="37"/>
        <v>349.65655216079551</v>
      </c>
      <c r="F141">
        <f t="shared" si="39"/>
        <v>-1.1780524403970314</v>
      </c>
      <c r="G141">
        <f t="shared" si="40"/>
        <v>20.741365402584702</v>
      </c>
      <c r="H141">
        <f t="shared" si="41"/>
        <v>372.13646683637</v>
      </c>
      <c r="I141">
        <f t="shared" si="42"/>
        <v>-6.8359332993030222</v>
      </c>
      <c r="J141">
        <f t="shared" si="43"/>
        <v>-53.166802903332453</v>
      </c>
      <c r="K141">
        <f t="shared" si="44"/>
        <v>117.11792565241116</v>
      </c>
      <c r="L141">
        <f t="shared" si="45"/>
        <v>0</v>
      </c>
    </row>
    <row r="142" spans="1:12" x14ac:dyDescent="0.3">
      <c r="A142">
        <f t="shared" si="38"/>
        <v>13.599999999999968</v>
      </c>
      <c r="B142">
        <f t="shared" si="36"/>
        <v>531.39433474541124</v>
      </c>
      <c r="C142">
        <f t="shared" si="37"/>
        <v>345.58260069532002</v>
      </c>
      <c r="F142">
        <f t="shared" si="39"/>
        <v>-1.1836966887258871</v>
      </c>
      <c r="G142">
        <f t="shared" si="40"/>
        <v>20.622995733712113</v>
      </c>
      <c r="H142">
        <f t="shared" si="41"/>
        <v>374.19876640974121</v>
      </c>
      <c r="I142">
        <f t="shared" si="42"/>
        <v>-6.7658039706983804</v>
      </c>
      <c r="J142">
        <f t="shared" si="43"/>
        <v>-53.843383300402287</v>
      </c>
      <c r="K142">
        <f t="shared" si="44"/>
        <v>111.73358732237095</v>
      </c>
      <c r="L142">
        <f t="shared" si="45"/>
        <v>0</v>
      </c>
    </row>
    <row r="143" spans="1:12" x14ac:dyDescent="0.3">
      <c r="A143">
        <f t="shared" si="38"/>
        <v>13.699999999999967</v>
      </c>
      <c r="B143">
        <f t="shared" si="36"/>
        <v>535.30164603030403</v>
      </c>
      <c r="C143">
        <f t="shared" si="37"/>
        <v>341.41064922984447</v>
      </c>
      <c r="F143">
        <f t="shared" si="39"/>
        <v>-1.189075844019619</v>
      </c>
      <c r="G143">
        <f t="shared" si="40"/>
        <v>20.504088149310153</v>
      </c>
      <c r="H143">
        <f t="shared" si="41"/>
        <v>376.24917522467223</v>
      </c>
      <c r="I143">
        <f t="shared" si="42"/>
        <v>-6.6955108525703277</v>
      </c>
      <c r="J143">
        <f t="shared" si="43"/>
        <v>-54.512934385659321</v>
      </c>
      <c r="K143">
        <f t="shared" si="44"/>
        <v>106.28229388380504</v>
      </c>
      <c r="L143">
        <f t="shared" si="45"/>
        <v>0</v>
      </c>
    </row>
    <row r="144" spans="1:12" x14ac:dyDescent="0.3">
      <c r="A144">
        <f t="shared" si="38"/>
        <v>13.799999999999967</v>
      </c>
      <c r="B144">
        <f t="shared" si="36"/>
        <v>539.2089573151967</v>
      </c>
      <c r="C144">
        <f t="shared" si="37"/>
        <v>337.14069776436895</v>
      </c>
      <c r="F144">
        <f t="shared" si="39"/>
        <v>-1.1941897870983582</v>
      </c>
      <c r="G144">
        <f t="shared" si="40"/>
        <v>20.384669170600318</v>
      </c>
      <c r="H144">
        <f t="shared" si="41"/>
        <v>378.28764214173225</v>
      </c>
      <c r="I144">
        <f t="shared" si="42"/>
        <v>-6.625082440434813</v>
      </c>
      <c r="J144">
        <f t="shared" si="43"/>
        <v>-55.1754426297028</v>
      </c>
      <c r="K144">
        <f t="shared" si="44"/>
        <v>100.76474962083478</v>
      </c>
      <c r="L144">
        <f t="shared" si="45"/>
        <v>0</v>
      </c>
    </row>
    <row r="145" spans="1:12" x14ac:dyDescent="0.3">
      <c r="A145">
        <f t="shared" si="38"/>
        <v>13.899999999999967</v>
      </c>
      <c r="B145">
        <f t="shared" si="36"/>
        <v>543.11626860008948</v>
      </c>
      <c r="C145">
        <f t="shared" si="37"/>
        <v>332.77274629889348</v>
      </c>
      <c r="F145">
        <f t="shared" si="39"/>
        <v>-1.1990386832001505</v>
      </c>
      <c r="G145">
        <f t="shared" si="40"/>
        <v>20.264765302280303</v>
      </c>
      <c r="H145">
        <f t="shared" si="41"/>
        <v>380.31411867196027</v>
      </c>
      <c r="I145">
        <f t="shared" si="42"/>
        <v>-6.5545467860170348</v>
      </c>
      <c r="J145">
        <f t="shared" si="43"/>
        <v>-55.8308973083045</v>
      </c>
      <c r="K145">
        <f t="shared" si="44"/>
        <v>95.18165989000434</v>
      </c>
      <c r="L145">
        <f t="shared" si="45"/>
        <v>0</v>
      </c>
    </row>
    <row r="146" spans="1:12" x14ac:dyDescent="0.3">
      <c r="A146">
        <f t="shared" si="38"/>
        <v>13.999999999999966</v>
      </c>
      <c r="B146">
        <f t="shared" si="36"/>
        <v>547.02357988498215</v>
      </c>
      <c r="C146">
        <f t="shared" si="37"/>
        <v>328.30679483341794</v>
      </c>
      <c r="F146">
        <f t="shared" si="39"/>
        <v>-1.2036229684465527</v>
      </c>
      <c r="G146">
        <f t="shared" si="40"/>
        <v>20.144403005435649</v>
      </c>
      <c r="H146">
        <f t="shared" si="41"/>
        <v>382.32855897250386</v>
      </c>
      <c r="I146">
        <f t="shared" si="42"/>
        <v>-6.4839314767837717</v>
      </c>
      <c r="J146">
        <f t="shared" si="43"/>
        <v>-56.479290455982877</v>
      </c>
      <c r="K146">
        <f t="shared" si="44"/>
        <v>89.53373084440608</v>
      </c>
      <c r="L146">
        <f t="shared" si="45"/>
        <v>0</v>
      </c>
    </row>
    <row r="147" spans="1:12" x14ac:dyDescent="0.3">
      <c r="A147">
        <f t="shared" si="38"/>
        <v>14.099999999999966</v>
      </c>
      <c r="B147">
        <f t="shared" si="36"/>
        <v>550.93089116987494</v>
      </c>
      <c r="C147">
        <f t="shared" si="37"/>
        <v>323.74284336794221</v>
      </c>
      <c r="F147">
        <f t="shared" si="39"/>
        <v>-1.2079433367651466</v>
      </c>
      <c r="G147">
        <f t="shared" si="40"/>
        <v>20.023608671759135</v>
      </c>
      <c r="H147">
        <f t="shared" si="41"/>
        <v>384.33091983967978</v>
      </c>
      <c r="I147">
        <f t="shared" si="42"/>
        <v>-6.4132636170394957</v>
      </c>
      <c r="J147">
        <f t="shared" si="43"/>
        <v>-57.120616817686823</v>
      </c>
      <c r="K147">
        <f t="shared" si="44"/>
        <v>83.82166916263742</v>
      </c>
      <c r="L147">
        <f t="shared" si="45"/>
        <v>0</v>
      </c>
    </row>
    <row r="148" spans="1:12" x14ac:dyDescent="0.3">
      <c r="A148">
        <f t="shared" si="38"/>
        <v>14.199999999999966</v>
      </c>
      <c r="B148">
        <f t="shared" si="36"/>
        <v>554.83820245476761</v>
      </c>
      <c r="C148">
        <f t="shared" si="37"/>
        <v>319.08089190246665</v>
      </c>
      <c r="F148">
        <f t="shared" si="39"/>
        <v>-1.2120007272455984</v>
      </c>
      <c r="G148">
        <f t="shared" si="40"/>
        <v>19.902408599034576</v>
      </c>
      <c r="H148">
        <f t="shared" si="41"/>
        <v>386.32116069958323</v>
      </c>
      <c r="I148">
        <f t="shared" si="42"/>
        <v>-6.3425698105359807</v>
      </c>
      <c r="J148">
        <f t="shared" si="43"/>
        <v>-57.754873798740419</v>
      </c>
      <c r="K148">
        <f t="shared" si="44"/>
        <v>78.046181782763398</v>
      </c>
      <c r="L148">
        <f t="shared" si="45"/>
        <v>0</v>
      </c>
    </row>
    <row r="149" spans="1:12" x14ac:dyDescent="0.3">
      <c r="A149">
        <f t="shared" si="38"/>
        <v>14.299999999999965</v>
      </c>
      <c r="B149">
        <f t="shared" si="36"/>
        <v>558.7455137396604</v>
      </c>
      <c r="C149">
        <f t="shared" si="37"/>
        <v>314.32094043699112</v>
      </c>
      <c r="F149">
        <f t="shared" si="39"/>
        <v>-1.2157963119081414</v>
      </c>
      <c r="G149">
        <f t="shared" si="40"/>
        <v>19.780828967843764</v>
      </c>
      <c r="H149">
        <f t="shared" si="41"/>
        <v>388.2992435963676</v>
      </c>
      <c r="I149">
        <f t="shared" si="42"/>
        <v>-6.2718761445469031</v>
      </c>
      <c r="J149">
        <f t="shared" si="43"/>
        <v>-58.38206141319511</v>
      </c>
      <c r="K149">
        <f t="shared" si="44"/>
        <v>72.207975641443909</v>
      </c>
      <c r="L149">
        <f t="shared" si="45"/>
        <v>0</v>
      </c>
    </row>
    <row r="150" spans="1:12" x14ac:dyDescent="0.3">
      <c r="A150">
        <f t="shared" si="38"/>
        <v>14.399999999999965</v>
      </c>
      <c r="B150">
        <f t="shared" si="36"/>
        <v>562.65282502455307</v>
      </c>
      <c r="C150">
        <f t="shared" si="37"/>
        <v>309.46298897151564</v>
      </c>
      <c r="F150">
        <f t="shared" si="39"/>
        <v>-1.2193314838653937</v>
      </c>
      <c r="G150">
        <f t="shared" si="40"/>
        <v>19.658895819457225</v>
      </c>
      <c r="H150">
        <f t="shared" si="41"/>
        <v>390.26513317831331</v>
      </c>
      <c r="I150">
        <f t="shared" si="42"/>
        <v>-6.2012081753603283</v>
      </c>
      <c r="J150">
        <f t="shared" si="43"/>
        <v>-59.002182230731144</v>
      </c>
      <c r="K150">
        <f t="shared" si="44"/>
        <v>66.307757418370812</v>
      </c>
      <c r="L150">
        <f t="shared" si="45"/>
        <v>0</v>
      </c>
    </row>
    <row r="151" spans="1:12" x14ac:dyDescent="0.3">
      <c r="A151">
        <f t="shared" si="38"/>
        <v>14.499999999999964</v>
      </c>
      <c r="B151">
        <f t="shared" si="36"/>
        <v>566.56013630944585</v>
      </c>
      <c r="C151">
        <f t="shared" si="37"/>
        <v>304.50703750603998</v>
      </c>
      <c r="F151">
        <f t="shared" si="39"/>
        <v>-1.2226078458602727</v>
      </c>
      <c r="G151">
        <f t="shared" si="40"/>
        <v>19.5366350348712</v>
      </c>
      <c r="H151">
        <f t="shared" si="41"/>
        <v>392.21879668180043</v>
      </c>
      <c r="I151">
        <f t="shared" si="42"/>
        <v>-6.1305909151432125</v>
      </c>
      <c r="J151">
        <f t="shared" si="43"/>
        <v>-59.61524132224546</v>
      </c>
      <c r="K151">
        <f t="shared" si="44"/>
        <v>60.346233286146287</v>
      </c>
      <c r="L151">
        <f t="shared" si="45"/>
        <v>0</v>
      </c>
    </row>
    <row r="152" spans="1:12" x14ac:dyDescent="0.3">
      <c r="A152">
        <f t="shared" si="38"/>
        <v>14.599999999999964</v>
      </c>
      <c r="B152">
        <f t="shared" si="36"/>
        <v>570.46744759433852</v>
      </c>
      <c r="C152">
        <f t="shared" si="37"/>
        <v>299.45308604056459</v>
      </c>
      <c r="F152">
        <f t="shared" si="39"/>
        <v>-1.2256271991644545</v>
      </c>
      <c r="G152">
        <f t="shared" si="40"/>
        <v>19.414072314954755</v>
      </c>
      <c r="H152">
        <f t="shared" si="41"/>
        <v>394.1602039132959</v>
      </c>
      <c r="I152">
        <f t="shared" si="42"/>
        <v>-6.0600488201330398</v>
      </c>
      <c r="J152">
        <f t="shared" si="43"/>
        <v>-60.221246204258762</v>
      </c>
      <c r="K152">
        <f t="shared" si="44"/>
        <v>54.324108665720431</v>
      </c>
      <c r="L152">
        <f t="shared" si="45"/>
        <v>0</v>
      </c>
    </row>
    <row r="153" spans="1:12" x14ac:dyDescent="0.3">
      <c r="A153">
        <f t="shared" si="38"/>
        <v>14.699999999999964</v>
      </c>
      <c r="B153">
        <f t="shared" si="36"/>
        <v>574.37475887923131</v>
      </c>
      <c r="C153">
        <f t="shared" si="37"/>
        <v>294.30113457508901</v>
      </c>
      <c r="F153">
        <f t="shared" si="39"/>
        <v>-1.2283915328233295</v>
      </c>
      <c r="G153">
        <f t="shared" si="40"/>
        <v>19.291233161672423</v>
      </c>
      <c r="H153">
        <f t="shared" si="41"/>
        <v>396.08932722946315</v>
      </c>
      <c r="I153">
        <f t="shared" si="42"/>
        <v>-5.9896057801125524</v>
      </c>
      <c r="J153">
        <f t="shared" si="43"/>
        <v>-60.820206782270013</v>
      </c>
      <c r="K153">
        <f t="shared" si="44"/>
        <v>48.242087987493449</v>
      </c>
      <c r="L153">
        <f t="shared" si="45"/>
        <v>0</v>
      </c>
    </row>
    <row r="154" spans="1:12" x14ac:dyDescent="0.3">
      <c r="A154">
        <f t="shared" si="38"/>
        <v>14.799999999999963</v>
      </c>
      <c r="B154">
        <f t="shared" si="36"/>
        <v>578.28207016412398</v>
      </c>
      <c r="C154">
        <f t="shared" si="37"/>
        <v>289.05118310961348</v>
      </c>
      <c r="F154">
        <f t="shared" si="39"/>
        <v>-1.2309030132347747</v>
      </c>
      <c r="G154">
        <f t="shared" si="40"/>
        <v>19.168142860348947</v>
      </c>
      <c r="H154">
        <f t="shared" si="41"/>
        <v>398.00614151549803</v>
      </c>
      <c r="I154">
        <f t="shared" si="42"/>
        <v>-5.9192851091242513</v>
      </c>
      <c r="J154">
        <f t="shared" si="43"/>
        <v>-61.412135293182438</v>
      </c>
      <c r="K154">
        <f t="shared" si="44"/>
        <v>42.100874458175227</v>
      </c>
      <c r="L154">
        <f t="shared" si="45"/>
        <v>0</v>
      </c>
    </row>
    <row r="155" spans="1:12" x14ac:dyDescent="0.3">
      <c r="A155">
        <f t="shared" si="38"/>
        <v>14.899999999999963</v>
      </c>
      <c r="B155">
        <f t="shared" si="36"/>
        <v>582.18938144901676</v>
      </c>
      <c r="C155">
        <f t="shared" si="37"/>
        <v>283.70323164413799</v>
      </c>
      <c r="F155">
        <f t="shared" si="39"/>
        <v>-1.2331639740502687</v>
      </c>
      <c r="G155">
        <f t="shared" si="40"/>
        <v>19.04482646294392</v>
      </c>
      <c r="H155">
        <f t="shared" si="41"/>
        <v>399.91062416179244</v>
      </c>
      <c r="I155">
        <f t="shared" si="42"/>
        <v>-5.8491095373819144</v>
      </c>
      <c r="J155">
        <f t="shared" si="43"/>
        <v>-61.997046246920625</v>
      </c>
      <c r="K155">
        <f t="shared" si="44"/>
        <v>35.901169833483188</v>
      </c>
      <c r="L155">
        <f t="shared" si="45"/>
        <v>0</v>
      </c>
    </row>
    <row r="156" spans="1:12" x14ac:dyDescent="0.3">
      <c r="A156">
        <f t="shared" si="38"/>
        <v>14.999999999999963</v>
      </c>
      <c r="B156">
        <f t="shared" si="36"/>
        <v>586.09669273390944</v>
      </c>
      <c r="C156">
        <f t="shared" si="37"/>
        <v>278.25728017866254</v>
      </c>
      <c r="F156">
        <f t="shared" si="39"/>
        <v>-1.2351769063879692</v>
      </c>
      <c r="G156">
        <f t="shared" si="40"/>
        <v>18.921308772305125</v>
      </c>
      <c r="H156">
        <f t="shared" si="41"/>
        <v>401.80275503902294</v>
      </c>
      <c r="I156">
        <f t="shared" si="42"/>
        <v>-5.7791012043369365</v>
      </c>
      <c r="J156">
        <f t="shared" si="43"/>
        <v>-62.574956367354318</v>
      </c>
      <c r="K156">
        <f t="shared" si="44"/>
        <v>29.643674196747778</v>
      </c>
      <c r="L156">
        <f t="shared" si="45"/>
        <v>0</v>
      </c>
    </row>
    <row r="157" spans="1:12" x14ac:dyDescent="0.3">
      <c r="A157">
        <f t="shared" si="38"/>
        <v>15.099999999999962</v>
      </c>
      <c r="B157">
        <f t="shared" si="36"/>
        <v>590.00400401880222</v>
      </c>
      <c r="C157">
        <f t="shared" si="37"/>
        <v>272.71332871318668</v>
      </c>
      <c r="F157">
        <f t="shared" si="39"/>
        <v>-1.2369444493483321</v>
      </c>
      <c r="G157">
        <f t="shared" si="40"/>
        <v>18.79761432737029</v>
      </c>
      <c r="H157">
        <f t="shared" si="41"/>
        <v>403.68251647175998</v>
      </c>
      <c r="I157">
        <f t="shared" si="42"/>
        <v>-5.7092816528577073</v>
      </c>
      <c r="J157">
        <f t="shared" si="43"/>
        <v>-63.145884532640089</v>
      </c>
      <c r="K157">
        <f t="shared" si="44"/>
        <v>23.329085743483791</v>
      </c>
      <c r="L157">
        <f t="shared" si="45"/>
        <v>0</v>
      </c>
    </row>
    <row r="158" spans="1:12" x14ac:dyDescent="0.3">
      <c r="A158">
        <f t="shared" si="38"/>
        <v>15.199999999999962</v>
      </c>
      <c r="B158">
        <f t="shared" si="36"/>
        <v>593.91131530369489</v>
      </c>
      <c r="C158">
        <f t="shared" si="37"/>
        <v>267.0713772477111</v>
      </c>
      <c r="F158">
        <f t="shared" si="39"/>
        <v>-1.2384693808236968</v>
      </c>
      <c r="G158">
        <f t="shared" si="40"/>
        <v>18.673767389287921</v>
      </c>
      <c r="H158">
        <f t="shared" si="41"/>
        <v>405.54989321068877</v>
      </c>
      <c r="I158">
        <f t="shared" si="42"/>
        <v>-5.6396718244807253</v>
      </c>
      <c r="J158">
        <f t="shared" si="43"/>
        <v>-63.709851715088156</v>
      </c>
      <c r="K158">
        <f t="shared" si="44"/>
        <v>16.958100571974999</v>
      </c>
      <c r="L158">
        <f t="shared" si="45"/>
        <v>0</v>
      </c>
    </row>
    <row r="159" spans="1:12" x14ac:dyDescent="0.3">
      <c r="A159">
        <f t="shared" si="38"/>
        <v>15.299999999999962</v>
      </c>
      <c r="B159">
        <f t="shared" si="36"/>
        <v>597.81862658858768</v>
      </c>
      <c r="C159">
        <f t="shared" si="37"/>
        <v>261.33142578223556</v>
      </c>
      <c r="F159">
        <f t="shared" si="39"/>
        <v>-1.239754608594021</v>
      </c>
      <c r="G159">
        <f t="shared" si="40"/>
        <v>18.549791928428519</v>
      </c>
      <c r="H159">
        <f t="shared" si="41"/>
        <v>407.40487240353161</v>
      </c>
      <c r="I159">
        <f t="shared" si="42"/>
        <v>-5.570292055692458</v>
      </c>
      <c r="J159">
        <f t="shared" si="43"/>
        <v>-64.2668809206574</v>
      </c>
      <c r="K159">
        <f t="shared" si="44"/>
        <v>10.531412479909282</v>
      </c>
      <c r="L159">
        <f t="shared" si="45"/>
        <v>0</v>
      </c>
    </row>
    <row r="160" spans="1:12" x14ac:dyDescent="0.3">
      <c r="A160">
        <f t="shared" si="38"/>
        <v>15.399999999999961</v>
      </c>
      <c r="B160">
        <f t="shared" si="36"/>
        <v>601.72593787348035</v>
      </c>
      <c r="C160">
        <f t="shared" si="37"/>
        <v>255.49347431676028</v>
      </c>
      <c r="F160">
        <f t="shared" si="39"/>
        <v>-1.2408031617015975</v>
      </c>
      <c r="G160">
        <f t="shared" si="40"/>
        <v>18.425711612258361</v>
      </c>
      <c r="H160">
        <f t="shared" si="41"/>
        <v>409.24744356475742</v>
      </c>
      <c r="I160">
        <f t="shared" si="42"/>
        <v>-5.5011620752013846</v>
      </c>
      <c r="J160">
        <f t="shared" si="43"/>
        <v>-64.816997128177533</v>
      </c>
      <c r="K160">
        <f t="shared" si="44"/>
        <v>4.0497127670915516</v>
      </c>
      <c r="L160">
        <f t="shared" si="45"/>
        <v>0</v>
      </c>
    </row>
    <row r="161" spans="1:12" x14ac:dyDescent="0.3">
      <c r="A161">
        <f t="shared" si="38"/>
        <v>15.499999999999961</v>
      </c>
      <c r="B161">
        <f t="shared" si="36"/>
        <v>605.63324915837313</v>
      </c>
      <c r="C161">
        <f t="shared" si="37"/>
        <v>249.55752285128483</v>
      </c>
      <c r="F161">
        <f t="shared" si="39"/>
        <v>-1.2416181820981511</v>
      </c>
      <c r="G161">
        <f t="shared" si="40"/>
        <v>18.301549794048547</v>
      </c>
      <c r="H161">
        <f t="shared" si="41"/>
        <v>411.07759854416224</v>
      </c>
      <c r="I161">
        <f t="shared" si="42"/>
        <v>-5.4323010021600453</v>
      </c>
      <c r="J161">
        <f t="shared" si="43"/>
        <v>-65.360227228393541</v>
      </c>
      <c r="K161">
        <f t="shared" si="44"/>
        <v>-2.486309955747779</v>
      </c>
      <c r="L161">
        <f t="shared" si="45"/>
        <v>1</v>
      </c>
    </row>
    <row r="162" spans="1:12" x14ac:dyDescent="0.3">
      <c r="A162">
        <f t="shared" si="38"/>
        <v>15.599999999999961</v>
      </c>
      <c r="B162">
        <f t="shared" si="36"/>
        <v>609.5405604432658</v>
      </c>
      <c r="C162">
        <f t="shared" si="37"/>
        <v>243.52357138580919</v>
      </c>
      <c r="F162">
        <f t="shared" si="39"/>
        <v>-1.2422029165582258</v>
      </c>
      <c r="G162">
        <f t="shared" si="40"/>
        <v>18.177329502392727</v>
      </c>
      <c r="H162">
        <f t="shared" si="41"/>
        <v>412.89533149440149</v>
      </c>
      <c r="I162">
        <f t="shared" si="42"/>
        <v>-5.3637273452972236</v>
      </c>
      <c r="J162">
        <f t="shared" si="43"/>
        <v>-65.896599962923261</v>
      </c>
      <c r="K162">
        <f t="shared" si="44"/>
        <v>-9.0759699520400829</v>
      </c>
      <c r="L162">
        <f t="shared" si="45"/>
        <v>0</v>
      </c>
    </row>
    <row r="163" spans="1:12" x14ac:dyDescent="0.3">
      <c r="A163">
        <f t="shared" si="38"/>
        <v>15.69999999999996</v>
      </c>
      <c r="B163">
        <f t="shared" si="36"/>
        <v>613.44787172815859</v>
      </c>
      <c r="C163">
        <f t="shared" si="37"/>
        <v>237.3916199203336</v>
      </c>
      <c r="F163">
        <f t="shared" si="39"/>
        <v>-1.2425607088531743</v>
      </c>
      <c r="G163">
        <f t="shared" si="40"/>
        <v>18.053073431507411</v>
      </c>
      <c r="H163">
        <f t="shared" si="41"/>
        <v>414.70063883755222</v>
      </c>
      <c r="I163">
        <f t="shared" si="42"/>
        <v>-5.2954590029208726</v>
      </c>
      <c r="J163">
        <f t="shared" si="43"/>
        <v>-66.426145863215353</v>
      </c>
      <c r="K163">
        <f t="shared" si="44"/>
        <v>-15.718584538361593</v>
      </c>
      <c r="L163">
        <f t="shared" si="45"/>
        <v>0</v>
      </c>
    </row>
    <row r="164" spans="1:12" x14ac:dyDescent="0.3">
      <c r="A164">
        <f t="shared" si="38"/>
        <v>15.79999999999996</v>
      </c>
      <c r="B164">
        <f t="shared" si="36"/>
        <v>617.35518301305126</v>
      </c>
      <c r="C164">
        <f t="shared" si="37"/>
        <v>231.16166845485805</v>
      </c>
      <c r="F164">
        <f t="shared" si="39"/>
        <v>-1.2426949921804467</v>
      </c>
      <c r="G164">
        <f t="shared" si="40"/>
        <v>17.928803932289366</v>
      </c>
      <c r="H164">
        <f t="shared" si="41"/>
        <v>416.49351923078115</v>
      </c>
      <c r="I164">
        <f t="shared" si="42"/>
        <v>-5.2275132637527317</v>
      </c>
      <c r="J164">
        <f t="shared" si="43"/>
        <v>-66.948897189590625</v>
      </c>
      <c r="K164">
        <f t="shared" si="44"/>
        <v>-22.413474257320633</v>
      </c>
      <c r="L164">
        <f t="shared" si="45"/>
        <v>0</v>
      </c>
    </row>
    <row r="165" spans="1:12" x14ac:dyDescent="0.3">
      <c r="A165">
        <f t="shared" si="38"/>
        <v>15.899999999999959</v>
      </c>
      <c r="B165">
        <f t="shared" si="36"/>
        <v>621.26249429794393</v>
      </c>
      <c r="C165">
        <f t="shared" si="37"/>
        <v>224.83371698938254</v>
      </c>
      <c r="F165">
        <f t="shared" si="39"/>
        <v>-1.2426092818431616</v>
      </c>
      <c r="G165">
        <f t="shared" si="40"/>
        <v>17.804543004105049</v>
      </c>
      <c r="H165">
        <f t="shared" si="41"/>
        <v>418.27397353119164</v>
      </c>
      <c r="I165">
        <f t="shared" si="42"/>
        <v>-5.1599068085560811</v>
      </c>
      <c r="J165">
        <f t="shared" si="43"/>
        <v>-67.464887870446233</v>
      </c>
      <c r="K165">
        <f t="shared" si="44"/>
        <v>-29.159963044365234</v>
      </c>
      <c r="L165">
        <f t="shared" si="45"/>
        <v>0</v>
      </c>
    </row>
    <row r="166" spans="1:12" x14ac:dyDescent="0.3">
      <c r="A166">
        <f t="shared" si="38"/>
        <v>15.999999999999959</v>
      </c>
      <c r="B166">
        <f t="shared" si="36"/>
        <v>625.16980558283672</v>
      </c>
      <c r="C166">
        <f t="shared" si="37"/>
        <v>218.40776552390685</v>
      </c>
      <c r="F166">
        <f t="shared" si="39"/>
        <v>-1.2423071681752231</v>
      </c>
      <c r="G166">
        <f t="shared" si="40"/>
        <v>17.680312287287528</v>
      </c>
      <c r="H166">
        <f t="shared" si="41"/>
        <v>420.04200475992042</v>
      </c>
      <c r="I166">
        <f t="shared" si="42"/>
        <v>-5.0926557125184777</v>
      </c>
      <c r="J166">
        <f t="shared" si="43"/>
        <v>-67.974153441698078</v>
      </c>
      <c r="K166">
        <f t="shared" si="44"/>
        <v>-35.95737838853502</v>
      </c>
      <c r="L166">
        <f t="shared" si="45"/>
        <v>0</v>
      </c>
    </row>
    <row r="167" spans="1:12" x14ac:dyDescent="0.3">
      <c r="A167">
        <f t="shared" ref="A167:A198" si="46">A166+0.1</f>
        <v>16.099999999999959</v>
      </c>
      <c r="B167">
        <f t="shared" si="36"/>
        <v>629.07711686772939</v>
      </c>
      <c r="C167">
        <f t="shared" si="37"/>
        <v>211.88381405843143</v>
      </c>
      <c r="F167">
        <f t="shared" ref="F167:F198" si="47">-1*$D$3*(G166^2+J166^2)^(1/2)*G166</f>
        <v>-1.2417923097074379</v>
      </c>
      <c r="G167">
        <f t="shared" ref="G167:G198" si="48">G166+F167*(A167-A166)</f>
        <v>17.556133056316785</v>
      </c>
      <c r="H167">
        <f t="shared" ref="H167:H198" si="49">H166+G167*(A167-A166)</f>
        <v>421.79761806555211</v>
      </c>
      <c r="I167">
        <f t="shared" ref="I167:I198" si="50">-9.8-($D$3*((G166^2+J166^2)^(1/2))*J166)</f>
        <v>-5.0257754483518804</v>
      </c>
      <c r="J167">
        <f t="shared" ref="J167:J198" si="51">J166+I167*(A167-A166)</f>
        <v>-68.476730986533269</v>
      </c>
      <c r="K167">
        <f t="shared" ref="K167:K198" si="52">K166+J167*(A167-A166)</f>
        <v>-42.805051487188322</v>
      </c>
      <c r="L167">
        <f t="shared" si="45"/>
        <v>0</v>
      </c>
    </row>
    <row r="168" spans="1:12" x14ac:dyDescent="0.3">
      <c r="A168">
        <f t="shared" si="46"/>
        <v>16.19999999999996</v>
      </c>
      <c r="B168">
        <f t="shared" si="36"/>
        <v>632.98442815262229</v>
      </c>
      <c r="C168">
        <f t="shared" si="37"/>
        <v>205.26186259295582</v>
      </c>
      <c r="F168">
        <f t="shared" si="47"/>
        <v>-1.2410684265702774</v>
      </c>
      <c r="G168">
        <f t="shared" si="48"/>
        <v>17.432026213659757</v>
      </c>
      <c r="H168">
        <f t="shared" si="49"/>
        <v>423.5408206869181</v>
      </c>
      <c r="I168">
        <f t="shared" si="50"/>
        <v>-4.9592808900730443</v>
      </c>
      <c r="J168">
        <f t="shared" si="51"/>
        <v>-68.972659075540577</v>
      </c>
      <c r="K168">
        <f t="shared" si="52"/>
        <v>-49.702317394742479</v>
      </c>
      <c r="L168">
        <f t="shared" si="45"/>
        <v>0</v>
      </c>
    </row>
    <row r="169" spans="1:12" x14ac:dyDescent="0.3">
      <c r="A169">
        <f t="shared" si="46"/>
        <v>16.299999999999962</v>
      </c>
      <c r="B169">
        <f t="shared" si="36"/>
        <v>636.89173943751507</v>
      </c>
      <c r="C169">
        <f t="shared" si="37"/>
        <v>198.54191112748026</v>
      </c>
      <c r="F169">
        <f t="shared" si="47"/>
        <v>-1.2401392941290672</v>
      </c>
      <c r="G169">
        <f t="shared" si="48"/>
        <v>17.30801228424685</v>
      </c>
      <c r="H169">
        <f t="shared" si="49"/>
        <v>425.27162191534279</v>
      </c>
      <c r="I169">
        <f t="shared" si="50"/>
        <v>-4.8931863174276442</v>
      </c>
      <c r="J169">
        <f t="shared" si="51"/>
        <v>-69.461977707283353</v>
      </c>
      <c r="K169">
        <f t="shared" si="52"/>
        <v>-56.648515165470911</v>
      </c>
      <c r="L169">
        <f t="shared" si="45"/>
        <v>0</v>
      </c>
    </row>
    <row r="170" spans="1:12" x14ac:dyDescent="0.3">
      <c r="A170">
        <f t="shared" si="46"/>
        <v>16.399999999999963</v>
      </c>
      <c r="B170">
        <f t="shared" si="36"/>
        <v>640.79905072240786</v>
      </c>
      <c r="C170">
        <f t="shared" si="37"/>
        <v>191.72395966200452</v>
      </c>
      <c r="F170">
        <f t="shared" si="47"/>
        <v>-1.2390087368474874</v>
      </c>
      <c r="G170">
        <f t="shared" si="48"/>
        <v>17.1841114105621</v>
      </c>
      <c r="H170">
        <f t="shared" si="49"/>
        <v>426.990033056399</v>
      </c>
      <c r="I170">
        <f t="shared" si="50"/>
        <v>-4.8275054209221979</v>
      </c>
      <c r="J170">
        <f t="shared" si="51"/>
        <v>-69.944728249375586</v>
      </c>
      <c r="K170">
        <f t="shared" si="52"/>
        <v>-63.642987990408571</v>
      </c>
      <c r="L170">
        <f t="shared" si="45"/>
        <v>0</v>
      </c>
    </row>
    <row r="171" spans="1:12" x14ac:dyDescent="0.3">
      <c r="A171">
        <f t="shared" si="46"/>
        <v>16.499999999999964</v>
      </c>
      <c r="B171">
        <f t="shared" si="36"/>
        <v>644.70636200730064</v>
      </c>
      <c r="C171">
        <f t="shared" si="37"/>
        <v>184.80800819652904</v>
      </c>
      <c r="F171">
        <f t="shared" si="47"/>
        <v>-1.2376806223753656</v>
      </c>
      <c r="G171">
        <f t="shared" si="48"/>
        <v>17.060343348324562</v>
      </c>
      <c r="H171">
        <f t="shared" si="49"/>
        <v>428.69606739123145</v>
      </c>
      <c r="I171">
        <f t="shared" si="50"/>
        <v>-4.762251307428456</v>
      </c>
      <c r="J171">
        <f t="shared" si="51"/>
        <v>-70.420953380118434</v>
      </c>
      <c r="K171">
        <f t="shared" si="52"/>
        <v>-70.685083328420518</v>
      </c>
      <c r="L171">
        <f t="shared" si="45"/>
        <v>0</v>
      </c>
    </row>
    <row r="172" spans="1:12" x14ac:dyDescent="0.3">
      <c r="A172">
        <f t="shared" si="46"/>
        <v>16.599999999999966</v>
      </c>
      <c r="B172">
        <f t="shared" si="36"/>
        <v>648.61367329219343</v>
      </c>
      <c r="C172">
        <f t="shared" si="37"/>
        <v>177.79405673105316</v>
      </c>
      <c r="F172">
        <f t="shared" si="47"/>
        <v>-1.2361588558567931</v>
      </c>
      <c r="G172">
        <f t="shared" si="48"/>
        <v>16.93672746273888</v>
      </c>
      <c r="H172">
        <f t="shared" si="49"/>
        <v>430.38974013750538</v>
      </c>
      <c r="I172">
        <f t="shared" si="50"/>
        <v>-4.6974365063256025</v>
      </c>
      <c r="J172">
        <f t="shared" si="51"/>
        <v>-70.890697030750999</v>
      </c>
      <c r="K172">
        <f t="shared" si="52"/>
        <v>-77.774153031495715</v>
      </c>
      <c r="L172">
        <f t="shared" si="45"/>
        <v>0</v>
      </c>
    </row>
    <row r="173" spans="1:12" x14ac:dyDescent="0.3">
      <c r="A173">
        <f t="shared" si="46"/>
        <v>16.699999999999967</v>
      </c>
      <c r="B173">
        <f t="shared" si="36"/>
        <v>652.52098457708621</v>
      </c>
      <c r="C173">
        <f t="shared" si="37"/>
        <v>170.68210526557755</v>
      </c>
      <c r="F173">
        <f t="shared" si="47"/>
        <v>-1.2344473744546494</v>
      </c>
      <c r="G173">
        <f t="shared" si="48"/>
        <v>16.813282725293412</v>
      </c>
      <c r="H173">
        <f t="shared" si="49"/>
        <v>432.07106841003474</v>
      </c>
      <c r="I173">
        <f t="shared" si="50"/>
        <v>-4.6330729761463036</v>
      </c>
      <c r="J173">
        <f t="shared" si="51"/>
        <v>-71.354004328365633</v>
      </c>
      <c r="K173">
        <f t="shared" si="52"/>
        <v>-84.909553464332376</v>
      </c>
      <c r="L173">
        <f t="shared" si="45"/>
        <v>0</v>
      </c>
    </row>
    <row r="174" spans="1:12" x14ac:dyDescent="0.3">
      <c r="A174">
        <f t="shared" si="46"/>
        <v>16.799999999999969</v>
      </c>
      <c r="B174">
        <f t="shared" si="36"/>
        <v>656.428295861979</v>
      </c>
      <c r="C174">
        <f t="shared" si="37"/>
        <v>163.47215380010198</v>
      </c>
      <c r="F174">
        <f t="shared" si="47"/>
        <v>-1.2325501420876408</v>
      </c>
      <c r="G174">
        <f t="shared" si="48"/>
        <v>16.690027711084646</v>
      </c>
      <c r="H174">
        <f t="shared" si="49"/>
        <v>433.74007118114321</v>
      </c>
      <c r="I174">
        <f t="shared" si="50"/>
        <v>-4.5691721116933524</v>
      </c>
      <c r="J174">
        <f t="shared" si="51"/>
        <v>-71.810921539534974</v>
      </c>
      <c r="K174">
        <f t="shared" si="52"/>
        <v>-92.090645618285976</v>
      </c>
      <c r="L174">
        <f t="shared" si="45"/>
        <v>0</v>
      </c>
    </row>
    <row r="175" spans="1:12" x14ac:dyDescent="0.3">
      <c r="A175">
        <f t="shared" si="46"/>
        <v>16.89999999999997</v>
      </c>
      <c r="B175">
        <f t="shared" si="36"/>
        <v>660.33560714687178</v>
      </c>
      <c r="C175">
        <f t="shared" si="37"/>
        <v>156.164202334626</v>
      </c>
      <c r="F175">
        <f t="shared" si="47"/>
        <v>-1.2304711443759675</v>
      </c>
      <c r="G175">
        <f t="shared" si="48"/>
        <v>16.566980596647049</v>
      </c>
      <c r="H175">
        <f t="shared" si="49"/>
        <v>435.39676924080794</v>
      </c>
      <c r="I175">
        <f t="shared" si="50"/>
        <v>-4.5057447515944231</v>
      </c>
      <c r="J175">
        <f t="shared" si="51"/>
        <v>-72.261496014694416</v>
      </c>
      <c r="K175">
        <f t="shared" si="52"/>
        <v>-99.316795219755519</v>
      </c>
      <c r="L175">
        <f t="shared" si="45"/>
        <v>0</v>
      </c>
    </row>
    <row r="176" spans="1:12" x14ac:dyDescent="0.3">
      <c r="A176">
        <f t="shared" si="46"/>
        <v>16.999999999999972</v>
      </c>
      <c r="B176">
        <f t="shared" si="36"/>
        <v>664.24291843176456</v>
      </c>
      <c r="C176">
        <f t="shared" si="37"/>
        <v>148.75825086915052</v>
      </c>
      <c r="F176">
        <f t="shared" si="47"/>
        <v>-1.2282143837917525</v>
      </c>
      <c r="G176">
        <f t="shared" si="48"/>
        <v>16.444159158267873</v>
      </c>
      <c r="H176">
        <f t="shared" si="49"/>
        <v>437.04118515663475</v>
      </c>
      <c r="I176">
        <f t="shared" si="50"/>
        <v>-4.4428011862632051</v>
      </c>
      <c r="J176">
        <f t="shared" si="51"/>
        <v>-72.70577613332074</v>
      </c>
      <c r="K176">
        <f t="shared" si="52"/>
        <v>-106.5873728330877</v>
      </c>
      <c r="L176">
        <f t="shared" si="45"/>
        <v>0</v>
      </c>
    </row>
    <row r="177" spans="1:12" x14ac:dyDescent="0.3">
      <c r="A177">
        <f t="shared" si="46"/>
        <v>17.099999999999973</v>
      </c>
      <c r="B177">
        <f t="shared" si="36"/>
        <v>668.15022971665735</v>
      </c>
      <c r="C177">
        <f t="shared" si="37"/>
        <v>141.25429940367485</v>
      </c>
      <c r="F177">
        <f t="shared" si="47"/>
        <v>-1.2257838750103383</v>
      </c>
      <c r="G177">
        <f t="shared" si="48"/>
        <v>16.321580770766836</v>
      </c>
      <c r="H177">
        <f t="shared" si="49"/>
        <v>438.67334323371148</v>
      </c>
      <c r="I177">
        <f t="shared" si="50"/>
        <v>-4.3803511662360011</v>
      </c>
      <c r="J177">
        <f t="shared" si="51"/>
        <v>-73.143811249944349</v>
      </c>
      <c r="K177">
        <f t="shared" si="52"/>
        <v>-113.90175395808224</v>
      </c>
      <c r="L177">
        <f t="shared" si="45"/>
        <v>0</v>
      </c>
    </row>
    <row r="178" spans="1:12" x14ac:dyDescent="0.3">
      <c r="A178">
        <f t="shared" si="46"/>
        <v>17.199999999999974</v>
      </c>
      <c r="B178">
        <f t="shared" si="36"/>
        <v>672.05754100155013</v>
      </c>
      <c r="C178">
        <f t="shared" si="37"/>
        <v>133.652347938199</v>
      </c>
      <c r="F178">
        <f t="shared" si="47"/>
        <v>-1.2231836404585619</v>
      </c>
      <c r="G178">
        <f t="shared" si="48"/>
        <v>16.19926240672098</v>
      </c>
      <c r="H178">
        <f t="shared" si="49"/>
        <v>440.29326947438358</v>
      </c>
      <c r="I178">
        <f t="shared" si="50"/>
        <v>-4.3184039108537071</v>
      </c>
      <c r="J178">
        <f t="shared" si="51"/>
        <v>-73.575651641029722</v>
      </c>
      <c r="K178">
        <f t="shared" si="52"/>
        <v>-121.25931912218532</v>
      </c>
      <c r="L178">
        <f t="shared" si="45"/>
        <v>0</v>
      </c>
    </row>
    <row r="179" spans="1:12" x14ac:dyDescent="0.3">
      <c r="A179">
        <f t="shared" si="46"/>
        <v>17.299999999999976</v>
      </c>
      <c r="B179">
        <f t="shared" si="36"/>
        <v>675.96485228644292</v>
      </c>
      <c r="C179">
        <f t="shared" si="37"/>
        <v>125.95239647272342</v>
      </c>
      <c r="F179">
        <f t="shared" si="47"/>
        <v>-1.2204177060560923</v>
      </c>
      <c r="G179">
        <f t="shared" si="48"/>
        <v>16.077220636115367</v>
      </c>
      <c r="H179">
        <f t="shared" si="49"/>
        <v>441.90099153799514</v>
      </c>
      <c r="I179">
        <f t="shared" si="50"/>
        <v>-4.2569681172598912</v>
      </c>
      <c r="J179">
        <f t="shared" si="51"/>
        <v>-74.001348452755721</v>
      </c>
      <c r="K179">
        <f t="shared" si="52"/>
        <v>-128.65945396746099</v>
      </c>
      <c r="L179">
        <f t="shared" si="45"/>
        <v>0</v>
      </c>
    </row>
    <row r="180" spans="1:12" x14ac:dyDescent="0.3">
      <c r="A180">
        <f t="shared" si="46"/>
        <v>17.399999999999977</v>
      </c>
      <c r="B180">
        <f t="shared" si="36"/>
        <v>679.87216357133582</v>
      </c>
      <c r="C180">
        <f t="shared" si="37"/>
        <v>118.15444500724766</v>
      </c>
      <c r="F180">
        <f t="shared" si="47"/>
        <v>-1.21749009714589</v>
      </c>
      <c r="G180">
        <f t="shared" si="48"/>
        <v>15.955471626400776</v>
      </c>
      <c r="H180">
        <f t="shared" si="49"/>
        <v>443.49653870063526</v>
      </c>
      <c r="I180">
        <f t="shared" si="50"/>
        <v>-4.1960519696866161</v>
      </c>
      <c r="J180">
        <f t="shared" si="51"/>
        <v>-74.420953649724382</v>
      </c>
      <c r="K180">
        <f t="shared" si="52"/>
        <v>-136.10154933243354</v>
      </c>
      <c r="L180">
        <f t="shared" si="45"/>
        <v>0</v>
      </c>
    </row>
    <row r="181" spans="1:12" x14ac:dyDescent="0.3">
      <c r="A181">
        <f t="shared" si="46"/>
        <v>17.499999999999979</v>
      </c>
      <c r="B181">
        <f t="shared" si="36"/>
        <v>683.7794748562286</v>
      </c>
      <c r="C181">
        <f t="shared" si="37"/>
        <v>110.25849354177194</v>
      </c>
      <c r="F181">
        <f t="shared" si="47"/>
        <v>-1.2144048346098333</v>
      </c>
      <c r="G181">
        <f t="shared" si="48"/>
        <v>15.834031142939791</v>
      </c>
      <c r="H181">
        <f t="shared" si="49"/>
        <v>445.07994181492927</v>
      </c>
      <c r="I181">
        <f t="shared" si="50"/>
        <v>-4.135663149000453</v>
      </c>
      <c r="J181">
        <f t="shared" si="51"/>
        <v>-74.834519964624434</v>
      </c>
      <c r="K181">
        <f t="shared" si="52"/>
        <v>-143.58500132889608</v>
      </c>
      <c r="L181">
        <f t="shared" si="45"/>
        <v>0</v>
      </c>
    </row>
    <row r="182" spans="1:12" x14ac:dyDescent="0.3">
      <c r="A182">
        <f t="shared" si="46"/>
        <v>17.59999999999998</v>
      </c>
      <c r="B182">
        <f t="shared" si="36"/>
        <v>687.68678614112139</v>
      </c>
      <c r="C182">
        <f t="shared" si="37"/>
        <v>102.26454207629649</v>
      </c>
      <c r="F182">
        <f t="shared" si="47"/>
        <v>-1.2111659311655247</v>
      </c>
      <c r="G182">
        <f t="shared" si="48"/>
        <v>15.712914549823237</v>
      </c>
      <c r="H182">
        <f t="shared" si="49"/>
        <v>446.65123326991164</v>
      </c>
      <c r="I182">
        <f t="shared" si="50"/>
        <v>-4.0758088424820746</v>
      </c>
      <c r="J182">
        <f t="shared" si="51"/>
        <v>-75.242100848872653</v>
      </c>
      <c r="K182">
        <f t="shared" si="52"/>
        <v>-151.10921141378344</v>
      </c>
      <c r="L182">
        <f t="shared" si="45"/>
        <v>0</v>
      </c>
    </row>
    <row r="183" spans="1:12" x14ac:dyDescent="0.3">
      <c r="A183">
        <f t="shared" si="46"/>
        <v>17.699999999999982</v>
      </c>
      <c r="B183">
        <f t="shared" si="36"/>
        <v>691.59409742601417</v>
      </c>
      <c r="C183">
        <f t="shared" si="37"/>
        <v>94.172590610820635</v>
      </c>
      <c r="F183">
        <f t="shared" si="47"/>
        <v>-1.2077773878402656</v>
      </c>
      <c r="G183">
        <f t="shared" si="48"/>
        <v>15.592136811039209</v>
      </c>
      <c r="H183">
        <f t="shared" si="49"/>
        <v>448.21044695101557</v>
      </c>
      <c r="I183">
        <f t="shared" si="50"/>
        <v>-4.0164957538136976</v>
      </c>
      <c r="J183">
        <f t="shared" si="51"/>
        <v>-75.643750424254023</v>
      </c>
      <c r="K183">
        <f t="shared" si="52"/>
        <v>-158.67358645620894</v>
      </c>
      <c r="L183">
        <f t="shared" si="45"/>
        <v>0</v>
      </c>
    </row>
    <row r="184" spans="1:12" x14ac:dyDescent="0.3">
      <c r="A184">
        <f t="shared" si="46"/>
        <v>17.799999999999983</v>
      </c>
      <c r="B184">
        <f t="shared" si="36"/>
        <v>695.50140871090696</v>
      </c>
      <c r="C184">
        <f t="shared" si="37"/>
        <v>85.982639145345047</v>
      </c>
      <c r="F184">
        <f t="shared" si="47"/>
        <v>-1.2042431906181681</v>
      </c>
      <c r="G184">
        <f t="shared" si="48"/>
        <v>15.471712491977391</v>
      </c>
      <c r="H184">
        <f t="shared" si="49"/>
        <v>449.75761820021336</v>
      </c>
      <c r="I184">
        <f t="shared" si="50"/>
        <v>-3.957730113249518</v>
      </c>
      <c r="J184">
        <f t="shared" si="51"/>
        <v>-76.039523435578985</v>
      </c>
      <c r="K184">
        <f t="shared" si="52"/>
        <v>-166.27753879976694</v>
      </c>
      <c r="L184">
        <f t="shared" si="45"/>
        <v>0</v>
      </c>
    </row>
    <row r="185" spans="1:12" x14ac:dyDescent="0.3">
      <c r="A185">
        <f t="shared" si="46"/>
        <v>17.899999999999984</v>
      </c>
      <c r="B185">
        <f t="shared" si="36"/>
        <v>699.40871999579974</v>
      </c>
      <c r="C185">
        <f t="shared" si="37"/>
        <v>77.694687679869048</v>
      </c>
      <c r="F185">
        <f t="shared" si="47"/>
        <v>-1.2005673072563496</v>
      </c>
      <c r="G185">
        <f t="shared" si="48"/>
        <v>15.351655761251754</v>
      </c>
      <c r="H185">
        <f t="shared" si="49"/>
        <v>451.29278377633858</v>
      </c>
      <c r="I185">
        <f t="shared" si="50"/>
        <v>-3.8995176879452478</v>
      </c>
      <c r="J185">
        <f t="shared" si="51"/>
        <v>-76.429475204373517</v>
      </c>
      <c r="K185">
        <f t="shared" si="52"/>
        <v>-173.92048632020442</v>
      </c>
      <c r="L185">
        <f t="shared" si="45"/>
        <v>0</v>
      </c>
    </row>
    <row r="186" spans="1:12" x14ac:dyDescent="0.3">
      <c r="A186">
        <f t="shared" si="46"/>
        <v>17.999999999999986</v>
      </c>
      <c r="B186">
        <f t="shared" si="36"/>
        <v>703.31603128069253</v>
      </c>
      <c r="C186">
        <f t="shared" si="37"/>
        <v>69.308736214393548</v>
      </c>
      <c r="F186">
        <f t="shared" si="47"/>
        <v>-1.1967536842661295</v>
      </c>
      <c r="G186">
        <f t="shared" si="48"/>
        <v>15.23198039282514</v>
      </c>
      <c r="H186">
        <f t="shared" si="49"/>
        <v>452.81598181562111</v>
      </c>
      <c r="I186">
        <f t="shared" si="50"/>
        <v>-3.8418637924237391</v>
      </c>
      <c r="J186">
        <f t="shared" si="51"/>
        <v>-76.813661583615897</v>
      </c>
      <c r="K186">
        <f t="shared" si="52"/>
        <v>-181.60185247856612</v>
      </c>
      <c r="L186">
        <f t="shared" si="45"/>
        <v>0</v>
      </c>
    </row>
    <row r="187" spans="1:12" x14ac:dyDescent="0.3">
      <c r="A187">
        <f t="shared" si="46"/>
        <v>18.099999999999987</v>
      </c>
      <c r="B187">
        <f t="shared" si="36"/>
        <v>707.22334256558531</v>
      </c>
      <c r="C187">
        <f t="shared" si="37"/>
        <v>60.824784748917864</v>
      </c>
      <c r="F187">
        <f t="shared" si="47"/>
        <v>-1.1928062440551439</v>
      </c>
      <c r="G187">
        <f t="shared" si="48"/>
        <v>15.112699768419624</v>
      </c>
      <c r="H187">
        <f t="shared" si="49"/>
        <v>454.32725179246307</v>
      </c>
      <c r="I187">
        <f t="shared" si="50"/>
        <v>-3.7847732991545753</v>
      </c>
      <c r="J187">
        <f t="shared" si="51"/>
        <v>-77.192138913531366</v>
      </c>
      <c r="K187">
        <f t="shared" si="52"/>
        <v>-189.32106636991935</v>
      </c>
      <c r="L187">
        <f t="shared" si="45"/>
        <v>0</v>
      </c>
    </row>
    <row r="188" spans="1:12" x14ac:dyDescent="0.3">
      <c r="A188">
        <f t="shared" si="46"/>
        <v>18.199999999999989</v>
      </c>
      <c r="B188">
        <f t="shared" si="36"/>
        <v>711.1306538504781</v>
      </c>
      <c r="C188">
        <f t="shared" si="37"/>
        <v>52.242833283441996</v>
      </c>
      <c r="F188">
        <f t="shared" si="47"/>
        <v>-1.1887288822262709</v>
      </c>
      <c r="G188">
        <f t="shared" si="48"/>
        <v>14.993826880196995</v>
      </c>
      <c r="H188">
        <f t="shared" si="49"/>
        <v>455.82663448048277</v>
      </c>
      <c r="I188">
        <f t="shared" si="50"/>
        <v>-3.7282506492264682</v>
      </c>
      <c r="J188">
        <f t="shared" si="51"/>
        <v>-77.564963978454017</v>
      </c>
      <c r="K188">
        <f t="shared" si="52"/>
        <v>-197.07756276776487</v>
      </c>
      <c r="L188">
        <f t="shared" si="45"/>
        <v>0</v>
      </c>
    </row>
    <row r="189" spans="1:12" x14ac:dyDescent="0.3">
      <c r="A189">
        <f t="shared" si="46"/>
        <v>18.29999999999999</v>
      </c>
      <c r="B189">
        <f t="shared" si="36"/>
        <v>715.03796513537088</v>
      </c>
      <c r="C189">
        <f t="shared" si="37"/>
        <v>43.562881817966399</v>
      </c>
      <c r="F189">
        <f t="shared" si="47"/>
        <v>-1.184525465029246</v>
      </c>
      <c r="G189">
        <f t="shared" si="48"/>
        <v>14.875374333694069</v>
      </c>
      <c r="H189">
        <f t="shared" si="49"/>
        <v>457.31417191385219</v>
      </c>
      <c r="I189">
        <f t="shared" si="50"/>
        <v>-3.672299863092201</v>
      </c>
      <c r="J189">
        <f t="shared" si="51"/>
        <v>-77.932193964763243</v>
      </c>
      <c r="K189">
        <f t="shared" si="52"/>
        <v>-204.87078216424132</v>
      </c>
      <c r="L189">
        <f t="shared" si="45"/>
        <v>0</v>
      </c>
    </row>
    <row r="190" spans="1:12" x14ac:dyDescent="0.3">
      <c r="A190">
        <f t="shared" si="46"/>
        <v>18.399999999999991</v>
      </c>
      <c r="B190">
        <f t="shared" si="36"/>
        <v>718.94527642026367</v>
      </c>
      <c r="C190">
        <f t="shared" si="37"/>
        <v>34.784930352490846</v>
      </c>
      <c r="F190">
        <f t="shared" si="47"/>
        <v>-1.180199826960864</v>
      </c>
      <c r="G190">
        <f t="shared" si="48"/>
        <v>14.75735435099798</v>
      </c>
      <c r="H190">
        <f t="shared" si="49"/>
        <v>458.789907348952</v>
      </c>
      <c r="I190">
        <f t="shared" si="50"/>
        <v>-3.6169245513666777</v>
      </c>
      <c r="J190">
        <f t="shared" si="51"/>
        <v>-78.29388641989992</v>
      </c>
      <c r="K190">
        <f t="shared" si="52"/>
        <v>-212.70017080623143</v>
      </c>
      <c r="L190">
        <f t="shared" si="45"/>
        <v>0</v>
      </c>
    </row>
    <row r="191" spans="1:12" x14ac:dyDescent="0.3">
      <c r="A191">
        <f t="shared" si="46"/>
        <v>18.499999999999993</v>
      </c>
      <c r="B191">
        <f t="shared" si="36"/>
        <v>722.85258770515657</v>
      </c>
      <c r="C191">
        <f t="shared" si="37"/>
        <v>25.90897888701511</v>
      </c>
      <c r="F191">
        <f t="shared" si="47"/>
        <v>-1.1757557685096307</v>
      </c>
      <c r="G191">
        <f t="shared" si="48"/>
        <v>14.639778774147016</v>
      </c>
      <c r="H191">
        <f t="shared" si="49"/>
        <v>460.25388522636672</v>
      </c>
      <c r="I191">
        <f t="shared" si="50"/>
        <v>-3.562127925659663</v>
      </c>
      <c r="J191">
        <f t="shared" si="51"/>
        <v>-78.650099212465889</v>
      </c>
      <c r="K191">
        <f t="shared" si="52"/>
        <v>-220.56518072747812</v>
      </c>
      <c r="L191">
        <f t="shared" si="45"/>
        <v>0</v>
      </c>
    </row>
    <row r="192" spans="1:12" x14ac:dyDescent="0.3">
      <c r="A192">
        <f t="shared" si="46"/>
        <v>18.599999999999994</v>
      </c>
      <c r="B192">
        <f t="shared" si="36"/>
        <v>726.75989899004935</v>
      </c>
      <c r="C192">
        <f t="shared" si="37"/>
        <v>16.935027421539189</v>
      </c>
      <c r="F192">
        <f t="shared" si="47"/>
        <v>-1.1711970540407608</v>
      </c>
      <c r="G192">
        <f t="shared" si="48"/>
        <v>14.522659068742939</v>
      </c>
      <c r="H192">
        <f t="shared" si="49"/>
        <v>461.70615113324101</v>
      </c>
      <c r="I192">
        <f t="shared" si="50"/>
        <v>-3.5079128094255889</v>
      </c>
      <c r="J192">
        <f t="shared" si="51"/>
        <v>-79.000890493408448</v>
      </c>
      <c r="K192">
        <f t="shared" si="52"/>
        <v>-228.46526977681907</v>
      </c>
      <c r="L192">
        <f t="shared" si="45"/>
        <v>0</v>
      </c>
    </row>
    <row r="193" spans="1:12" x14ac:dyDescent="0.3">
      <c r="A193">
        <f t="shared" si="46"/>
        <v>18.699999999999996</v>
      </c>
      <c r="B193">
        <f t="shared" si="36"/>
        <v>730.66721027494214</v>
      </c>
      <c r="C193">
        <f t="shared" si="37"/>
        <v>7.8630759560635397</v>
      </c>
      <c r="F193">
        <f t="shared" si="47"/>
        <v>-1.1665274098174081</v>
      </c>
      <c r="G193">
        <f t="shared" si="48"/>
        <v>14.406006327761197</v>
      </c>
      <c r="H193">
        <f t="shared" si="49"/>
        <v>463.14675176601713</v>
      </c>
      <c r="I193">
        <f t="shared" si="50"/>
        <v>-3.4542816488136836</v>
      </c>
      <c r="J193">
        <f t="shared" si="51"/>
        <v>-79.346318658289817</v>
      </c>
      <c r="K193">
        <f t="shared" si="52"/>
        <v>-236.39990164264816</v>
      </c>
      <c r="L193">
        <f t="shared" si="45"/>
        <v>0</v>
      </c>
    </row>
    <row r="194" spans="1:12" x14ac:dyDescent="0.3">
      <c r="A194">
        <f t="shared" si="46"/>
        <v>18.799999999999997</v>
      </c>
      <c r="B194">
        <f t="shared" si="36"/>
        <v>734.57452155983492</v>
      </c>
      <c r="C194">
        <f t="shared" si="37"/>
        <v>-1.3068755094120661</v>
      </c>
      <c r="F194">
        <f t="shared" si="47"/>
        <v>-1.1617505221540367</v>
      </c>
      <c r="G194">
        <f t="shared" si="48"/>
        <v>14.289831275545792</v>
      </c>
      <c r="H194">
        <f t="shared" si="49"/>
        <v>464.57573489357173</v>
      </c>
      <c r="I194">
        <f t="shared" si="50"/>
        <v>-3.4012365235026003</v>
      </c>
      <c r="J194">
        <f t="shared" si="51"/>
        <v>-79.686442310640089</v>
      </c>
      <c r="K194">
        <f t="shared" si="52"/>
        <v>-244.36854587371229</v>
      </c>
      <c r="L194">
        <f t="shared" si="45"/>
        <v>0</v>
      </c>
    </row>
    <row r="195" spans="1:12" x14ac:dyDescent="0.3">
      <c r="A195">
        <f t="shared" si="46"/>
        <v>18.899999999999999</v>
      </c>
      <c r="B195">
        <f t="shared" si="36"/>
        <v>738.48183284472771</v>
      </c>
      <c r="C195">
        <f t="shared" si="37"/>
        <v>-10.574826974887628</v>
      </c>
      <c r="F195">
        <f t="shared" si="47"/>
        <v>-1.1568700356978532</v>
      </c>
      <c r="G195">
        <f t="shared" si="48"/>
        <v>14.174144271976004</v>
      </c>
      <c r="H195">
        <f t="shared" si="49"/>
        <v>465.99314932076936</v>
      </c>
      <c r="I195">
        <f t="shared" si="50"/>
        <v>-3.348779157504497</v>
      </c>
      <c r="J195">
        <f t="shared" si="51"/>
        <v>-80.021320226390543</v>
      </c>
      <c r="K195">
        <f t="shared" si="52"/>
        <v>-252.37067789635145</v>
      </c>
      <c r="L195">
        <f t="shared" si="45"/>
        <v>0</v>
      </c>
    </row>
    <row r="196" spans="1:12" x14ac:dyDescent="0.3">
      <c r="A196">
        <f t="shared" si="46"/>
        <v>19</v>
      </c>
      <c r="B196">
        <f t="shared" si="36"/>
        <v>742.38914412962049</v>
      </c>
      <c r="C196">
        <f t="shared" si="37"/>
        <v>-19.940778440363601</v>
      </c>
      <c r="F196">
        <f t="shared" si="47"/>
        <v>-1.1518895518342487</v>
      </c>
      <c r="G196">
        <f t="shared" si="48"/>
        <v>14.058955316792577</v>
      </c>
      <c r="H196">
        <f t="shared" si="49"/>
        <v>467.39904485244864</v>
      </c>
      <c r="I196">
        <f t="shared" si="50"/>
        <v>-3.2969109299243957</v>
      </c>
      <c r="J196">
        <f t="shared" si="51"/>
        <v>-80.351011319382991</v>
      </c>
      <c r="K196">
        <f t="shared" si="52"/>
        <v>-260.40577902828988</v>
      </c>
      <c r="L196">
        <f t="shared" si="45"/>
        <v>0</v>
      </c>
    </row>
    <row r="197" spans="1:12" x14ac:dyDescent="0.3">
      <c r="A197">
        <f t="shared" si="46"/>
        <v>19.100000000000001</v>
      </c>
      <c r="B197">
        <f t="shared" si="36"/>
        <v>746.29645541451328</v>
      </c>
      <c r="C197">
        <f t="shared" si="37"/>
        <v>-29.404729905839304</v>
      </c>
      <c r="F197">
        <f t="shared" si="47"/>
        <v>-1.1468126272122181</v>
      </c>
      <c r="G197">
        <f t="shared" si="48"/>
        <v>13.944274054071354</v>
      </c>
      <c r="H197">
        <f t="shared" si="49"/>
        <v>468.7934722578558</v>
      </c>
      <c r="I197">
        <f t="shared" si="50"/>
        <v>-3.2456328856614585</v>
      </c>
      <c r="J197">
        <f t="shared" si="51"/>
        <v>-80.675574607949144</v>
      </c>
      <c r="K197">
        <f t="shared" si="52"/>
        <v>-268.47333648908489</v>
      </c>
      <c r="L197">
        <f t="shared" si="45"/>
        <v>0</v>
      </c>
    </row>
    <row r="198" spans="1:12" x14ac:dyDescent="0.3">
      <c r="A198">
        <f t="shared" si="46"/>
        <v>19.200000000000003</v>
      </c>
      <c r="B198">
        <f t="shared" ref="B198:B206" si="53">D$2*COS(D$4*PI()/180)*A198</f>
        <v>750.20376669940606</v>
      </c>
      <c r="C198">
        <f t="shared" ref="C198:C206" si="54">D$2*SIN(D$4*PI()/180)*A198-(1/2)*9.8*A198^2</f>
        <v>-38.96668137131519</v>
      </c>
      <c r="F198">
        <f t="shared" si="47"/>
        <v>-1.1416427723857632</v>
      </c>
      <c r="G198">
        <f t="shared" si="48"/>
        <v>13.830109776832776</v>
      </c>
      <c r="H198">
        <f t="shared" si="49"/>
        <v>470.17648323553908</v>
      </c>
      <c r="I198">
        <f t="shared" si="50"/>
        <v>-3.1949457460396067</v>
      </c>
      <c r="J198">
        <f t="shared" si="51"/>
        <v>-80.995069182553109</v>
      </c>
      <c r="K198">
        <f t="shared" si="52"/>
        <v>-276.57284340734032</v>
      </c>
      <c r="L198">
        <f t="shared" si="45"/>
        <v>0</v>
      </c>
    </row>
    <row r="199" spans="1:12" x14ac:dyDescent="0.3">
      <c r="A199">
        <f t="shared" ref="A199:A206" si="55">A198+0.1</f>
        <v>19.300000000000004</v>
      </c>
      <c r="B199">
        <f t="shared" si="53"/>
        <v>754.11107798429884</v>
      </c>
      <c r="C199">
        <f t="shared" si="54"/>
        <v>-48.626632836790805</v>
      </c>
      <c r="F199">
        <f t="shared" ref="F199:F206" si="56">-1*$D$3*(G198^2+J198^2)^(1/2)*G198</f>
        <v>-1.1363834505673187</v>
      </c>
      <c r="G199">
        <f t="shared" ref="G199:G206" si="57">G198+F199*(A199-A198)</f>
        <v>13.716471431776043</v>
      </c>
      <c r="H199">
        <f t="shared" ref="H199:H206" si="58">H198+G199*(A199-A198)</f>
        <v>471.54813037871668</v>
      </c>
      <c r="I199">
        <f t="shared" ref="I199:I206" si="59">-9.8-($D$3*((G198^2+J198^2)^(1/2))*J198)</f>
        <v>-3.1448499193556838</v>
      </c>
      <c r="J199">
        <f t="shared" ref="J199:J206" si="60">J198+I199*(A199-A198)</f>
        <v>-81.309554174488682</v>
      </c>
      <c r="K199">
        <f t="shared" ref="K199:K206" si="61">K198+J199*(A199-A198)</f>
        <v>-284.70379882478932</v>
      </c>
      <c r="L199">
        <f t="shared" si="45"/>
        <v>0</v>
      </c>
    </row>
    <row r="200" spans="1:12" x14ac:dyDescent="0.3">
      <c r="A200">
        <f t="shared" si="55"/>
        <v>19.400000000000006</v>
      </c>
      <c r="B200">
        <f t="shared" si="53"/>
        <v>758.01838926919163</v>
      </c>
      <c r="C200">
        <f t="shared" si="54"/>
        <v>-58.384584302266603</v>
      </c>
      <c r="F200">
        <f t="shared" si="56"/>
        <v>-1.1310380764892745</v>
      </c>
      <c r="G200">
        <f t="shared" si="57"/>
        <v>13.603367624127113</v>
      </c>
      <c r="H200">
        <f t="shared" si="58"/>
        <v>472.90846714112939</v>
      </c>
      <c r="I200">
        <f t="shared" si="59"/>
        <v>-3.0953455113341519</v>
      </c>
      <c r="J200">
        <f t="shared" si="60"/>
        <v>-81.619088725622106</v>
      </c>
      <c r="K200">
        <f t="shared" si="61"/>
        <v>-292.86570769735164</v>
      </c>
      <c r="L200">
        <f t="shared" si="45"/>
        <v>0</v>
      </c>
    </row>
    <row r="201" spans="1:12" x14ac:dyDescent="0.3">
      <c r="A201">
        <f t="shared" si="55"/>
        <v>19.500000000000007</v>
      </c>
      <c r="B201">
        <f t="shared" si="53"/>
        <v>761.92570055408441</v>
      </c>
      <c r="C201">
        <f t="shared" si="54"/>
        <v>-68.240535767742358</v>
      </c>
      <c r="F201">
        <f t="shared" si="56"/>
        <v>-1.1256100153697186</v>
      </c>
      <c r="G201">
        <f t="shared" si="57"/>
        <v>13.49080662259014</v>
      </c>
      <c r="H201">
        <f t="shared" si="58"/>
        <v>474.25754780338843</v>
      </c>
      <c r="I201">
        <f t="shared" si="59"/>
        <v>-3.0464323354780314</v>
      </c>
      <c r="J201">
        <f t="shared" si="60"/>
        <v>-81.923731959169913</v>
      </c>
      <c r="K201">
        <f t="shared" si="61"/>
        <v>-301.05808089326877</v>
      </c>
      <c r="L201">
        <f t="shared" ref="L201:L206" si="62">IF(K201*K200&lt;=0,1,0)</f>
        <v>0</v>
      </c>
    </row>
    <row r="202" spans="1:12" x14ac:dyDescent="0.3">
      <c r="A202">
        <f t="shared" si="55"/>
        <v>19.600000000000009</v>
      </c>
      <c r="B202">
        <f t="shared" si="53"/>
        <v>765.83301183897731</v>
      </c>
      <c r="C202">
        <f t="shared" si="54"/>
        <v>-78.194487233217842</v>
      </c>
      <c r="F202">
        <f t="shared" si="56"/>
        <v>-1.1201025819785746</v>
      </c>
      <c r="G202">
        <f t="shared" si="57"/>
        <v>13.378796364392281</v>
      </c>
      <c r="H202">
        <f t="shared" si="58"/>
        <v>475.59542743982769</v>
      </c>
      <c r="I202">
        <f t="shared" si="59"/>
        <v>-2.9981099233064965</v>
      </c>
      <c r="J202">
        <f t="shared" si="60"/>
        <v>-82.223542951500562</v>
      </c>
      <c r="K202">
        <f t="shared" si="61"/>
        <v>-309.28043518841895</v>
      </c>
      <c r="L202">
        <f t="shared" si="62"/>
        <v>0</v>
      </c>
    </row>
    <row r="203" spans="1:12" x14ac:dyDescent="0.3">
      <c r="A203">
        <f t="shared" si="55"/>
        <v>19.70000000000001</v>
      </c>
      <c r="B203">
        <f t="shared" si="53"/>
        <v>769.7403231238701</v>
      </c>
      <c r="C203">
        <f t="shared" si="54"/>
        <v>-88.246438698693737</v>
      </c>
      <c r="F203">
        <f t="shared" si="56"/>
        <v>-1.1145190398003413</v>
      </c>
      <c r="G203">
        <f t="shared" si="57"/>
        <v>13.267344460412245</v>
      </c>
      <c r="H203">
        <f t="shared" si="58"/>
        <v>476.92216188586895</v>
      </c>
      <c r="I203">
        <f t="shared" si="59"/>
        <v>-2.9503775344702952</v>
      </c>
      <c r="J203">
        <f t="shared" si="60"/>
        <v>-82.518580704947595</v>
      </c>
      <c r="K203">
        <f t="shared" si="61"/>
        <v>-317.5322932589138</v>
      </c>
      <c r="L203">
        <f t="shared" si="62"/>
        <v>0</v>
      </c>
    </row>
    <row r="204" spans="1:12" x14ac:dyDescent="0.3">
      <c r="A204">
        <f t="shared" si="55"/>
        <v>19.800000000000011</v>
      </c>
      <c r="B204">
        <f t="shared" si="53"/>
        <v>773.64763440876288</v>
      </c>
      <c r="C204">
        <f t="shared" si="54"/>
        <v>-98.396390164169588</v>
      </c>
      <c r="F204">
        <f t="shared" si="56"/>
        <v>-1.1088626002897217</v>
      </c>
      <c r="G204">
        <f t="shared" si="57"/>
        <v>13.156458200383272</v>
      </c>
      <c r="H204">
        <f t="shared" si="58"/>
        <v>478.2378077059073</v>
      </c>
      <c r="I204">
        <f t="shared" si="59"/>
        <v>-2.9032341667367643</v>
      </c>
      <c r="J204">
        <f t="shared" si="60"/>
        <v>-82.808904121621282</v>
      </c>
      <c r="K204">
        <f t="shared" si="61"/>
        <v>-325.81318367107605</v>
      </c>
      <c r="L204">
        <f t="shared" si="62"/>
        <v>0</v>
      </c>
    </row>
    <row r="205" spans="1:12" x14ac:dyDescent="0.3">
      <c r="A205">
        <f t="shared" si="55"/>
        <v>19.900000000000013</v>
      </c>
      <c r="B205">
        <f t="shared" si="53"/>
        <v>777.55494569365567</v>
      </c>
      <c r="C205">
        <f t="shared" si="54"/>
        <v>-108.64434162964517</v>
      </c>
      <c r="F205">
        <f t="shared" si="56"/>
        <v>-1.103136422216463</v>
      </c>
      <c r="G205">
        <f t="shared" si="57"/>
        <v>13.046144558161624</v>
      </c>
      <c r="H205">
        <f t="shared" si="58"/>
        <v>479.54242216172349</v>
      </c>
      <c r="I205">
        <f t="shared" si="59"/>
        <v>-2.8566785658369485</v>
      </c>
      <c r="J205">
        <f t="shared" si="60"/>
        <v>-83.094571978204982</v>
      </c>
      <c r="K205">
        <f t="shared" si="61"/>
        <v>-334.12264086889667</v>
      </c>
      <c r="L205">
        <f t="shared" si="62"/>
        <v>0</v>
      </c>
    </row>
    <row r="206" spans="1:12" x14ac:dyDescent="0.3">
      <c r="A206">
        <f t="shared" si="55"/>
        <v>20.000000000000014</v>
      </c>
      <c r="B206">
        <f t="shared" si="53"/>
        <v>781.46225697854845</v>
      </c>
      <c r="C206">
        <f t="shared" si="54"/>
        <v>-118.99029309512116</v>
      </c>
      <c r="F206">
        <f t="shared" si="56"/>
        <v>-1.0973436110958048</v>
      </c>
      <c r="G206">
        <f t="shared" si="57"/>
        <v>12.936410197052041</v>
      </c>
      <c r="H206">
        <f t="shared" si="58"/>
        <v>480.8360631814287</v>
      </c>
      <c r="I206">
        <f t="shared" si="59"/>
        <v>-2.8107092351678906</v>
      </c>
      <c r="J206">
        <f t="shared" si="60"/>
        <v>-83.375642901721776</v>
      </c>
      <c r="K206">
        <f t="shared" si="61"/>
        <v>-342.46020515906895</v>
      </c>
      <c r="L206">
        <f t="shared" si="62"/>
        <v>0</v>
      </c>
    </row>
  </sheetData>
  <phoneticPr fontId="1" type="noConversion"/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4B0-D197-475B-BD27-14D6FBF51FDC}">
  <sheetPr codeName="Sheet4"/>
  <dimension ref="A1:AG408"/>
  <sheetViews>
    <sheetView topLeftCell="A152" zoomScale="66" workbookViewId="0">
      <selection activeCell="B184" sqref="B184"/>
    </sheetView>
  </sheetViews>
  <sheetFormatPr defaultRowHeight="16.5" x14ac:dyDescent="0.3"/>
  <cols>
    <col min="1" max="1" width="9.25" bestFit="1" customWidth="1"/>
    <col min="2" max="2" width="13.625" bestFit="1" customWidth="1"/>
    <col min="4" max="4" width="9.25" bestFit="1" customWidth="1"/>
    <col min="5" max="5" width="10.125" bestFit="1" customWidth="1"/>
    <col min="8" max="8" width="9.25" bestFit="1" customWidth="1"/>
    <col min="9" max="10" width="10.125" bestFit="1" customWidth="1"/>
    <col min="12" max="12" width="9.25" bestFit="1" customWidth="1"/>
    <col min="13" max="33" width="16.75" bestFit="1" customWidth="1"/>
  </cols>
  <sheetData>
    <row r="1" spans="1:33" x14ac:dyDescent="0.3">
      <c r="A1" t="s">
        <v>27</v>
      </c>
      <c r="E1" t="s">
        <v>29</v>
      </c>
      <c r="F1" s="11" t="s">
        <v>30</v>
      </c>
      <c r="H1" t="s">
        <v>67</v>
      </c>
    </row>
    <row r="2" spans="1:33" x14ac:dyDescent="0.3">
      <c r="A2" t="s">
        <v>31</v>
      </c>
      <c r="E2" t="s">
        <v>28</v>
      </c>
    </row>
    <row r="3" spans="1:33" x14ac:dyDescent="0.3">
      <c r="A3" t="s">
        <v>40</v>
      </c>
      <c r="D3" s="1" t="s">
        <v>89</v>
      </c>
      <c r="E3" s="1">
        <v>4</v>
      </c>
      <c r="M3" t="s">
        <v>90</v>
      </c>
    </row>
    <row r="5" spans="1:33" x14ac:dyDescent="0.3">
      <c r="A5" t="s">
        <v>29</v>
      </c>
    </row>
    <row r="6" spans="1:33" x14ac:dyDescent="0.3">
      <c r="A6" t="s">
        <v>33</v>
      </c>
      <c r="B6" t="s">
        <v>34</v>
      </c>
      <c r="D6" t="s">
        <v>35</v>
      </c>
      <c r="E6" t="s">
        <v>36</v>
      </c>
      <c r="H6" t="s">
        <v>35</v>
      </c>
      <c r="I6" t="s">
        <v>37</v>
      </c>
      <c r="J6" t="s">
        <v>38</v>
      </c>
      <c r="L6" t="s">
        <v>32</v>
      </c>
      <c r="M6" t="s">
        <v>68</v>
      </c>
      <c r="N6" t="s">
        <v>69</v>
      </c>
      <c r="O6" t="s">
        <v>70</v>
      </c>
      <c r="P6" t="s">
        <v>71</v>
      </c>
      <c r="Q6" t="s">
        <v>72</v>
      </c>
      <c r="R6" t="s">
        <v>73</v>
      </c>
      <c r="S6" t="s">
        <v>74</v>
      </c>
      <c r="T6" t="s">
        <v>75</v>
      </c>
      <c r="U6" t="s">
        <v>76</v>
      </c>
      <c r="V6" t="s">
        <v>77</v>
      </c>
      <c r="W6" t="s">
        <v>78</v>
      </c>
      <c r="X6" t="s">
        <v>79</v>
      </c>
      <c r="Y6" t="s">
        <v>80</v>
      </c>
      <c r="Z6" t="s">
        <v>81</v>
      </c>
      <c r="AA6" t="s">
        <v>82</v>
      </c>
      <c r="AB6" t="s">
        <v>83</v>
      </c>
      <c r="AC6" t="s">
        <v>84</v>
      </c>
      <c r="AD6" t="s">
        <v>85</v>
      </c>
      <c r="AE6" t="s">
        <v>86</v>
      </c>
      <c r="AF6" t="s">
        <v>87</v>
      </c>
      <c r="AG6" t="s">
        <v>88</v>
      </c>
    </row>
    <row r="7" spans="1:33" x14ac:dyDescent="0.3">
      <c r="A7">
        <v>0</v>
      </c>
      <c r="B7">
        <f>$E$3*A7*(1-A7)</f>
        <v>0</v>
      </c>
      <c r="D7">
        <v>0</v>
      </c>
      <c r="E7" s="1">
        <v>0.1</v>
      </c>
      <c r="F7" s="1" t="s">
        <v>39</v>
      </c>
      <c r="H7">
        <v>0</v>
      </c>
      <c r="I7">
        <f>$E$7</f>
        <v>0.1</v>
      </c>
      <c r="J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">
      <c r="A8">
        <f>A7+0.01</f>
        <v>0.01</v>
      </c>
      <c r="B8">
        <f t="shared" ref="B8:B71" si="0">$E$3*A8*(1-A8)</f>
        <v>3.9600000000000003E-2</v>
      </c>
      <c r="D8">
        <f>D7+1</f>
        <v>1</v>
      </c>
      <c r="E8">
        <f>$E$3*E7*(1-E7)</f>
        <v>0.36000000000000004</v>
      </c>
      <c r="H8">
        <v>0</v>
      </c>
      <c r="I8">
        <f>$E$7</f>
        <v>0.1</v>
      </c>
      <c r="J8">
        <f>$E$3*I8*(1-I8)</f>
        <v>0.36000000000000004</v>
      </c>
      <c r="L8">
        <v>0.01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 x14ac:dyDescent="0.3">
      <c r="A9">
        <f t="shared" ref="A9:A72" si="1">A8+0.01</f>
        <v>0.02</v>
      </c>
      <c r="B9">
        <f t="shared" si="0"/>
        <v>7.8399999999999997E-2</v>
      </c>
      <c r="D9">
        <f t="shared" ref="D9:D72" si="2">D8+1</f>
        <v>2</v>
      </c>
      <c r="E9">
        <f t="shared" ref="E9:E72" si="3">$E$3*E8*(1-E8)</f>
        <v>0.92159999999999997</v>
      </c>
      <c r="H9">
        <f>H7+1</f>
        <v>1</v>
      </c>
      <c r="I9">
        <f>J8</f>
        <v>0.36000000000000004</v>
      </c>
      <c r="J9">
        <f>I9</f>
        <v>0.36000000000000004</v>
      </c>
      <c r="L9">
        <v>0.02</v>
      </c>
      <c r="M9">
        <v>1.3767128601306757E-307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 x14ac:dyDescent="0.3">
      <c r="A10">
        <f t="shared" si="1"/>
        <v>0.03</v>
      </c>
      <c r="B10">
        <f t="shared" si="0"/>
        <v>0.11639999999999999</v>
      </c>
      <c r="D10">
        <f t="shared" si="2"/>
        <v>3</v>
      </c>
      <c r="E10">
        <f t="shared" si="3"/>
        <v>0.28901376000000006</v>
      </c>
      <c r="H10">
        <f>H7+1</f>
        <v>1</v>
      </c>
      <c r="I10">
        <f>J8</f>
        <v>0.36000000000000004</v>
      </c>
      <c r="J10">
        <f>$E$3*I10*(1-I10)</f>
        <v>0.92159999999999997</v>
      </c>
      <c r="L10">
        <v>0.03</v>
      </c>
      <c r="M10">
        <v>6.83688081057472E-276</v>
      </c>
      <c r="N10">
        <v>2.051064243172416E-277</v>
      </c>
      <c r="O10">
        <v>6.1531927295172474E-279</v>
      </c>
      <c r="P10">
        <v>1.8459578188551743E-280</v>
      </c>
      <c r="Q10">
        <v>5.5378734565655228E-282</v>
      </c>
      <c r="R10">
        <v>1.6613620369696567E-283</v>
      </c>
      <c r="S10">
        <v>4.9840861109089701E-285</v>
      </c>
      <c r="T10">
        <v>1.4952258332726909E-286</v>
      </c>
      <c r="U10">
        <v>4.4856774998180724E-288</v>
      </c>
      <c r="V10">
        <v>1.3457032499454218E-289</v>
      </c>
      <c r="W10">
        <v>4.0371097498362653E-291</v>
      </c>
      <c r="X10">
        <v>1.2111329249508796E-292</v>
      </c>
      <c r="Y10">
        <v>3.6333987748526391E-294</v>
      </c>
      <c r="Z10">
        <v>1.0900196324557917E-295</v>
      </c>
      <c r="AA10">
        <v>3.2700588973673745E-297</v>
      </c>
      <c r="AB10">
        <v>9.8101766921021238E-299</v>
      </c>
      <c r="AC10">
        <v>2.9430530076306369E-300</v>
      </c>
      <c r="AD10">
        <v>8.8291590228919104E-302</v>
      </c>
      <c r="AE10">
        <v>2.6487477068675732E-303</v>
      </c>
      <c r="AF10">
        <v>7.9462431206027188E-305</v>
      </c>
      <c r="AG10">
        <v>2.3838729361808155E-306</v>
      </c>
    </row>
    <row r="11" spans="1:33" x14ac:dyDescent="0.3">
      <c r="A11">
        <f t="shared" si="1"/>
        <v>0.04</v>
      </c>
      <c r="B11">
        <f t="shared" si="0"/>
        <v>0.15359999999999999</v>
      </c>
      <c r="D11">
        <f t="shared" si="2"/>
        <v>4</v>
      </c>
      <c r="E11">
        <f t="shared" si="3"/>
        <v>0.8219392261226498</v>
      </c>
      <c r="H11">
        <f>H9+1</f>
        <v>2</v>
      </c>
      <c r="I11">
        <f t="shared" ref="I11" si="4">J10</f>
        <v>0.92159999999999997</v>
      </c>
      <c r="J11">
        <f t="shared" ref="J11" si="5">I11</f>
        <v>0.92159999999999997</v>
      </c>
      <c r="L11">
        <v>0.04</v>
      </c>
      <c r="M11">
        <v>2.105764275572652E-253</v>
      </c>
      <c r="N11">
        <v>8.4230571022906082E-255</v>
      </c>
      <c r="O11">
        <v>3.3692228409162435E-256</v>
      </c>
      <c r="P11">
        <v>1.3476891363664974E-257</v>
      </c>
      <c r="Q11">
        <v>5.3907565454659897E-259</v>
      </c>
      <c r="R11">
        <v>2.1563026181863958E-260</v>
      </c>
      <c r="S11">
        <v>8.6252104727455833E-262</v>
      </c>
      <c r="T11">
        <v>3.4500841890982332E-263</v>
      </c>
      <c r="U11">
        <v>1.3800336756392933E-264</v>
      </c>
      <c r="V11">
        <v>5.520134702557173E-266</v>
      </c>
      <c r="W11">
        <v>2.2080538810228693E-267</v>
      </c>
      <c r="X11">
        <v>8.8322155240914779E-269</v>
      </c>
      <c r="Y11">
        <v>3.5328862096365912E-270</v>
      </c>
      <c r="Z11">
        <v>1.4131544838546364E-271</v>
      </c>
      <c r="AA11">
        <v>5.6526179354185456E-273</v>
      </c>
      <c r="AB11">
        <v>2.2610471741674182E-274</v>
      </c>
      <c r="AC11">
        <v>9.0441886966696738E-276</v>
      </c>
      <c r="AD11">
        <v>3.6176754786678698E-277</v>
      </c>
      <c r="AE11">
        <v>1.4470701914671479E-278</v>
      </c>
      <c r="AF11">
        <v>5.7882807658685917E-280</v>
      </c>
      <c r="AG11">
        <v>2.3153123063474367E-281</v>
      </c>
    </row>
    <row r="12" spans="1:33" x14ac:dyDescent="0.3">
      <c r="A12">
        <f t="shared" si="1"/>
        <v>0.05</v>
      </c>
      <c r="B12">
        <f t="shared" si="0"/>
        <v>0.19</v>
      </c>
      <c r="D12">
        <f t="shared" si="2"/>
        <v>5</v>
      </c>
      <c r="E12">
        <f t="shared" si="3"/>
        <v>0.58542053873419742</v>
      </c>
      <c r="H12">
        <f t="shared" ref="H12" si="6">H9+1</f>
        <v>2</v>
      </c>
      <c r="I12">
        <f t="shared" ref="I12" si="7">J10</f>
        <v>0.92159999999999997</v>
      </c>
      <c r="J12">
        <f t="shared" ref="J12" si="8">$E$3*I12*(1-I12)</f>
        <v>0.28901376000000006</v>
      </c>
      <c r="L12">
        <v>0.05</v>
      </c>
      <c r="M12">
        <v>5.8449681390047321E-236</v>
      </c>
      <c r="N12">
        <v>2.9224840695023663E-237</v>
      </c>
      <c r="O12">
        <v>1.4612420347511832E-238</v>
      </c>
      <c r="P12">
        <v>7.3062101737559165E-240</v>
      </c>
      <c r="Q12">
        <v>3.6531050868779585E-241</v>
      </c>
      <c r="R12">
        <v>1.8265525434389793E-242</v>
      </c>
      <c r="S12">
        <v>9.132762717194897E-244</v>
      </c>
      <c r="T12">
        <v>4.566381358597449E-245</v>
      </c>
      <c r="U12">
        <v>2.2831906792987245E-246</v>
      </c>
      <c r="V12">
        <v>1.1415953396493624E-247</v>
      </c>
      <c r="W12">
        <v>5.707976698246812E-249</v>
      </c>
      <c r="X12">
        <v>2.8539883491234064E-250</v>
      </c>
      <c r="Y12">
        <v>1.4269941745617032E-251</v>
      </c>
      <c r="Z12">
        <v>7.1349708728085166E-253</v>
      </c>
      <c r="AA12">
        <v>3.5674854364042588E-254</v>
      </c>
      <c r="AB12">
        <v>1.7837427182021294E-255</v>
      </c>
      <c r="AC12">
        <v>8.9187135910106478E-257</v>
      </c>
      <c r="AD12">
        <v>4.4593567955053243E-258</v>
      </c>
      <c r="AE12">
        <v>2.2296783977526622E-259</v>
      </c>
      <c r="AF12">
        <v>1.1148391988763312E-260</v>
      </c>
      <c r="AG12">
        <v>5.574195994381656E-262</v>
      </c>
    </row>
    <row r="13" spans="1:33" x14ac:dyDescent="0.3">
      <c r="A13">
        <f t="shared" si="1"/>
        <v>6.0000000000000005E-2</v>
      </c>
      <c r="B13">
        <f t="shared" si="0"/>
        <v>0.22559999999999999</v>
      </c>
      <c r="D13">
        <f t="shared" si="2"/>
        <v>6</v>
      </c>
      <c r="E13">
        <f t="shared" si="3"/>
        <v>0.97081332624943795</v>
      </c>
      <c r="H13">
        <f t="shared" ref="H13" si="9">H11+1</f>
        <v>3</v>
      </c>
      <c r="I13">
        <f t="shared" ref="I13" si="10">J12</f>
        <v>0.28901376000000006</v>
      </c>
      <c r="J13">
        <f t="shared" ref="J13" si="11">I13</f>
        <v>0.28901376000000006</v>
      </c>
      <c r="L13">
        <v>0.06</v>
      </c>
      <c r="M13">
        <v>1.0446411491303102E-221</v>
      </c>
      <c r="N13">
        <v>6.2678468947818612E-223</v>
      </c>
      <c r="O13">
        <v>3.7607081368691164E-224</v>
      </c>
      <c r="P13">
        <v>2.2564248821214697E-225</v>
      </c>
      <c r="Q13">
        <v>1.3538549292728818E-226</v>
      </c>
      <c r="R13">
        <v>8.1231295756372901E-228</v>
      </c>
      <c r="S13">
        <v>4.8738777453823738E-229</v>
      </c>
      <c r="T13">
        <v>2.9243266472294241E-230</v>
      </c>
      <c r="U13">
        <v>1.7545959883376544E-231</v>
      </c>
      <c r="V13">
        <v>1.0527575930025925E-232</v>
      </c>
      <c r="W13">
        <v>6.3165455580155547E-234</v>
      </c>
      <c r="X13">
        <v>3.7899273348093325E-235</v>
      </c>
      <c r="Y13">
        <v>2.2739564008855994E-236</v>
      </c>
      <c r="Z13">
        <v>1.3643738405313597E-237</v>
      </c>
      <c r="AA13">
        <v>8.1862430431881572E-239</v>
      </c>
      <c r="AB13">
        <v>4.9117458259128944E-240</v>
      </c>
      <c r="AC13">
        <v>2.9470474955477366E-241</v>
      </c>
      <c r="AD13">
        <v>1.768228497328642E-242</v>
      </c>
      <c r="AE13">
        <v>1.0609370983971852E-243</v>
      </c>
      <c r="AF13">
        <v>6.365622590383111E-245</v>
      </c>
      <c r="AG13">
        <v>3.8193735542298666E-246</v>
      </c>
    </row>
    <row r="14" spans="1:33" x14ac:dyDescent="0.3">
      <c r="A14">
        <f t="shared" si="1"/>
        <v>7.0000000000000007E-2</v>
      </c>
      <c r="B14">
        <f t="shared" si="0"/>
        <v>0.26040000000000002</v>
      </c>
      <c r="D14">
        <f t="shared" si="2"/>
        <v>7</v>
      </c>
      <c r="E14">
        <f t="shared" si="3"/>
        <v>0.11333924730376121</v>
      </c>
      <c r="H14">
        <f t="shared" ref="H14" si="12">H11+1</f>
        <v>3</v>
      </c>
      <c r="I14">
        <f t="shared" ref="I14" si="13">J12</f>
        <v>0.28901376000000006</v>
      </c>
      <c r="J14">
        <f t="shared" ref="J14" si="14">$E$3*I14*(1-I14)</f>
        <v>0.8219392261226498</v>
      </c>
      <c r="L14">
        <v>7.0000000000000007E-2</v>
      </c>
      <c r="M14">
        <v>1.1720343063261994E-209</v>
      </c>
      <c r="N14">
        <v>8.2042401442833967E-211</v>
      </c>
      <c r="O14">
        <v>5.7429681009983786E-212</v>
      </c>
      <c r="P14">
        <v>4.0200776706988657E-213</v>
      </c>
      <c r="Q14">
        <v>2.8140543694892062E-214</v>
      </c>
      <c r="R14">
        <v>1.9698380586424445E-215</v>
      </c>
      <c r="S14">
        <v>1.3788866410497113E-216</v>
      </c>
      <c r="T14">
        <v>9.6522064873479798E-218</v>
      </c>
      <c r="U14">
        <v>6.7565445411435865E-219</v>
      </c>
      <c r="V14">
        <v>4.729581178800511E-220</v>
      </c>
      <c r="W14">
        <v>3.3107068251603579E-221</v>
      </c>
      <c r="X14">
        <v>2.3174947776122506E-222</v>
      </c>
      <c r="Y14">
        <v>1.6222463443285757E-223</v>
      </c>
      <c r="Z14">
        <v>1.135572441030003E-224</v>
      </c>
      <c r="AA14">
        <v>7.9490070872100224E-226</v>
      </c>
      <c r="AB14">
        <v>5.5643049610470165E-227</v>
      </c>
      <c r="AC14">
        <v>3.8950134727329119E-228</v>
      </c>
      <c r="AD14">
        <v>2.7265094309130386E-229</v>
      </c>
      <c r="AE14">
        <v>1.9085566016391273E-230</v>
      </c>
      <c r="AF14">
        <v>1.3359896211473892E-231</v>
      </c>
      <c r="AG14">
        <v>9.3519273480317247E-233</v>
      </c>
    </row>
    <row r="15" spans="1:33" x14ac:dyDescent="0.3">
      <c r="A15">
        <f t="shared" si="1"/>
        <v>0.08</v>
      </c>
      <c r="B15">
        <f t="shared" si="0"/>
        <v>0.2944</v>
      </c>
      <c r="D15">
        <f t="shared" si="2"/>
        <v>8</v>
      </c>
      <c r="E15">
        <f t="shared" si="3"/>
        <v>0.40197384929751229</v>
      </c>
      <c r="H15">
        <f t="shared" ref="H15" si="15">H13+1</f>
        <v>4</v>
      </c>
      <c r="I15">
        <f t="shared" ref="I15" si="16">J14</f>
        <v>0.8219392261226498</v>
      </c>
      <c r="J15">
        <f t="shared" ref="J15" si="17">I15</f>
        <v>0.8219392261226498</v>
      </c>
      <c r="L15">
        <v>0.08</v>
      </c>
      <c r="M15">
        <v>3.2138968134116567E-199</v>
      </c>
      <c r="N15">
        <v>2.5711174507293254E-200</v>
      </c>
      <c r="O15">
        <v>2.0568939605834605E-201</v>
      </c>
      <c r="P15">
        <v>1.6455151684667686E-202</v>
      </c>
      <c r="Q15">
        <v>1.316412134773415E-203</v>
      </c>
      <c r="R15">
        <v>1.0531297078187321E-204</v>
      </c>
      <c r="S15">
        <v>8.4250376625498573E-206</v>
      </c>
      <c r="T15">
        <v>6.7400301300398864E-207</v>
      </c>
      <c r="U15">
        <v>5.3920241040319096E-208</v>
      </c>
      <c r="V15">
        <v>4.3136192832255279E-209</v>
      </c>
      <c r="W15">
        <v>3.4508954265804224E-210</v>
      </c>
      <c r="X15">
        <v>2.760716341264338E-211</v>
      </c>
      <c r="Y15">
        <v>2.2085730730114705E-212</v>
      </c>
      <c r="Z15">
        <v>1.7668584584091764E-213</v>
      </c>
      <c r="AA15">
        <v>1.4134867667273411E-214</v>
      </c>
      <c r="AB15">
        <v>1.1307894133818729E-215</v>
      </c>
      <c r="AC15">
        <v>9.0463153070549835E-217</v>
      </c>
      <c r="AD15">
        <v>7.2370522456439869E-218</v>
      </c>
      <c r="AE15">
        <v>5.7896417965151893E-219</v>
      </c>
      <c r="AF15">
        <v>4.6317134372121514E-220</v>
      </c>
      <c r="AG15">
        <v>3.705370749769721E-221</v>
      </c>
    </row>
    <row r="16" spans="1:33" x14ac:dyDescent="0.3">
      <c r="A16">
        <f t="shared" si="1"/>
        <v>0.09</v>
      </c>
      <c r="B16">
        <f t="shared" si="0"/>
        <v>0.3276</v>
      </c>
      <c r="D16">
        <f t="shared" si="2"/>
        <v>9</v>
      </c>
      <c r="E16">
        <f t="shared" si="3"/>
        <v>0.96156349511381278</v>
      </c>
      <c r="H16">
        <f t="shared" ref="H16" si="18">H13+1</f>
        <v>4</v>
      </c>
      <c r="I16">
        <f t="shared" ref="I16" si="19">J14</f>
        <v>0.8219392261226498</v>
      </c>
      <c r="J16">
        <f t="shared" ref="J16" si="20">$E$3*I16*(1-I16)</f>
        <v>0.58542053873419742</v>
      </c>
      <c r="L16">
        <v>0.09</v>
      </c>
      <c r="M16">
        <v>5.1762698883010345E-190</v>
      </c>
      <c r="N16">
        <v>4.6586428994709309E-191</v>
      </c>
      <c r="O16">
        <v>4.192778609523838E-192</v>
      </c>
      <c r="P16">
        <v>3.7735007485714542E-193</v>
      </c>
      <c r="Q16">
        <v>3.3961506737143084E-194</v>
      </c>
      <c r="R16">
        <v>3.0565356063428774E-195</v>
      </c>
      <c r="S16">
        <v>2.7508820457085894E-196</v>
      </c>
      <c r="T16">
        <v>2.4757938411377305E-197</v>
      </c>
      <c r="U16">
        <v>2.2282144570239575E-198</v>
      </c>
      <c r="V16">
        <v>2.0053930113215617E-199</v>
      </c>
      <c r="W16">
        <v>1.8048537101894055E-200</v>
      </c>
      <c r="X16">
        <v>1.6243683391704649E-201</v>
      </c>
      <c r="Y16">
        <v>1.4619315052534183E-202</v>
      </c>
      <c r="Z16">
        <v>1.3157383547280764E-203</v>
      </c>
      <c r="AA16">
        <v>1.1841645192552687E-204</v>
      </c>
      <c r="AB16">
        <v>1.0657480673297419E-205</v>
      </c>
      <c r="AC16">
        <v>9.5917326059676763E-207</v>
      </c>
      <c r="AD16">
        <v>8.6325593453709081E-208</v>
      </c>
      <c r="AE16">
        <v>7.7693034108338168E-209</v>
      </c>
      <c r="AF16">
        <v>6.9923730697504351E-210</v>
      </c>
      <c r="AG16">
        <v>6.2931357627753914E-211</v>
      </c>
    </row>
    <row r="17" spans="1:33" x14ac:dyDescent="0.3">
      <c r="A17">
        <f t="shared" si="1"/>
        <v>9.9999999999999992E-2</v>
      </c>
      <c r="B17">
        <f t="shared" si="0"/>
        <v>0.36</v>
      </c>
      <c r="D17">
        <f t="shared" si="2"/>
        <v>10</v>
      </c>
      <c r="E17">
        <f t="shared" si="3"/>
        <v>0.14783655991328529</v>
      </c>
      <c r="H17">
        <f t="shared" ref="H17" si="21">H15+1</f>
        <v>5</v>
      </c>
      <c r="I17">
        <f t="shared" ref="I17" si="22">J16</f>
        <v>0.58542053873419742</v>
      </c>
      <c r="J17">
        <f t="shared" ref="J17" si="23">I17</f>
        <v>0.58542053873419742</v>
      </c>
      <c r="L17">
        <v>0.1</v>
      </c>
      <c r="M17">
        <v>8.9101628628319204E-182</v>
      </c>
      <c r="N17">
        <v>8.9101628628319204E-183</v>
      </c>
      <c r="O17">
        <v>8.9101628628319213E-184</v>
      </c>
      <c r="P17">
        <v>8.910162862831922E-185</v>
      </c>
      <c r="Q17">
        <v>8.9101628628319224E-186</v>
      </c>
      <c r="R17">
        <v>8.910162862831923E-187</v>
      </c>
      <c r="S17">
        <v>8.9101628628319232E-188</v>
      </c>
      <c r="T17">
        <v>8.9101628628319232E-189</v>
      </c>
      <c r="U17">
        <v>8.9101628628319234E-190</v>
      </c>
      <c r="V17">
        <v>8.9101628628319244E-191</v>
      </c>
      <c r="W17">
        <v>8.9101628628319247E-192</v>
      </c>
      <c r="X17">
        <v>8.9101628628319259E-193</v>
      </c>
      <c r="Y17">
        <v>8.9101628628319269E-194</v>
      </c>
      <c r="Z17">
        <v>8.9101628628319272E-195</v>
      </c>
      <c r="AA17">
        <v>8.910162862831928E-196</v>
      </c>
      <c r="AB17">
        <v>8.9101628628319284E-197</v>
      </c>
      <c r="AC17">
        <v>8.910162862831929E-198</v>
      </c>
      <c r="AD17">
        <v>8.9101628628319286E-199</v>
      </c>
      <c r="AE17">
        <v>8.9101628628319296E-200</v>
      </c>
      <c r="AF17">
        <v>8.9101628628319299E-201</v>
      </c>
      <c r="AG17">
        <v>8.9101628628319306E-202</v>
      </c>
    </row>
    <row r="18" spans="1:33" x14ac:dyDescent="0.3">
      <c r="A18">
        <f t="shared" si="1"/>
        <v>0.10999999999999999</v>
      </c>
      <c r="B18">
        <f t="shared" si="0"/>
        <v>0.39159999999999995</v>
      </c>
      <c r="D18">
        <f t="shared" si="2"/>
        <v>11</v>
      </c>
      <c r="E18">
        <f t="shared" si="3"/>
        <v>0.50392364586516358</v>
      </c>
      <c r="H18">
        <f t="shared" ref="H18" si="24">H15+1</f>
        <v>5</v>
      </c>
      <c r="I18">
        <f t="shared" ref="I18" si="25">J16</f>
        <v>0.58542053873419742</v>
      </c>
      <c r="J18">
        <f t="shared" ref="J18" si="26">$E$3*I18*(1-I18)</f>
        <v>0.97081332624943795</v>
      </c>
      <c r="L18">
        <v>0.11</v>
      </c>
      <c r="M18">
        <v>2.512340885034701E-174</v>
      </c>
      <c r="N18">
        <v>2.7635749735381709E-175</v>
      </c>
      <c r="O18">
        <v>3.0399324708919881E-176</v>
      </c>
      <c r="P18">
        <v>3.3439257179811867E-177</v>
      </c>
      <c r="Q18">
        <v>3.6783182897793052E-178</v>
      </c>
      <c r="R18">
        <v>4.0461501187572358E-179</v>
      </c>
      <c r="S18">
        <v>4.4507651306329597E-180</v>
      </c>
      <c r="T18">
        <v>4.8958416436962562E-181</v>
      </c>
      <c r="U18">
        <v>5.3854258080658817E-182</v>
      </c>
      <c r="V18">
        <v>5.9239683888724699E-183</v>
      </c>
      <c r="W18">
        <v>6.5163652277597174E-184</v>
      </c>
      <c r="X18">
        <v>7.1680017505356887E-185</v>
      </c>
      <c r="Y18">
        <v>7.884801925589257E-186</v>
      </c>
      <c r="Z18">
        <v>8.6732821181481823E-187</v>
      </c>
      <c r="AA18">
        <v>9.5406103299630012E-188</v>
      </c>
      <c r="AB18">
        <v>1.0494671362959302E-188</v>
      </c>
      <c r="AC18">
        <v>1.1544138499255231E-189</v>
      </c>
      <c r="AD18">
        <v>1.2698552349180753E-190</v>
      </c>
      <c r="AE18">
        <v>1.3968407584098829E-191</v>
      </c>
      <c r="AF18">
        <v>1.5365248342508712E-192</v>
      </c>
      <c r="AG18">
        <v>1.6901773176759584E-193</v>
      </c>
    </row>
    <row r="19" spans="1:33" x14ac:dyDescent="0.3">
      <c r="A19">
        <f t="shared" si="1"/>
        <v>0.11999999999999998</v>
      </c>
      <c r="B19">
        <f t="shared" si="0"/>
        <v>0.42239999999999994</v>
      </c>
      <c r="D19">
        <f t="shared" si="2"/>
        <v>12</v>
      </c>
      <c r="E19">
        <f t="shared" si="3"/>
        <v>0.99993842001249911</v>
      </c>
      <c r="H19">
        <f t="shared" ref="H19" si="27">H17+1</f>
        <v>6</v>
      </c>
      <c r="I19">
        <f t="shared" ref="I19" si="28">J18</f>
        <v>0.97081332624943795</v>
      </c>
      <c r="J19">
        <f t="shared" ref="J19" si="29">I19</f>
        <v>0.97081332624943795</v>
      </c>
      <c r="L19">
        <v>0.12</v>
      </c>
      <c r="M19">
        <v>1.590442426398137E-167</v>
      </c>
      <c r="N19">
        <v>1.9085309116777644E-168</v>
      </c>
      <c r="O19">
        <v>2.2902370940133171E-169</v>
      </c>
      <c r="P19">
        <v>2.7482845128159805E-170</v>
      </c>
      <c r="Q19">
        <v>3.2979414153791764E-171</v>
      </c>
      <c r="R19">
        <v>3.9575296984550115E-172</v>
      </c>
      <c r="S19">
        <v>4.7490356381460138E-173</v>
      </c>
      <c r="T19">
        <v>5.698842765775216E-174</v>
      </c>
      <c r="U19">
        <v>6.8386113189302586E-175</v>
      </c>
      <c r="V19">
        <v>8.2063335827163103E-176</v>
      </c>
      <c r="W19">
        <v>9.8476002992595728E-177</v>
      </c>
      <c r="X19">
        <v>1.1817120359111487E-177</v>
      </c>
      <c r="Y19">
        <v>1.4180544430933784E-178</v>
      </c>
      <c r="Z19">
        <v>1.7016653317120541E-179</v>
      </c>
      <c r="AA19">
        <v>2.041998398054465E-180</v>
      </c>
      <c r="AB19">
        <v>2.4503980776653577E-181</v>
      </c>
      <c r="AC19">
        <v>2.9404776931984291E-182</v>
      </c>
      <c r="AD19">
        <v>3.5285732318381149E-183</v>
      </c>
      <c r="AE19">
        <v>4.234287878205738E-184</v>
      </c>
      <c r="AF19">
        <v>5.0811454538468853E-185</v>
      </c>
      <c r="AG19">
        <v>6.0973745446162621E-186</v>
      </c>
    </row>
    <row r="20" spans="1:33" x14ac:dyDescent="0.3">
      <c r="A20">
        <f t="shared" si="1"/>
        <v>0.12999999999999998</v>
      </c>
      <c r="B20">
        <f t="shared" si="0"/>
        <v>0.45239999999999991</v>
      </c>
      <c r="D20">
        <f t="shared" si="2"/>
        <v>13</v>
      </c>
      <c r="E20">
        <f t="shared" si="3"/>
        <v>2.4630478162412819E-4</v>
      </c>
      <c r="H20">
        <f t="shared" ref="H20" si="30">H17+1</f>
        <v>6</v>
      </c>
      <c r="I20">
        <f t="shared" ref="I20" si="31">J18</f>
        <v>0.97081332624943795</v>
      </c>
      <c r="J20">
        <f t="shared" ref="J20" si="32">$E$3*I20*(1-I20)</f>
        <v>0.11333924730376121</v>
      </c>
      <c r="L20">
        <v>0.13</v>
      </c>
      <c r="M20">
        <v>2.8719970300942246E-161</v>
      </c>
      <c r="N20">
        <v>3.733596139122492E-162</v>
      </c>
      <c r="O20">
        <v>4.8536749808592398E-163</v>
      </c>
      <c r="P20">
        <v>6.3097774751170119E-164</v>
      </c>
      <c r="Q20">
        <v>8.2027107176521155E-165</v>
      </c>
      <c r="R20">
        <v>1.0663523932947751E-165</v>
      </c>
      <c r="S20">
        <v>1.3862581112832076E-166</v>
      </c>
      <c r="T20">
        <v>1.8021355446681701E-167</v>
      </c>
      <c r="U20">
        <v>2.3427762080686213E-168</v>
      </c>
      <c r="V20">
        <v>3.0456090704892077E-169</v>
      </c>
      <c r="W20">
        <v>3.9592917916359702E-170</v>
      </c>
      <c r="X20">
        <v>5.1470793291267611E-171</v>
      </c>
      <c r="Y20">
        <v>6.6912031278647899E-172</v>
      </c>
      <c r="Z20">
        <v>8.6985640662242277E-173</v>
      </c>
      <c r="AA20">
        <v>1.1308133286091496E-173</v>
      </c>
      <c r="AB20">
        <v>1.4700573271918946E-174</v>
      </c>
      <c r="AC20">
        <v>1.911074525349463E-175</v>
      </c>
      <c r="AD20">
        <v>2.4843968829543019E-176</v>
      </c>
      <c r="AE20">
        <v>3.2297159478405924E-177</v>
      </c>
      <c r="AF20">
        <v>4.1986307321927703E-178</v>
      </c>
      <c r="AG20">
        <v>5.4582199518506015E-179</v>
      </c>
    </row>
    <row r="21" spans="1:33" x14ac:dyDescent="0.3">
      <c r="A21">
        <f t="shared" si="1"/>
        <v>0.13999999999999999</v>
      </c>
      <c r="B21">
        <f t="shared" si="0"/>
        <v>0.48159999999999992</v>
      </c>
      <c r="D21">
        <f t="shared" si="2"/>
        <v>14</v>
      </c>
      <c r="E21">
        <f t="shared" si="3"/>
        <v>9.8497646231470912E-4</v>
      </c>
      <c r="H21">
        <f t="shared" ref="H21" si="33">H19+1</f>
        <v>7</v>
      </c>
      <c r="I21">
        <f t="shared" ref="I21" si="34">J20</f>
        <v>0.11333924730376121</v>
      </c>
      <c r="J21">
        <f t="shared" ref="J21" si="35">I21</f>
        <v>0.11333924730376121</v>
      </c>
      <c r="L21">
        <v>0.14000000000000001</v>
      </c>
      <c r="M21">
        <v>1.7819766787683223E-155</v>
      </c>
      <c r="N21">
        <v>2.4947673502756512E-156</v>
      </c>
      <c r="O21">
        <v>3.4926742903859119E-157</v>
      </c>
      <c r="P21">
        <v>4.889744006540277E-158</v>
      </c>
      <c r="Q21">
        <v>6.8456416091563888E-159</v>
      </c>
      <c r="R21">
        <v>9.5838982528189447E-160</v>
      </c>
      <c r="S21">
        <v>1.3417457553946524E-160</v>
      </c>
      <c r="T21">
        <v>1.8784440575525136E-161</v>
      </c>
      <c r="U21">
        <v>2.6298216805735192E-162</v>
      </c>
      <c r="V21">
        <v>3.6817503528029271E-163</v>
      </c>
      <c r="W21">
        <v>5.1544504939240986E-164</v>
      </c>
      <c r="X21">
        <v>7.2162306914937391E-165</v>
      </c>
      <c r="Y21">
        <v>1.0102722968091236E-165</v>
      </c>
      <c r="Z21">
        <v>1.4143812155327733E-166</v>
      </c>
      <c r="AA21">
        <v>1.9801337017458829E-167</v>
      </c>
      <c r="AB21">
        <v>2.7721871824442361E-168</v>
      </c>
      <c r="AC21">
        <v>3.881062055421931E-169</v>
      </c>
      <c r="AD21">
        <v>5.4334868775907038E-170</v>
      </c>
      <c r="AE21">
        <v>7.6068816286269861E-171</v>
      </c>
      <c r="AF21">
        <v>1.0649634280077782E-171</v>
      </c>
      <c r="AG21">
        <v>1.4909487992108895E-172</v>
      </c>
    </row>
    <row r="22" spans="1:33" x14ac:dyDescent="0.3">
      <c r="A22">
        <f t="shared" si="1"/>
        <v>0.15</v>
      </c>
      <c r="B22">
        <f t="shared" si="0"/>
        <v>0.51</v>
      </c>
      <c r="D22">
        <f t="shared" si="2"/>
        <v>15</v>
      </c>
      <c r="E22">
        <f t="shared" si="3"/>
        <v>3.9360251347335803E-3</v>
      </c>
      <c r="H22">
        <f t="shared" ref="H22" si="36">H19+1</f>
        <v>7</v>
      </c>
      <c r="I22">
        <f t="shared" ref="I22" si="37">J20</f>
        <v>0.11333924730376121</v>
      </c>
      <c r="J22">
        <f t="shared" ref="J22" si="38">$E$3*I22*(1-I22)</f>
        <v>0.40197384929751229</v>
      </c>
      <c r="L22">
        <v>0.15</v>
      </c>
      <c r="M22">
        <v>4.4029624256753052E-150</v>
      </c>
      <c r="N22">
        <v>6.6044436385129569E-151</v>
      </c>
      <c r="O22">
        <v>9.9066654577694347E-152</v>
      </c>
      <c r="P22">
        <v>1.4859998186654151E-152</v>
      </c>
      <c r="Q22">
        <v>2.2289997279981226E-153</v>
      </c>
      <c r="R22">
        <v>3.3434995919971835E-154</v>
      </c>
      <c r="S22">
        <v>5.0152493879957753E-155</v>
      </c>
      <c r="T22">
        <v>7.5228740819936626E-156</v>
      </c>
      <c r="U22">
        <v>1.1284311122990494E-156</v>
      </c>
      <c r="V22">
        <v>1.6926466684485739E-157</v>
      </c>
      <c r="W22">
        <v>2.5389700026728606E-158</v>
      </c>
      <c r="X22">
        <v>3.808455004009291E-159</v>
      </c>
      <c r="Y22">
        <v>5.7126825060139365E-160</v>
      </c>
      <c r="Z22">
        <v>8.5690237590209047E-161</v>
      </c>
      <c r="AA22">
        <v>1.2853535638531356E-161</v>
      </c>
      <c r="AB22">
        <v>1.9280303457797033E-162</v>
      </c>
      <c r="AC22">
        <v>2.8920455186695546E-163</v>
      </c>
      <c r="AD22">
        <v>4.3380682780043318E-164</v>
      </c>
      <c r="AE22">
        <v>6.5071024170064973E-165</v>
      </c>
      <c r="AF22">
        <v>9.760653625509746E-166</v>
      </c>
      <c r="AG22">
        <v>1.4640980438264619E-166</v>
      </c>
    </row>
    <row r="23" spans="1:33" x14ac:dyDescent="0.3">
      <c r="A23">
        <f t="shared" si="1"/>
        <v>0.16</v>
      </c>
      <c r="B23">
        <f t="shared" si="0"/>
        <v>0.53759999999999997</v>
      </c>
      <c r="D23">
        <f t="shared" si="2"/>
        <v>16</v>
      </c>
      <c r="E23">
        <f t="shared" si="3"/>
        <v>1.5682131363489303E-2</v>
      </c>
      <c r="H23">
        <f t="shared" ref="H23" si="39">H21+1</f>
        <v>8</v>
      </c>
      <c r="I23">
        <f t="shared" ref="I23" si="40">J22</f>
        <v>0.40197384929751229</v>
      </c>
      <c r="J23">
        <f t="shared" ref="J23" si="41">I23</f>
        <v>0.40197384929751229</v>
      </c>
      <c r="L23">
        <v>0.16</v>
      </c>
      <c r="M23">
        <v>4.87938756403577E-145</v>
      </c>
      <c r="N23">
        <v>7.8070201024572321E-146</v>
      </c>
      <c r="O23">
        <v>1.2491232163931572E-146</v>
      </c>
      <c r="P23">
        <v>1.9985971462290516E-147</v>
      </c>
      <c r="Q23">
        <v>3.1977554339664828E-148</v>
      </c>
      <c r="R23">
        <v>5.1164086943463727E-149</v>
      </c>
      <c r="S23">
        <v>8.1862539109541962E-150</v>
      </c>
      <c r="T23">
        <v>1.3098006257526713E-150</v>
      </c>
      <c r="U23">
        <v>2.0956810012042743E-151</v>
      </c>
      <c r="V23">
        <v>3.3530896019268391E-152</v>
      </c>
      <c r="W23">
        <v>5.3649433630829423E-153</v>
      </c>
      <c r="X23">
        <v>8.5839093809327084E-154</v>
      </c>
      <c r="Y23">
        <v>1.3734255009492333E-154</v>
      </c>
      <c r="Z23">
        <v>2.1974808015187732E-155</v>
      </c>
      <c r="AA23">
        <v>3.5159692824300374E-156</v>
      </c>
      <c r="AB23">
        <v>5.6255508518880598E-157</v>
      </c>
      <c r="AC23">
        <v>9.0008813630208953E-158</v>
      </c>
      <c r="AD23">
        <v>1.4401410180833433E-158</v>
      </c>
      <c r="AE23">
        <v>2.3042256289333495E-159</v>
      </c>
      <c r="AF23">
        <v>3.6867610062933593E-160</v>
      </c>
      <c r="AG23">
        <v>5.8988176100693751E-161</v>
      </c>
    </row>
    <row r="24" spans="1:33" x14ac:dyDescent="0.3">
      <c r="A24">
        <f t="shared" si="1"/>
        <v>0.17</v>
      </c>
      <c r="B24">
        <f t="shared" si="0"/>
        <v>0.56440000000000001</v>
      </c>
      <c r="D24">
        <f t="shared" si="2"/>
        <v>17</v>
      </c>
      <c r="E24">
        <f t="shared" si="3"/>
        <v>6.1744808477550275E-2</v>
      </c>
      <c r="H24">
        <f t="shared" ref="H24" si="42">H21+1</f>
        <v>8</v>
      </c>
      <c r="I24">
        <f t="shared" ref="I24" si="43">J22</f>
        <v>0.40197384929751229</v>
      </c>
      <c r="J24">
        <f t="shared" ref="J24" si="44">$E$3*I24*(1-I24)</f>
        <v>0.96156349511381278</v>
      </c>
      <c r="L24">
        <v>0.17</v>
      </c>
      <c r="M24">
        <v>2.6730758736790689E-140</v>
      </c>
      <c r="N24">
        <v>4.5442289852544175E-141</v>
      </c>
      <c r="O24">
        <v>7.7251892749325106E-142</v>
      </c>
      <c r="P24">
        <v>1.313282176738527E-142</v>
      </c>
      <c r="Q24">
        <v>2.2325797004554961E-143</v>
      </c>
      <c r="R24">
        <v>3.7953854907743435E-144</v>
      </c>
      <c r="S24">
        <v>6.4521553343163841E-145</v>
      </c>
      <c r="T24">
        <v>1.0968664068337853E-145</v>
      </c>
      <c r="U24">
        <v>1.864672891617435E-146</v>
      </c>
      <c r="V24">
        <v>3.1699439157496397E-147</v>
      </c>
      <c r="W24">
        <v>5.3889046567743878E-148</v>
      </c>
      <c r="X24">
        <v>9.1611379165164595E-149</v>
      </c>
      <c r="Y24">
        <v>1.5573934458077982E-149</v>
      </c>
      <c r="Z24">
        <v>2.6475688578732572E-150</v>
      </c>
      <c r="AA24">
        <v>4.5008670583845379E-151</v>
      </c>
      <c r="AB24">
        <v>7.6514739992537153E-152</v>
      </c>
      <c r="AC24">
        <v>1.3007505798731318E-152</v>
      </c>
      <c r="AD24">
        <v>2.2112759857843241E-153</v>
      </c>
      <c r="AE24">
        <v>3.7591691758333514E-154</v>
      </c>
      <c r="AF24">
        <v>6.3905875989166974E-155</v>
      </c>
      <c r="AG24">
        <v>1.0863998918158386E-155</v>
      </c>
    </row>
    <row r="25" spans="1:33" x14ac:dyDescent="0.3">
      <c r="A25">
        <f t="shared" si="1"/>
        <v>0.18000000000000002</v>
      </c>
      <c r="B25">
        <f t="shared" si="0"/>
        <v>0.59040000000000004</v>
      </c>
      <c r="D25">
        <f t="shared" si="2"/>
        <v>18</v>
      </c>
      <c r="E25">
        <f t="shared" si="3"/>
        <v>0.23172954841448365</v>
      </c>
      <c r="H25">
        <f t="shared" ref="H25" si="45">H23+1</f>
        <v>9</v>
      </c>
      <c r="I25">
        <f t="shared" ref="I25" si="46">J24</f>
        <v>0.96156349511381278</v>
      </c>
      <c r="J25">
        <f t="shared" ref="J25" si="47">I25</f>
        <v>0.96156349511381278</v>
      </c>
      <c r="L25">
        <v>0.18</v>
      </c>
      <c r="M25">
        <v>7.8465696219582787E-136</v>
      </c>
      <c r="N25">
        <v>1.4123825319524901E-136</v>
      </c>
      <c r="O25">
        <v>2.542288557514482E-137</v>
      </c>
      <c r="P25">
        <v>4.5761194035260673E-138</v>
      </c>
      <c r="Q25">
        <v>8.2370149263469206E-139</v>
      </c>
      <c r="R25">
        <v>1.4826626867424457E-139</v>
      </c>
      <c r="S25">
        <v>2.6687928361364019E-140</v>
      </c>
      <c r="T25">
        <v>4.8038271050455231E-141</v>
      </c>
      <c r="U25">
        <v>8.646888789081941E-142</v>
      </c>
      <c r="V25">
        <v>1.5564399820347493E-142</v>
      </c>
      <c r="W25">
        <v>2.8015919676625487E-143</v>
      </c>
      <c r="X25">
        <v>5.0428655417925877E-144</v>
      </c>
      <c r="Y25">
        <v>9.0771579752266581E-145</v>
      </c>
      <c r="Z25">
        <v>1.6338884355407986E-145</v>
      </c>
      <c r="AA25">
        <v>2.9409991839734371E-146</v>
      </c>
      <c r="AB25">
        <v>5.293798531152187E-147</v>
      </c>
      <c r="AC25">
        <v>9.5288373560739359E-148</v>
      </c>
      <c r="AD25">
        <v>1.7151907240933084E-148</v>
      </c>
      <c r="AE25">
        <v>3.0873433033679548E-149</v>
      </c>
      <c r="AF25">
        <v>5.5572179460623185E-150</v>
      </c>
      <c r="AG25">
        <v>1.0002992302912172E-150</v>
      </c>
    </row>
    <row r="26" spans="1:33" x14ac:dyDescent="0.3">
      <c r="A26">
        <f t="shared" si="1"/>
        <v>0.19000000000000003</v>
      </c>
      <c r="B26">
        <f t="shared" si="0"/>
        <v>0.61560000000000004</v>
      </c>
      <c r="D26">
        <f t="shared" si="2"/>
        <v>19</v>
      </c>
      <c r="E26">
        <f t="shared" si="3"/>
        <v>0.71212385922441246</v>
      </c>
      <c r="H26">
        <f t="shared" ref="H26" si="48">H23+1</f>
        <v>9</v>
      </c>
      <c r="I26">
        <f t="shared" ref="I26" si="49">J24</f>
        <v>0.96156349511381278</v>
      </c>
      <c r="J26">
        <f t="shared" ref="J26" si="50">$E$3*I26*(1-I26)</f>
        <v>0.14783655991328529</v>
      </c>
      <c r="L26">
        <v>0.19</v>
      </c>
      <c r="M26">
        <v>1.3203424206895063E-131</v>
      </c>
      <c r="N26">
        <v>2.508650599310062E-132</v>
      </c>
      <c r="O26">
        <v>4.7664361386891177E-133</v>
      </c>
      <c r="P26">
        <v>9.0562286635093242E-134</v>
      </c>
      <c r="Q26">
        <v>1.7206834460667716E-134</v>
      </c>
      <c r="R26">
        <v>3.2692985475268661E-135</v>
      </c>
      <c r="S26">
        <v>6.2116672403010457E-136</v>
      </c>
      <c r="T26">
        <v>1.1802167756571986E-136</v>
      </c>
      <c r="U26">
        <v>2.2424118737486773E-137</v>
      </c>
      <c r="V26">
        <v>4.2605825601224872E-138</v>
      </c>
      <c r="W26">
        <v>8.0951068642327264E-139</v>
      </c>
      <c r="X26">
        <v>1.5380703042042181E-139</v>
      </c>
      <c r="Y26">
        <v>2.9223335779880141E-140</v>
      </c>
      <c r="Z26">
        <v>5.5524337981772273E-141</v>
      </c>
      <c r="AA26">
        <v>1.0549624216536731E-141</v>
      </c>
      <c r="AB26">
        <v>2.0044286011419788E-142</v>
      </c>
      <c r="AC26">
        <v>3.8084143421697597E-143</v>
      </c>
      <c r="AD26">
        <v>7.2359872501225439E-144</v>
      </c>
      <c r="AE26">
        <v>1.3748375775232833E-144</v>
      </c>
      <c r="AF26">
        <v>2.6121913972942381E-145</v>
      </c>
      <c r="AG26">
        <v>4.9631636548590527E-146</v>
      </c>
    </row>
    <row r="27" spans="1:33" x14ac:dyDescent="0.3">
      <c r="A27">
        <f t="shared" si="1"/>
        <v>0.20000000000000004</v>
      </c>
      <c r="B27">
        <f t="shared" si="0"/>
        <v>0.64000000000000012</v>
      </c>
      <c r="D27">
        <f t="shared" si="2"/>
        <v>20</v>
      </c>
      <c r="E27">
        <f t="shared" si="3"/>
        <v>0.82001387339096654</v>
      </c>
      <c r="H27">
        <f t="shared" ref="H27" si="51">H25+1</f>
        <v>10</v>
      </c>
      <c r="I27">
        <f t="shared" ref="I27" si="52">J26</f>
        <v>0.14783655991328529</v>
      </c>
      <c r="J27">
        <f t="shared" ref="J27" si="53">I27</f>
        <v>0.14783655991328529</v>
      </c>
      <c r="L27">
        <v>0.2</v>
      </c>
      <c r="M27">
        <v>1.3484431763205605E-127</v>
      </c>
      <c r="N27">
        <v>2.696886352641121E-128</v>
      </c>
      <c r="O27">
        <v>5.3937727052822425E-129</v>
      </c>
      <c r="P27">
        <v>1.0787545410564486E-129</v>
      </c>
      <c r="Q27">
        <v>2.1575090821128972E-130</v>
      </c>
      <c r="R27">
        <v>4.3150181642257946E-131</v>
      </c>
      <c r="S27">
        <v>8.6300363284515895E-132</v>
      </c>
      <c r="T27">
        <v>1.7260072656903181E-132</v>
      </c>
      <c r="U27">
        <v>3.4520145313806365E-133</v>
      </c>
      <c r="V27">
        <v>6.9040290627612734E-134</v>
      </c>
      <c r="W27">
        <v>1.3808058125522547E-134</v>
      </c>
      <c r="X27">
        <v>2.7616116251045093E-135</v>
      </c>
      <c r="Y27">
        <v>5.5232232502090189E-136</v>
      </c>
      <c r="Z27">
        <v>1.1046446500418039E-136</v>
      </c>
      <c r="AA27">
        <v>2.209289300083608E-137</v>
      </c>
      <c r="AB27">
        <v>4.4185786001672164E-138</v>
      </c>
      <c r="AC27">
        <v>8.8371572003344337E-139</v>
      </c>
      <c r="AD27">
        <v>1.7674314400668869E-139</v>
      </c>
      <c r="AE27">
        <v>3.534862880133774E-140</v>
      </c>
      <c r="AF27">
        <v>7.0697257602675481E-141</v>
      </c>
      <c r="AG27">
        <v>1.4139451520535096E-141</v>
      </c>
    </row>
    <row r="28" spans="1:33" x14ac:dyDescent="0.3">
      <c r="A28">
        <f t="shared" si="1"/>
        <v>0.21000000000000005</v>
      </c>
      <c r="B28">
        <f t="shared" si="0"/>
        <v>0.66360000000000008</v>
      </c>
      <c r="D28">
        <f t="shared" si="2"/>
        <v>21</v>
      </c>
      <c r="E28">
        <f t="shared" si="3"/>
        <v>0.59036448334924174</v>
      </c>
      <c r="H28">
        <f t="shared" ref="H28" si="54">H25+1</f>
        <v>10</v>
      </c>
      <c r="I28">
        <f t="shared" ref="I28" si="55">J26</f>
        <v>0.14783655991328529</v>
      </c>
      <c r="J28">
        <f t="shared" ref="J28" si="56">$E$3*I28*(1-I28)</f>
        <v>0.50392364586516358</v>
      </c>
      <c r="L28">
        <v>0.21</v>
      </c>
      <c r="M28">
        <v>8.7757963534905331E-124</v>
      </c>
      <c r="N28">
        <v>1.8429172342330119E-124</v>
      </c>
      <c r="O28">
        <v>3.8701261918893246E-125</v>
      </c>
      <c r="P28">
        <v>8.127265002967582E-126</v>
      </c>
      <c r="Q28">
        <v>1.706725650623192E-126</v>
      </c>
      <c r="R28">
        <v>3.584123866308703E-127</v>
      </c>
      <c r="S28">
        <v>7.5266601192482761E-128</v>
      </c>
      <c r="T28">
        <v>1.580598625042138E-128</v>
      </c>
      <c r="U28">
        <v>3.3192571125884897E-129</v>
      </c>
      <c r="V28">
        <v>6.9704399364358278E-130</v>
      </c>
      <c r="W28">
        <v>1.4637923866515237E-130</v>
      </c>
      <c r="X28">
        <v>3.0739640119681999E-131</v>
      </c>
      <c r="Y28">
        <v>6.4553244251332192E-132</v>
      </c>
      <c r="Z28">
        <v>1.3556181292779759E-132</v>
      </c>
      <c r="AA28">
        <v>2.8467980714837492E-133</v>
      </c>
      <c r="AB28">
        <v>5.9782759501158727E-134</v>
      </c>
      <c r="AC28">
        <v>1.2554379495243333E-134</v>
      </c>
      <c r="AD28">
        <v>2.6364196940010997E-135</v>
      </c>
      <c r="AE28">
        <v>5.5364813574023095E-136</v>
      </c>
      <c r="AF28">
        <v>1.1626610850544849E-136</v>
      </c>
      <c r="AG28">
        <v>2.4415882786144183E-137</v>
      </c>
    </row>
    <row r="29" spans="1:33" x14ac:dyDescent="0.3">
      <c r="A29">
        <f t="shared" si="1"/>
        <v>0.22000000000000006</v>
      </c>
      <c r="B29">
        <f t="shared" si="0"/>
        <v>0.68640000000000012</v>
      </c>
      <c r="D29">
        <f t="shared" si="2"/>
        <v>22</v>
      </c>
      <c r="E29">
        <f t="shared" si="3"/>
        <v>0.96733704059609849</v>
      </c>
      <c r="H29">
        <f t="shared" ref="H29" si="57">H27+1</f>
        <v>11</v>
      </c>
      <c r="I29">
        <f t="shared" ref="I29" si="58">J28</f>
        <v>0.50392364586516358</v>
      </c>
      <c r="J29">
        <f t="shared" ref="J29" si="59">I29</f>
        <v>0.50392364586516358</v>
      </c>
      <c r="L29">
        <v>0.22</v>
      </c>
      <c r="M29">
        <v>3.7954265056369675E-120</v>
      </c>
      <c r="N29">
        <v>8.3499383124013278E-121</v>
      </c>
      <c r="O29">
        <v>1.8369864287282922E-121</v>
      </c>
      <c r="P29">
        <v>4.0413701432022428E-122</v>
      </c>
      <c r="Q29">
        <v>8.8910143150449345E-123</v>
      </c>
      <c r="R29">
        <v>1.9560231493098857E-123</v>
      </c>
      <c r="S29">
        <v>4.3032509284817486E-124</v>
      </c>
      <c r="T29">
        <v>9.4671520426598473E-125</v>
      </c>
      <c r="U29">
        <v>2.0827734493851665E-125</v>
      </c>
      <c r="V29">
        <v>4.5821015886473665E-126</v>
      </c>
      <c r="W29">
        <v>1.0080623495024206E-126</v>
      </c>
      <c r="X29">
        <v>2.2177371689053253E-127</v>
      </c>
      <c r="Y29">
        <v>4.8790217715917154E-128</v>
      </c>
      <c r="Z29">
        <v>1.0733847897501774E-128</v>
      </c>
      <c r="AA29">
        <v>2.3614465374503902E-129</v>
      </c>
      <c r="AB29">
        <v>5.1951823823908584E-130</v>
      </c>
      <c r="AC29">
        <v>1.1429401241259888E-130</v>
      </c>
      <c r="AD29">
        <v>2.5144682730771752E-131</v>
      </c>
      <c r="AE29">
        <v>5.5318302007697857E-132</v>
      </c>
      <c r="AF29">
        <v>1.2170026441693529E-132</v>
      </c>
      <c r="AG29">
        <v>2.6774058171725764E-133</v>
      </c>
    </row>
    <row r="30" spans="1:33" x14ac:dyDescent="0.3">
      <c r="A30">
        <f t="shared" si="1"/>
        <v>0.23000000000000007</v>
      </c>
      <c r="B30">
        <f t="shared" si="0"/>
        <v>0.70840000000000014</v>
      </c>
      <c r="D30">
        <f t="shared" si="2"/>
        <v>23</v>
      </c>
      <c r="E30">
        <f t="shared" si="3"/>
        <v>0.12638436194752239</v>
      </c>
      <c r="H30">
        <f t="shared" ref="H30" si="60">H27+1</f>
        <v>11</v>
      </c>
      <c r="I30">
        <f t="shared" ref="I30" si="61">J28</f>
        <v>0.50392364586516358</v>
      </c>
      <c r="J30">
        <f t="shared" ref="J30" si="62">$E$3*I30*(1-I30)</f>
        <v>0.99993842001249911</v>
      </c>
      <c r="L30">
        <v>0.23</v>
      </c>
      <c r="M30">
        <v>1.1311938066134067E-116</v>
      </c>
      <c r="N30">
        <v>2.6017457552108355E-117</v>
      </c>
      <c r="O30">
        <v>5.9840152369849217E-118</v>
      </c>
      <c r="P30">
        <v>1.3763235045065321E-118</v>
      </c>
      <c r="Q30">
        <v>3.1655440603650239E-119</v>
      </c>
      <c r="R30">
        <v>7.2807513388395549E-120</v>
      </c>
      <c r="S30">
        <v>1.6745728079330976E-120</v>
      </c>
      <c r="T30">
        <v>3.8515174582461246E-121</v>
      </c>
      <c r="U30">
        <v>8.8584901539660866E-122</v>
      </c>
      <c r="V30">
        <v>2.0374527354121999E-122</v>
      </c>
      <c r="W30">
        <v>4.68614129144806E-123</v>
      </c>
      <c r="X30">
        <v>1.0778124970330538E-123</v>
      </c>
      <c r="Y30">
        <v>2.4789687431760238E-124</v>
      </c>
      <c r="Z30">
        <v>5.7016281093048547E-125</v>
      </c>
      <c r="AA30">
        <v>1.3113744651401166E-125</v>
      </c>
      <c r="AB30">
        <v>3.0161612698222682E-126</v>
      </c>
      <c r="AC30">
        <v>6.9371709205912171E-127</v>
      </c>
      <c r="AD30">
        <v>1.5955493117359799E-127</v>
      </c>
      <c r="AE30">
        <v>3.669763416992754E-128</v>
      </c>
      <c r="AF30">
        <v>8.440455859083335E-129</v>
      </c>
      <c r="AG30">
        <v>1.9413048475891672E-129</v>
      </c>
    </row>
    <row r="31" spans="1:33" x14ac:dyDescent="0.3">
      <c r="A31">
        <f t="shared" si="1"/>
        <v>0.24000000000000007</v>
      </c>
      <c r="B31">
        <f t="shared" si="0"/>
        <v>0.72960000000000014</v>
      </c>
      <c r="D31">
        <f t="shared" si="2"/>
        <v>24</v>
      </c>
      <c r="E31">
        <f t="shared" si="3"/>
        <v>0.44164542001056017</v>
      </c>
      <c r="H31">
        <f t="shared" ref="H31" si="63">H29+1</f>
        <v>12</v>
      </c>
      <c r="I31">
        <f t="shared" ref="I31" si="64">J30</f>
        <v>0.99993842001249911</v>
      </c>
      <c r="J31">
        <f t="shared" ref="J31" si="65">I31</f>
        <v>0.99993842001249911</v>
      </c>
      <c r="L31">
        <v>0.24</v>
      </c>
      <c r="M31">
        <v>2.3981806853376445E-113</v>
      </c>
      <c r="N31">
        <v>5.7556336448103464E-114</v>
      </c>
      <c r="O31">
        <v>1.381352074754483E-114</v>
      </c>
      <c r="P31">
        <v>3.315244979410759E-115</v>
      </c>
      <c r="Q31">
        <v>7.9565879505858212E-116</v>
      </c>
      <c r="R31">
        <v>1.909581108140597E-116</v>
      </c>
      <c r="S31">
        <v>4.5829946595374323E-117</v>
      </c>
      <c r="T31">
        <v>1.0999187182889837E-117</v>
      </c>
      <c r="U31">
        <v>2.6398049238935607E-118</v>
      </c>
      <c r="V31">
        <v>6.3355318173445458E-119</v>
      </c>
      <c r="W31">
        <v>1.520527636162691E-119</v>
      </c>
      <c r="X31">
        <v>3.6492663267904583E-120</v>
      </c>
      <c r="Y31">
        <v>8.7582391842970988E-121</v>
      </c>
      <c r="Z31">
        <v>2.1019774042313035E-121</v>
      </c>
      <c r="AA31">
        <v>5.0447457701551285E-122</v>
      </c>
      <c r="AB31">
        <v>1.2107389848372308E-122</v>
      </c>
      <c r="AC31">
        <v>2.9057735636093537E-123</v>
      </c>
      <c r="AD31">
        <v>6.9738565526624488E-124</v>
      </c>
      <c r="AE31">
        <v>1.6737255726389878E-124</v>
      </c>
      <c r="AF31">
        <v>4.0169413743335705E-125</v>
      </c>
      <c r="AG31">
        <v>9.6406592984005693E-126</v>
      </c>
    </row>
    <row r="32" spans="1:33" x14ac:dyDescent="0.3">
      <c r="A32">
        <f t="shared" si="1"/>
        <v>0.25000000000000006</v>
      </c>
      <c r="B32">
        <f t="shared" si="0"/>
        <v>0.75000000000000022</v>
      </c>
      <c r="D32">
        <f t="shared" si="2"/>
        <v>25</v>
      </c>
      <c r="E32">
        <f t="shared" si="3"/>
        <v>0.98637897197702429</v>
      </c>
      <c r="H32">
        <f t="shared" ref="H32" si="66">H29+1</f>
        <v>12</v>
      </c>
      <c r="I32">
        <f t="shared" ref="I32" si="67">J30</f>
        <v>0.99993842001249911</v>
      </c>
      <c r="J32">
        <f t="shared" ref="J32" si="68">$E$3*I32*(1-I32)</f>
        <v>2.4630478162412819E-4</v>
      </c>
      <c r="L32">
        <v>0.25</v>
      </c>
      <c r="M32">
        <v>3.7185579842919616E-110</v>
      </c>
      <c r="N32">
        <v>9.296394960729904E-111</v>
      </c>
      <c r="O32">
        <v>2.324098740182476E-111</v>
      </c>
      <c r="P32">
        <v>5.81024685045619E-112</v>
      </c>
      <c r="Q32">
        <v>1.4525617126140475E-112</v>
      </c>
      <c r="R32">
        <v>3.6314042815351188E-113</v>
      </c>
      <c r="S32">
        <v>9.0785107038377969E-114</v>
      </c>
      <c r="T32">
        <v>2.2696276759594492E-114</v>
      </c>
      <c r="U32">
        <v>5.6740691898986231E-115</v>
      </c>
      <c r="V32">
        <v>1.4185172974746558E-115</v>
      </c>
      <c r="W32">
        <v>3.5462932436866394E-116</v>
      </c>
      <c r="X32">
        <v>8.8657331092165986E-117</v>
      </c>
      <c r="Y32">
        <v>2.2164332773041496E-117</v>
      </c>
      <c r="Z32">
        <v>5.5410831932603741E-118</v>
      </c>
      <c r="AA32">
        <v>1.3852707983150935E-118</v>
      </c>
      <c r="AB32">
        <v>3.4631769957877338E-119</v>
      </c>
      <c r="AC32">
        <v>8.6579424894693345E-120</v>
      </c>
      <c r="AD32">
        <v>2.1644856223673336E-120</v>
      </c>
      <c r="AE32">
        <v>5.4112140559183341E-121</v>
      </c>
      <c r="AF32">
        <v>1.3528035139795835E-121</v>
      </c>
      <c r="AG32">
        <v>3.3820087849489588E-122</v>
      </c>
    </row>
    <row r="33" spans="1:33" x14ac:dyDescent="0.3">
      <c r="A33">
        <f t="shared" si="1"/>
        <v>0.26000000000000006</v>
      </c>
      <c r="B33">
        <f t="shared" si="0"/>
        <v>0.76960000000000017</v>
      </c>
      <c r="D33">
        <f t="shared" si="2"/>
        <v>26</v>
      </c>
      <c r="E33">
        <f t="shared" si="3"/>
        <v>5.3741982474292092E-2</v>
      </c>
      <c r="H33">
        <f t="shared" ref="H33" si="69">H31+1</f>
        <v>13</v>
      </c>
      <c r="I33">
        <f t="shared" ref="I33" si="70">J32</f>
        <v>2.4630478162412819E-4</v>
      </c>
      <c r="J33">
        <f t="shared" ref="J33" si="71">I33</f>
        <v>2.4630478162412819E-4</v>
      </c>
      <c r="L33">
        <v>0.26</v>
      </c>
      <c r="M33">
        <v>4.3218763559090568E-107</v>
      </c>
      <c r="N33">
        <v>1.1236878525363548E-107</v>
      </c>
      <c r="O33">
        <v>2.9215884165945225E-108</v>
      </c>
      <c r="P33">
        <v>7.5961298831457589E-109</v>
      </c>
      <c r="Q33">
        <v>1.9749937696178974E-109</v>
      </c>
      <c r="R33">
        <v>5.1349838010065333E-110</v>
      </c>
      <c r="S33">
        <v>1.3350957882616986E-110</v>
      </c>
      <c r="T33">
        <v>3.4712490494804165E-111</v>
      </c>
      <c r="U33">
        <v>9.0252475286490826E-112</v>
      </c>
      <c r="V33">
        <v>2.3465643574487616E-112</v>
      </c>
      <c r="W33">
        <v>6.1010673293667805E-113</v>
      </c>
      <c r="X33">
        <v>1.586277505635363E-113</v>
      </c>
      <c r="Y33">
        <v>4.1243215146519442E-114</v>
      </c>
      <c r="Z33">
        <v>1.0723235938095055E-114</v>
      </c>
      <c r="AA33">
        <v>2.7880413439047144E-115</v>
      </c>
      <c r="AB33">
        <v>7.2489074941522573E-116</v>
      </c>
      <c r="AC33">
        <v>1.884715948479587E-116</v>
      </c>
      <c r="AD33">
        <v>4.9002614660469266E-117</v>
      </c>
      <c r="AE33">
        <v>1.274067981172201E-117</v>
      </c>
      <c r="AF33">
        <v>3.3125767510477225E-118</v>
      </c>
      <c r="AG33">
        <v>8.6126995527240789E-119</v>
      </c>
    </row>
    <row r="34" spans="1:33" x14ac:dyDescent="0.3">
      <c r="A34">
        <f t="shared" si="1"/>
        <v>0.27000000000000007</v>
      </c>
      <c r="B34">
        <f t="shared" si="0"/>
        <v>0.78840000000000021</v>
      </c>
      <c r="D34">
        <f t="shared" si="2"/>
        <v>27</v>
      </c>
      <c r="E34">
        <f t="shared" si="3"/>
        <v>0.20341512717609991</v>
      </c>
      <c r="H34">
        <f t="shared" ref="H34" si="72">H31+1</f>
        <v>13</v>
      </c>
      <c r="I34">
        <f t="shared" ref="I34" si="73">J32</f>
        <v>2.4630478162412819E-4</v>
      </c>
      <c r="J34">
        <f t="shared" ref="J34" si="74">$E$3*I34*(1-I34)</f>
        <v>9.8497646231470912E-4</v>
      </c>
      <c r="L34">
        <v>0.27</v>
      </c>
      <c r="M34">
        <v>3.8479142238534655E-104</v>
      </c>
      <c r="N34">
        <v>1.0389368404404357E-104</v>
      </c>
      <c r="O34">
        <v>2.8051294691891766E-105</v>
      </c>
      <c r="P34">
        <v>7.5738495668107773E-106</v>
      </c>
      <c r="Q34">
        <v>2.0449393830389099E-106</v>
      </c>
      <c r="R34">
        <v>5.5213363342050574E-107</v>
      </c>
      <c r="S34">
        <v>1.4907608102353657E-107</v>
      </c>
      <c r="T34">
        <v>4.0250541876354879E-108</v>
      </c>
      <c r="U34">
        <v>1.0867646306615817E-108</v>
      </c>
      <c r="V34">
        <v>2.9342645027862707E-109</v>
      </c>
      <c r="W34">
        <v>7.922514157522932E-110</v>
      </c>
      <c r="X34">
        <v>2.1390788225311919E-110</v>
      </c>
      <c r="Y34">
        <v>5.7755128208342187E-111</v>
      </c>
      <c r="Z34">
        <v>1.5593884616252391E-111</v>
      </c>
      <c r="AA34">
        <v>4.2103488463881453E-112</v>
      </c>
      <c r="AB34">
        <v>1.1367941885247994E-112</v>
      </c>
      <c r="AC34">
        <v>3.0693443090169583E-113</v>
      </c>
      <c r="AD34">
        <v>8.2872296343457879E-114</v>
      </c>
      <c r="AE34">
        <v>2.2375520012733628E-114</v>
      </c>
      <c r="AF34">
        <v>6.04139040343808E-115</v>
      </c>
      <c r="AG34">
        <v>1.6311754089282816E-115</v>
      </c>
    </row>
    <row r="35" spans="1:33" x14ac:dyDescent="0.3">
      <c r="A35">
        <f t="shared" si="1"/>
        <v>0.28000000000000008</v>
      </c>
      <c r="B35">
        <f t="shared" si="0"/>
        <v>0.80640000000000023</v>
      </c>
      <c r="D35">
        <f t="shared" si="2"/>
        <v>28</v>
      </c>
      <c r="E35">
        <f t="shared" si="3"/>
        <v>0.64814965284812409</v>
      </c>
      <c r="H35">
        <f t="shared" ref="H35" si="75">H33+1</f>
        <v>14</v>
      </c>
      <c r="I35">
        <f t="shared" ref="I35" si="76">J34</f>
        <v>9.8497646231470912E-4</v>
      </c>
      <c r="J35">
        <f t="shared" ref="J35" si="77">I35</f>
        <v>9.8497646231470912E-4</v>
      </c>
      <c r="L35">
        <v>0.28000000000000003</v>
      </c>
      <c r="M35">
        <v>2.6757917858417606E-101</v>
      </c>
      <c r="N35">
        <v>7.49221700035693E-102</v>
      </c>
      <c r="O35">
        <v>2.0978207600999404E-102</v>
      </c>
      <c r="P35">
        <v>5.873898128279834E-103</v>
      </c>
      <c r="Q35">
        <v>1.6446914759183536E-103</v>
      </c>
      <c r="R35">
        <v>4.6051361325713906E-104</v>
      </c>
      <c r="S35">
        <v>1.2894381171199896E-104</v>
      </c>
      <c r="T35">
        <v>3.6104267279359712E-105</v>
      </c>
      <c r="U35">
        <v>1.010919483822072E-105</v>
      </c>
      <c r="V35">
        <v>2.830574554701802E-106</v>
      </c>
      <c r="W35">
        <v>7.9256087531650458E-107</v>
      </c>
      <c r="X35">
        <v>2.2191704508862131E-107</v>
      </c>
      <c r="Y35">
        <v>6.2136772624813974E-108</v>
      </c>
      <c r="Z35">
        <v>1.7398296334947914E-108</v>
      </c>
      <c r="AA35">
        <v>4.8715229737854164E-109</v>
      </c>
      <c r="AB35">
        <v>1.3640264326599166E-109</v>
      </c>
      <c r="AC35">
        <v>3.819274011447767E-110</v>
      </c>
      <c r="AD35">
        <v>1.0693967232053748E-110</v>
      </c>
      <c r="AE35">
        <v>2.9943108249750497E-111</v>
      </c>
      <c r="AF35">
        <v>8.3840703099301395E-112</v>
      </c>
      <c r="AG35">
        <v>2.3475396867804393E-112</v>
      </c>
    </row>
    <row r="36" spans="1:33" x14ac:dyDescent="0.3">
      <c r="A36">
        <f t="shared" si="1"/>
        <v>0.29000000000000009</v>
      </c>
      <c r="B36">
        <f t="shared" si="0"/>
        <v>0.82360000000000022</v>
      </c>
      <c r="D36">
        <f t="shared" si="2"/>
        <v>29</v>
      </c>
      <c r="E36">
        <f t="shared" si="3"/>
        <v>0.91220672144392123</v>
      </c>
      <c r="H36">
        <f t="shared" ref="H36" si="78">H33+1</f>
        <v>14</v>
      </c>
      <c r="I36">
        <f t="shared" ref="I36" si="79">J34</f>
        <v>9.8497646231470912E-4</v>
      </c>
      <c r="J36">
        <f t="shared" ref="J36" si="80">$E$3*I36*(1-I36)</f>
        <v>3.9360251347335803E-3</v>
      </c>
      <c r="L36">
        <v>0.28999999999999998</v>
      </c>
      <c r="M36">
        <v>1.4787171032146345E-98</v>
      </c>
      <c r="N36">
        <v>4.28827959932244E-99</v>
      </c>
      <c r="O36">
        <v>1.2436010838035076E-99</v>
      </c>
      <c r="P36">
        <v>3.6064431430301715E-100</v>
      </c>
      <c r="Q36">
        <v>1.0458685114787497E-100</v>
      </c>
      <c r="R36">
        <v>3.0330186832883737E-101</v>
      </c>
      <c r="S36">
        <v>8.7957541815362824E-102</v>
      </c>
      <c r="T36">
        <v>2.5507687126455217E-102</v>
      </c>
      <c r="U36">
        <v>7.3972292666720121E-103</v>
      </c>
      <c r="V36">
        <v>2.1451964873348833E-103</v>
      </c>
      <c r="W36">
        <v>6.2210698132711612E-104</v>
      </c>
      <c r="X36">
        <v>1.8041102458486367E-104</v>
      </c>
      <c r="Y36">
        <v>5.2319197129610457E-105</v>
      </c>
      <c r="Z36">
        <v>1.5172567167587032E-105</v>
      </c>
      <c r="AA36">
        <v>4.400044478600239E-106</v>
      </c>
      <c r="AB36">
        <v>1.2760128987940692E-106</v>
      </c>
      <c r="AC36">
        <v>3.7004374065028003E-107</v>
      </c>
      <c r="AD36">
        <v>1.073126847885812E-107</v>
      </c>
      <c r="AE36">
        <v>3.1120678588688545E-108</v>
      </c>
      <c r="AF36">
        <v>9.024996790719678E-109</v>
      </c>
      <c r="AG36">
        <v>2.6172490693087064E-109</v>
      </c>
    </row>
    <row r="37" spans="1:33" x14ac:dyDescent="0.3">
      <c r="A37">
        <f t="shared" si="1"/>
        <v>0.3000000000000001</v>
      </c>
      <c r="B37">
        <f t="shared" si="0"/>
        <v>0.84000000000000019</v>
      </c>
      <c r="D37">
        <f t="shared" si="2"/>
        <v>30</v>
      </c>
      <c r="E37">
        <f t="shared" si="3"/>
        <v>0.3203424751858141</v>
      </c>
      <c r="H37">
        <f t="shared" ref="H37" si="81">H35+1</f>
        <v>15</v>
      </c>
      <c r="I37">
        <f t="shared" ref="I37" si="82">J36</f>
        <v>3.9360251347335803E-3</v>
      </c>
      <c r="J37">
        <f t="shared" ref="J37" si="83">I37</f>
        <v>3.9360251347335803E-3</v>
      </c>
      <c r="L37">
        <v>0.3</v>
      </c>
      <c r="M37">
        <v>6.5961312717956616E-96</v>
      </c>
      <c r="N37">
        <v>1.9788393815386985E-96</v>
      </c>
      <c r="O37">
        <v>5.9365181446160948E-97</v>
      </c>
      <c r="P37">
        <v>1.7809554433848284E-97</v>
      </c>
      <c r="Q37">
        <v>5.342866330154485E-98</v>
      </c>
      <c r="R37">
        <v>1.6028598990463454E-98</v>
      </c>
      <c r="S37">
        <v>4.8085796971390362E-99</v>
      </c>
      <c r="T37">
        <v>1.4425739091417108E-99</v>
      </c>
      <c r="U37">
        <v>4.3277217274251322E-100</v>
      </c>
      <c r="V37">
        <v>1.2983165182275396E-100</v>
      </c>
      <c r="W37">
        <v>3.8949495546826185E-101</v>
      </c>
      <c r="X37">
        <v>1.1684848664047854E-101</v>
      </c>
      <c r="Y37">
        <v>3.5054545992143563E-102</v>
      </c>
      <c r="Z37">
        <v>1.0516363797643069E-102</v>
      </c>
      <c r="AA37">
        <v>3.1549091392929206E-103</v>
      </c>
      <c r="AB37">
        <v>9.464727417878762E-104</v>
      </c>
      <c r="AC37">
        <v>2.8394182253636285E-104</v>
      </c>
      <c r="AD37">
        <v>8.5182546760908855E-105</v>
      </c>
      <c r="AE37">
        <v>2.5554764028272655E-105</v>
      </c>
      <c r="AF37">
        <v>7.6664292084817959E-106</v>
      </c>
      <c r="AG37">
        <v>2.2999287625445389E-106</v>
      </c>
    </row>
    <row r="38" spans="1:33" x14ac:dyDescent="0.3">
      <c r="A38">
        <f t="shared" si="1"/>
        <v>0.31000000000000011</v>
      </c>
      <c r="B38">
        <f t="shared" si="0"/>
        <v>0.85560000000000025</v>
      </c>
      <c r="D38">
        <f t="shared" si="2"/>
        <v>31</v>
      </c>
      <c r="E38">
        <f t="shared" si="3"/>
        <v>0.87089269511056067</v>
      </c>
      <c r="H38">
        <f t="shared" ref="H38" si="84">H35+1</f>
        <v>15</v>
      </c>
      <c r="I38">
        <f t="shared" ref="I38" si="85">J36</f>
        <v>3.9360251347335803E-3</v>
      </c>
      <c r="J38">
        <f t="shared" ref="J38" si="86">$E$3*I38*(1-I38)</f>
        <v>1.5682131363489303E-2</v>
      </c>
      <c r="L38">
        <v>0.31</v>
      </c>
      <c r="M38">
        <v>2.4085997024102846E-93</v>
      </c>
      <c r="N38">
        <v>7.4666590774718828E-94</v>
      </c>
      <c r="O38">
        <v>2.3146643140162836E-94</v>
      </c>
      <c r="P38">
        <v>7.1754593734504794E-95</v>
      </c>
      <c r="Q38">
        <v>2.2243924057696485E-95</v>
      </c>
      <c r="R38">
        <v>6.8956164578859102E-96</v>
      </c>
      <c r="S38">
        <v>2.1376411019446324E-96</v>
      </c>
      <c r="T38">
        <v>6.6266874160283601E-97</v>
      </c>
      <c r="U38">
        <v>2.0542730989687915E-97</v>
      </c>
      <c r="V38">
        <v>6.3682466068032536E-98</v>
      </c>
      <c r="W38">
        <v>1.9741564481090087E-98</v>
      </c>
      <c r="X38">
        <v>6.1198849891379266E-99</v>
      </c>
      <c r="Y38">
        <v>1.8971643466327574E-99</v>
      </c>
      <c r="Z38">
        <v>5.8812094745615482E-100</v>
      </c>
      <c r="AA38">
        <v>1.8231749371140799E-100</v>
      </c>
      <c r="AB38">
        <v>5.6518423050536475E-101</v>
      </c>
      <c r="AC38">
        <v>1.7520711145666307E-101</v>
      </c>
      <c r="AD38">
        <v>5.4314204551565552E-102</v>
      </c>
      <c r="AE38">
        <v>1.6837403410985322E-102</v>
      </c>
      <c r="AF38">
        <v>5.2195950574054498E-103</v>
      </c>
      <c r="AG38">
        <v>1.6180744677956895E-103</v>
      </c>
    </row>
    <row r="39" spans="1:33" x14ac:dyDescent="0.3">
      <c r="A39">
        <f t="shared" si="1"/>
        <v>0.32000000000000012</v>
      </c>
      <c r="B39">
        <f t="shared" si="0"/>
        <v>0.87040000000000028</v>
      </c>
      <c r="D39">
        <f t="shared" si="2"/>
        <v>32</v>
      </c>
      <c r="E39">
        <f t="shared" si="3"/>
        <v>0.44975443485449873</v>
      </c>
      <c r="H39">
        <f t="shared" ref="H39" si="87">H37+1</f>
        <v>16</v>
      </c>
      <c r="I39">
        <f t="shared" ref="I39" si="88">J38</f>
        <v>1.5682131363489303E-2</v>
      </c>
      <c r="J39">
        <f t="shared" ref="J39" si="89">I39</f>
        <v>1.5682131363489303E-2</v>
      </c>
      <c r="L39">
        <v>0.32</v>
      </c>
      <c r="M39">
        <v>7.2917132789949483E-91</v>
      </c>
      <c r="N39">
        <v>2.3333482492783834E-91</v>
      </c>
      <c r="O39">
        <v>7.4667143976908274E-92</v>
      </c>
      <c r="P39">
        <v>2.3893486072610648E-92</v>
      </c>
      <c r="Q39">
        <v>7.6459155432354075E-93</v>
      </c>
      <c r="R39">
        <v>2.4466929738353306E-93</v>
      </c>
      <c r="S39">
        <v>7.8294175162730578E-94</v>
      </c>
      <c r="T39">
        <v>2.5054136052073784E-94</v>
      </c>
      <c r="U39">
        <v>8.017323536663611E-95</v>
      </c>
      <c r="V39">
        <v>2.5655435317323554E-95</v>
      </c>
      <c r="W39">
        <v>8.2097393015435379E-96</v>
      </c>
      <c r="X39">
        <v>2.627116576493932E-96</v>
      </c>
      <c r="Y39">
        <v>8.4067730447805827E-97</v>
      </c>
      <c r="Z39">
        <v>2.6901673743297864E-97</v>
      </c>
      <c r="AA39">
        <v>8.6085355978553166E-98</v>
      </c>
      <c r="AB39">
        <v>2.7547313913137013E-98</v>
      </c>
      <c r="AC39">
        <v>8.8151404522038439E-99</v>
      </c>
      <c r="AD39">
        <v>2.8208449447052301E-99</v>
      </c>
      <c r="AE39">
        <v>9.0267038230567368E-100</v>
      </c>
      <c r="AF39">
        <v>2.8885452233781561E-100</v>
      </c>
      <c r="AG39">
        <v>9.2433447148100995E-101</v>
      </c>
    </row>
    <row r="40" spans="1:33" x14ac:dyDescent="0.3">
      <c r="A40">
        <f t="shared" si="1"/>
        <v>0.33000000000000013</v>
      </c>
      <c r="B40">
        <f t="shared" si="0"/>
        <v>0.8844000000000003</v>
      </c>
      <c r="D40">
        <f t="shared" si="2"/>
        <v>33</v>
      </c>
      <c r="E40">
        <f t="shared" si="3"/>
        <v>0.98990153273283676</v>
      </c>
      <c r="H40">
        <f t="shared" ref="H40" si="90">H37+1</f>
        <v>16</v>
      </c>
      <c r="I40">
        <f t="shared" ref="I40" si="91">J38</f>
        <v>1.5682131363489303E-2</v>
      </c>
      <c r="J40">
        <f t="shared" ref="J40" si="92">$E$3*I40*(1-I40)</f>
        <v>6.1744808477550275E-2</v>
      </c>
      <c r="L40">
        <v>0.33</v>
      </c>
      <c r="M40">
        <v>1.8513687549898711E-88</v>
      </c>
      <c r="N40">
        <v>6.109516891466575E-89</v>
      </c>
      <c r="O40">
        <v>2.01614057418397E-89</v>
      </c>
      <c r="P40">
        <v>6.6532638948071015E-90</v>
      </c>
      <c r="Q40">
        <v>2.1955770852863435E-90</v>
      </c>
      <c r="R40">
        <v>7.2454043814449334E-91</v>
      </c>
      <c r="S40">
        <v>2.3909834458768282E-91</v>
      </c>
      <c r="T40">
        <v>7.8902453713935338E-92</v>
      </c>
      <c r="U40">
        <v>2.6037809725598664E-92</v>
      </c>
      <c r="V40">
        <v>8.5924772094475601E-93</v>
      </c>
      <c r="W40">
        <v>2.8355174791176949E-93</v>
      </c>
      <c r="X40">
        <v>9.3572076810883939E-94</v>
      </c>
      <c r="Y40">
        <v>3.0878785347591702E-94</v>
      </c>
      <c r="Z40">
        <v>1.0189999164705262E-94</v>
      </c>
      <c r="AA40">
        <v>3.3626997243527365E-95</v>
      </c>
      <c r="AB40">
        <v>1.1096909090364031E-95</v>
      </c>
      <c r="AC40">
        <v>3.6619799998201304E-96</v>
      </c>
      <c r="AD40">
        <v>1.2084533999406431E-96</v>
      </c>
      <c r="AE40">
        <v>3.9878962198041223E-97</v>
      </c>
      <c r="AF40">
        <v>1.3160057525353604E-97</v>
      </c>
      <c r="AG40">
        <v>4.3428189833666894E-98</v>
      </c>
    </row>
    <row r="41" spans="1:33" x14ac:dyDescent="0.3">
      <c r="A41">
        <f t="shared" si="1"/>
        <v>0.34000000000000014</v>
      </c>
      <c r="B41">
        <f t="shared" si="0"/>
        <v>0.89760000000000029</v>
      </c>
      <c r="D41">
        <f t="shared" si="2"/>
        <v>34</v>
      </c>
      <c r="E41">
        <f t="shared" si="3"/>
        <v>3.9985952904069075E-2</v>
      </c>
      <c r="H41">
        <f t="shared" ref="H41" si="93">H39+1</f>
        <v>17</v>
      </c>
      <c r="I41">
        <f t="shared" ref="I41" si="94">J40</f>
        <v>6.1744808477550275E-2</v>
      </c>
      <c r="J41">
        <f t="shared" ref="J41" si="95">I41</f>
        <v>6.1744808477550275E-2</v>
      </c>
      <c r="L41">
        <v>0.34</v>
      </c>
      <c r="M41">
        <v>3.9839568048607706E-86</v>
      </c>
      <c r="N41">
        <v>1.354545313652662E-86</v>
      </c>
      <c r="O41">
        <v>4.6054540664190513E-87</v>
      </c>
      <c r="P41">
        <v>1.5658543825824776E-87</v>
      </c>
      <c r="Q41">
        <v>5.3239049007804244E-88</v>
      </c>
      <c r="R41">
        <v>1.8101276662653445E-88</v>
      </c>
      <c r="S41">
        <v>6.1544340653021716E-89</v>
      </c>
      <c r="T41">
        <v>2.0925075822027384E-89</v>
      </c>
      <c r="U41">
        <v>7.1145257794893112E-90</v>
      </c>
      <c r="V41">
        <v>2.4189387650263659E-90</v>
      </c>
      <c r="W41">
        <v>8.2243918010896451E-91</v>
      </c>
      <c r="X41">
        <v>2.7962932123704797E-91</v>
      </c>
      <c r="Y41">
        <v>9.5073969220596318E-92</v>
      </c>
      <c r="Z41">
        <v>3.2325149535002748E-92</v>
      </c>
      <c r="AA41">
        <v>1.0990550841900935E-92</v>
      </c>
      <c r="AB41">
        <v>3.736787286246318E-93</v>
      </c>
      <c r="AC41">
        <v>1.2705076773237482E-93</v>
      </c>
      <c r="AD41">
        <v>4.3197261029007441E-94</v>
      </c>
      <c r="AE41">
        <v>1.468706874986253E-94</v>
      </c>
      <c r="AF41">
        <v>4.9936033749532606E-95</v>
      </c>
      <c r="AG41">
        <v>1.6978251474841087E-95</v>
      </c>
    </row>
    <row r="42" spans="1:33" x14ac:dyDescent="0.3">
      <c r="A42">
        <f t="shared" si="1"/>
        <v>0.35000000000000014</v>
      </c>
      <c r="B42">
        <f t="shared" si="0"/>
        <v>0.91000000000000025</v>
      </c>
      <c r="D42">
        <f t="shared" si="2"/>
        <v>35</v>
      </c>
      <c r="E42">
        <f t="shared" si="3"/>
        <v>0.15354830589769058</v>
      </c>
      <c r="H42">
        <f t="shared" ref="H42" si="96">H39+1</f>
        <v>17</v>
      </c>
      <c r="I42">
        <f t="shared" ref="I42" si="97">J40</f>
        <v>6.1744808477550275E-2</v>
      </c>
      <c r="J42">
        <f t="shared" ref="J42" si="98">$E$3*I42*(1-I42)</f>
        <v>0.23172954841448365</v>
      </c>
      <c r="L42">
        <v>0.35</v>
      </c>
      <c r="M42">
        <v>7.3359748303282245E-84</v>
      </c>
      <c r="N42">
        <v>2.5675911906148783E-84</v>
      </c>
      <c r="O42">
        <v>8.9865691671520732E-85</v>
      </c>
      <c r="P42">
        <v>3.1452992085032255E-85</v>
      </c>
      <c r="Q42">
        <v>1.1008547229761289E-85</v>
      </c>
      <c r="R42">
        <v>3.8529915304164511E-86</v>
      </c>
      <c r="S42">
        <v>1.3485470356457578E-86</v>
      </c>
      <c r="T42">
        <v>4.7199146247601519E-87</v>
      </c>
      <c r="U42">
        <v>1.651970118666053E-87</v>
      </c>
      <c r="V42">
        <v>5.7818954153311847E-88</v>
      </c>
      <c r="W42">
        <v>2.0236633953659145E-88</v>
      </c>
      <c r="X42">
        <v>7.0828218837806996E-89</v>
      </c>
      <c r="Y42">
        <v>2.4789876593232448E-89</v>
      </c>
      <c r="Z42">
        <v>8.6764568076313555E-90</v>
      </c>
      <c r="AA42">
        <v>3.0367598826709741E-90</v>
      </c>
      <c r="AB42">
        <v>1.0628659589348408E-90</v>
      </c>
      <c r="AC42">
        <v>3.7200308562719427E-91</v>
      </c>
      <c r="AD42">
        <v>1.3020107996951799E-91</v>
      </c>
      <c r="AE42">
        <v>4.5570377989331291E-92</v>
      </c>
      <c r="AF42">
        <v>1.5949632296265952E-92</v>
      </c>
      <c r="AG42">
        <v>5.5823713036930831E-93</v>
      </c>
    </row>
    <row r="43" spans="1:33" x14ac:dyDescent="0.3">
      <c r="A43">
        <f t="shared" si="1"/>
        <v>0.36000000000000015</v>
      </c>
      <c r="B43">
        <f t="shared" si="0"/>
        <v>0.9216000000000002</v>
      </c>
      <c r="D43">
        <f t="shared" si="2"/>
        <v>36</v>
      </c>
      <c r="E43">
        <f t="shared" si="3"/>
        <v>0.51988489461455933</v>
      </c>
      <c r="H43">
        <f t="shared" ref="H43" si="99">H41+1</f>
        <v>18</v>
      </c>
      <c r="I43">
        <f t="shared" ref="I43" si="100">J42</f>
        <v>0.23172954841448365</v>
      </c>
      <c r="J43">
        <f t="shared" ref="J43" si="101">I43</f>
        <v>0.23172954841448365</v>
      </c>
      <c r="L43">
        <v>0.36</v>
      </c>
      <c r="M43">
        <v>1.1660943127089041E-81</v>
      </c>
      <c r="N43">
        <v>4.1979395257520548E-82</v>
      </c>
      <c r="O43">
        <v>1.5112582292707398E-82</v>
      </c>
      <c r="P43">
        <v>5.4405296253746634E-83</v>
      </c>
      <c r="Q43">
        <v>1.9585906651348787E-83</v>
      </c>
      <c r="R43">
        <v>7.0509263944855627E-84</v>
      </c>
      <c r="S43">
        <v>2.5383335020148027E-84</v>
      </c>
      <c r="T43">
        <v>9.1380006072532892E-85</v>
      </c>
      <c r="U43">
        <v>3.2896802186111837E-85</v>
      </c>
      <c r="V43">
        <v>1.1842848787000261E-85</v>
      </c>
      <c r="W43">
        <v>4.2634255633200935E-86</v>
      </c>
      <c r="X43">
        <v>1.5348332027952336E-86</v>
      </c>
      <c r="Y43">
        <v>5.5253995300628408E-87</v>
      </c>
      <c r="Z43">
        <v>1.9891438308226225E-87</v>
      </c>
      <c r="AA43">
        <v>7.1609177909614404E-88</v>
      </c>
      <c r="AB43">
        <v>2.5779304047461184E-88</v>
      </c>
      <c r="AC43">
        <v>9.2805494570860264E-89</v>
      </c>
      <c r="AD43">
        <v>3.3409978045509692E-89</v>
      </c>
      <c r="AE43">
        <v>1.2027592096383488E-89</v>
      </c>
      <c r="AF43">
        <v>4.3299331546980553E-90</v>
      </c>
      <c r="AG43">
        <v>1.5587759356912999E-90</v>
      </c>
    </row>
    <row r="44" spans="1:33" x14ac:dyDescent="0.3">
      <c r="A44">
        <f t="shared" si="1"/>
        <v>0.37000000000000016</v>
      </c>
      <c r="B44">
        <f t="shared" si="0"/>
        <v>0.93240000000000023</v>
      </c>
      <c r="D44">
        <f t="shared" si="2"/>
        <v>37</v>
      </c>
      <c r="E44">
        <f t="shared" si="3"/>
        <v>0.99841836386467153</v>
      </c>
      <c r="H44">
        <f t="shared" ref="H44" si="102">H41+1</f>
        <v>18</v>
      </c>
      <c r="I44">
        <f t="shared" ref="I44" si="103">J42</f>
        <v>0.23172954841448365</v>
      </c>
      <c r="J44">
        <f t="shared" ref="J44" si="104">$E$3*I44*(1-I44)</f>
        <v>0.71212385922441246</v>
      </c>
      <c r="L44">
        <v>0.37</v>
      </c>
      <c r="M44">
        <v>1.6130201311947596E-79</v>
      </c>
      <c r="N44">
        <v>5.9681744854206106E-80</v>
      </c>
      <c r="O44">
        <v>2.2082245596056258E-80</v>
      </c>
      <c r="P44">
        <v>8.1704308705408148E-81</v>
      </c>
      <c r="Q44">
        <v>3.0230594221001014E-81</v>
      </c>
      <c r="R44">
        <v>1.1185319861770374E-81</v>
      </c>
      <c r="S44">
        <v>4.1385683488550385E-82</v>
      </c>
      <c r="T44">
        <v>1.5312702890763641E-82</v>
      </c>
      <c r="U44">
        <v>5.6657000695825471E-83</v>
      </c>
      <c r="V44">
        <v>2.0963090257455424E-83</v>
      </c>
      <c r="W44">
        <v>7.7563433952585066E-84</v>
      </c>
      <c r="X44">
        <v>2.8698470562456472E-84</v>
      </c>
      <c r="Y44">
        <v>1.0618434108108895E-84</v>
      </c>
      <c r="Z44">
        <v>3.928820620000291E-85</v>
      </c>
      <c r="AA44">
        <v>1.4536636294001078E-85</v>
      </c>
      <c r="AB44">
        <v>5.378555428780399E-86</v>
      </c>
      <c r="AC44">
        <v>1.9900655086487478E-86</v>
      </c>
      <c r="AD44">
        <v>7.3632423820003666E-87</v>
      </c>
      <c r="AE44">
        <v>2.7243996813401356E-87</v>
      </c>
      <c r="AF44">
        <v>1.0080278820958502E-87</v>
      </c>
      <c r="AG44">
        <v>3.7297031637546459E-88</v>
      </c>
    </row>
    <row r="45" spans="1:33" x14ac:dyDescent="0.3">
      <c r="A45">
        <f t="shared" si="1"/>
        <v>0.38000000000000017</v>
      </c>
      <c r="B45">
        <f t="shared" si="0"/>
        <v>0.94240000000000024</v>
      </c>
      <c r="D45">
        <f t="shared" si="2"/>
        <v>38</v>
      </c>
      <c r="E45">
        <f t="shared" si="3"/>
        <v>6.3165382498555651E-3</v>
      </c>
      <c r="H45">
        <f t="shared" ref="H45" si="105">H43+1</f>
        <v>19</v>
      </c>
      <c r="I45">
        <f t="shared" ref="I45" si="106">J44</f>
        <v>0.71212385922441246</v>
      </c>
      <c r="J45">
        <f t="shared" ref="J45" si="107">I45</f>
        <v>0.71212385922441246</v>
      </c>
      <c r="L45">
        <v>0.38</v>
      </c>
      <c r="M45">
        <v>1.9561121618430392E-77</v>
      </c>
      <c r="N45">
        <v>7.4332262150035493E-78</v>
      </c>
      <c r="O45">
        <v>2.8246259617013489E-78</v>
      </c>
      <c r="P45">
        <v>1.0733578654465126E-78</v>
      </c>
      <c r="Q45">
        <v>4.078759888696748E-79</v>
      </c>
      <c r="R45">
        <v>1.5499287577047641E-79</v>
      </c>
      <c r="S45">
        <v>5.8897292792781039E-80</v>
      </c>
      <c r="T45">
        <v>2.2380971261256796E-80</v>
      </c>
      <c r="U45">
        <v>8.504769079277583E-81</v>
      </c>
      <c r="V45">
        <v>3.2318122501254815E-81</v>
      </c>
      <c r="W45">
        <v>1.228088655047683E-81</v>
      </c>
      <c r="X45">
        <v>4.6667368891811953E-82</v>
      </c>
      <c r="Y45">
        <v>1.7733600178888541E-82</v>
      </c>
      <c r="Z45">
        <v>6.738768067977646E-83</v>
      </c>
      <c r="AA45">
        <v>2.5607318658315057E-83</v>
      </c>
      <c r="AB45">
        <v>9.7307810901597225E-84</v>
      </c>
      <c r="AC45">
        <v>3.6976968142606944E-84</v>
      </c>
      <c r="AD45">
        <v>1.4051247894190639E-84</v>
      </c>
      <c r="AE45">
        <v>5.3394741997924425E-85</v>
      </c>
      <c r="AF45">
        <v>2.0290001959211281E-85</v>
      </c>
      <c r="AG45">
        <v>7.7102007445002875E-86</v>
      </c>
    </row>
    <row r="46" spans="1:33" x14ac:dyDescent="0.3">
      <c r="A46">
        <f t="shared" si="1"/>
        <v>0.39000000000000018</v>
      </c>
      <c r="B46">
        <f t="shared" si="0"/>
        <v>0.95160000000000022</v>
      </c>
      <c r="D46">
        <f t="shared" si="2"/>
        <v>39</v>
      </c>
      <c r="E46">
        <f t="shared" si="3"/>
        <v>2.5106558377574705E-2</v>
      </c>
      <c r="H46">
        <f t="shared" ref="H46" si="108">H43+1</f>
        <v>19</v>
      </c>
      <c r="I46">
        <f t="shared" ref="I46" si="109">J44</f>
        <v>0.71212385922441246</v>
      </c>
      <c r="J46">
        <f t="shared" ref="J46" si="110">$E$3*I46*(1-I46)</f>
        <v>0.82001387339096654</v>
      </c>
      <c r="L46">
        <v>0.39</v>
      </c>
      <c r="M46">
        <v>2.0939302534338053E-75</v>
      </c>
      <c r="N46">
        <v>8.1663279883918405E-76</v>
      </c>
      <c r="O46">
        <v>3.184867915472818E-76</v>
      </c>
      <c r="P46">
        <v>1.242098487034399E-76</v>
      </c>
      <c r="Q46">
        <v>4.8441840994341564E-77</v>
      </c>
      <c r="R46">
        <v>1.8892317987793209E-77</v>
      </c>
      <c r="S46">
        <v>7.3680040152393523E-78</v>
      </c>
      <c r="T46">
        <v>2.8735215659433476E-78</v>
      </c>
      <c r="U46">
        <v>1.1206734107179055E-78</v>
      </c>
      <c r="V46">
        <v>4.3706263017998313E-79</v>
      </c>
      <c r="W46">
        <v>1.7045442577019342E-79</v>
      </c>
      <c r="X46">
        <v>6.6477226050375432E-80</v>
      </c>
      <c r="Y46">
        <v>2.5926118159646418E-80</v>
      </c>
      <c r="Z46">
        <v>1.0111186082262103E-80</v>
      </c>
      <c r="AA46">
        <v>3.9433625720822204E-81</v>
      </c>
      <c r="AB46">
        <v>1.5379114031120659E-81</v>
      </c>
      <c r="AC46">
        <v>5.9978544721370572E-82</v>
      </c>
      <c r="AD46">
        <v>2.3391632441334524E-82</v>
      </c>
      <c r="AE46">
        <v>9.1227366521204645E-83</v>
      </c>
      <c r="AF46">
        <v>3.5578672943269815E-83</v>
      </c>
      <c r="AG46">
        <v>1.3875682447875229E-83</v>
      </c>
    </row>
    <row r="47" spans="1:33" x14ac:dyDescent="0.3">
      <c r="A47">
        <f t="shared" si="1"/>
        <v>0.40000000000000019</v>
      </c>
      <c r="B47">
        <f t="shared" si="0"/>
        <v>0.96000000000000019</v>
      </c>
      <c r="D47">
        <f t="shared" si="2"/>
        <v>40</v>
      </c>
      <c r="E47">
        <f t="shared" si="3"/>
        <v>9.7904876416032557E-2</v>
      </c>
      <c r="H47">
        <f t="shared" ref="H47" si="111">H45+1</f>
        <v>20</v>
      </c>
      <c r="I47">
        <f t="shared" ref="I47" si="112">J46</f>
        <v>0.82001387339096654</v>
      </c>
      <c r="J47">
        <f t="shared" ref="J47" si="113">I47</f>
        <v>0.82001387339096654</v>
      </c>
      <c r="L47">
        <v>0.4</v>
      </c>
      <c r="M47">
        <v>1.9910687455846179E-73</v>
      </c>
      <c r="N47">
        <v>7.9642749823384712E-74</v>
      </c>
      <c r="O47">
        <v>3.1857099929353886E-74</v>
      </c>
      <c r="P47">
        <v>1.2742839971741554E-74</v>
      </c>
      <c r="Q47">
        <v>5.0971359886966223E-75</v>
      </c>
      <c r="R47">
        <v>2.0388543954786489E-75</v>
      </c>
      <c r="S47">
        <v>8.1554175819145959E-76</v>
      </c>
      <c r="T47">
        <v>3.2621670327658387E-76</v>
      </c>
      <c r="U47">
        <v>1.3048668131063356E-76</v>
      </c>
      <c r="V47">
        <v>5.2194672524253429E-77</v>
      </c>
      <c r="W47">
        <v>2.0877869009701373E-77</v>
      </c>
      <c r="X47">
        <v>8.3511476038805493E-78</v>
      </c>
      <c r="Y47">
        <v>3.3404590415522197E-78</v>
      </c>
      <c r="Z47">
        <v>1.3361836166208879E-78</v>
      </c>
      <c r="AA47">
        <v>5.3447344664835518E-79</v>
      </c>
      <c r="AB47">
        <v>2.1378937865934209E-79</v>
      </c>
      <c r="AC47">
        <v>8.551575146373684E-80</v>
      </c>
      <c r="AD47">
        <v>3.4206300585494736E-80</v>
      </c>
      <c r="AE47">
        <v>1.3682520234197896E-80</v>
      </c>
      <c r="AF47">
        <v>5.4730080936791583E-81</v>
      </c>
      <c r="AG47">
        <v>2.1892032374716636E-81</v>
      </c>
    </row>
    <row r="48" spans="1:33" x14ac:dyDescent="0.3">
      <c r="A48">
        <f t="shared" si="1"/>
        <v>0.4100000000000002</v>
      </c>
      <c r="B48">
        <f t="shared" si="0"/>
        <v>0.96760000000000024</v>
      </c>
      <c r="D48">
        <f t="shared" si="2"/>
        <v>41</v>
      </c>
      <c r="E48">
        <f t="shared" si="3"/>
        <v>0.35327804635997584</v>
      </c>
      <c r="H48">
        <f t="shared" ref="H48" si="114">H45+1</f>
        <v>20</v>
      </c>
      <c r="I48">
        <f t="shared" ref="I48" si="115">J46</f>
        <v>0.82001387339096654</v>
      </c>
      <c r="J48">
        <f t="shared" ref="J48" si="116">$E$3*I48*(1-I48)</f>
        <v>0.59036448334924174</v>
      </c>
      <c r="L48">
        <v>0.41</v>
      </c>
      <c r="M48">
        <v>1.6916234546397285E-71</v>
      </c>
      <c r="N48">
        <v>6.9356561640228866E-72</v>
      </c>
      <c r="O48">
        <v>2.8436190272493832E-72</v>
      </c>
      <c r="P48">
        <v>1.1658838011722471E-72</v>
      </c>
      <c r="Q48">
        <v>4.7801235848062126E-73</v>
      </c>
      <c r="R48">
        <v>1.9598506697705469E-73</v>
      </c>
      <c r="S48">
        <v>8.0353877460592412E-74</v>
      </c>
      <c r="T48">
        <v>3.2945089758842887E-74</v>
      </c>
      <c r="U48">
        <v>1.3507486801125583E-74</v>
      </c>
      <c r="V48">
        <v>5.5380695884614886E-75</v>
      </c>
      <c r="W48">
        <v>2.2706085312692102E-75</v>
      </c>
      <c r="X48">
        <v>9.3094949782037617E-76</v>
      </c>
      <c r="Y48">
        <v>3.8168929410635418E-76</v>
      </c>
      <c r="Z48">
        <v>1.564926105836052E-76</v>
      </c>
      <c r="AA48">
        <v>6.4161970339278131E-77</v>
      </c>
      <c r="AB48">
        <v>2.6306407839104032E-77</v>
      </c>
      <c r="AC48">
        <v>1.0785627214032653E-77</v>
      </c>
      <c r="AD48">
        <v>4.4221071577533873E-78</v>
      </c>
      <c r="AE48">
        <v>1.8130639346788888E-78</v>
      </c>
      <c r="AF48">
        <v>7.4335621321834429E-79</v>
      </c>
      <c r="AG48">
        <v>3.0477604741952113E-79</v>
      </c>
    </row>
    <row r="49" spans="1:33" x14ac:dyDescent="0.3">
      <c r="A49">
        <f t="shared" si="1"/>
        <v>0.42000000000000021</v>
      </c>
      <c r="B49">
        <f t="shared" si="0"/>
        <v>0.97440000000000027</v>
      </c>
      <c r="D49">
        <f t="shared" si="2"/>
        <v>42</v>
      </c>
      <c r="E49">
        <f t="shared" si="3"/>
        <v>0.91389067328021845</v>
      </c>
      <c r="H49">
        <f t="shared" ref="H49" si="117">H47+1</f>
        <v>21</v>
      </c>
      <c r="I49">
        <f t="shared" ref="I49" si="118">J48</f>
        <v>0.59036448334924174</v>
      </c>
      <c r="J49">
        <f t="shared" ref="J49" si="119">I49</f>
        <v>0.59036448334924174</v>
      </c>
      <c r="L49">
        <v>0.42</v>
      </c>
      <c r="M49">
        <v>1.2911260978586179E-69</v>
      </c>
      <c r="N49">
        <v>5.4227296110061951E-70</v>
      </c>
      <c r="O49">
        <v>2.277546436622602E-70</v>
      </c>
      <c r="P49">
        <v>9.5656950338149275E-71</v>
      </c>
      <c r="Q49">
        <v>4.0175919142022692E-71</v>
      </c>
      <c r="R49">
        <v>1.6873886039649531E-71</v>
      </c>
      <c r="S49">
        <v>7.0870321366528024E-72</v>
      </c>
      <c r="T49">
        <v>2.9765534973941769E-72</v>
      </c>
      <c r="U49">
        <v>1.2501524689055542E-72</v>
      </c>
      <c r="V49">
        <v>5.2506403694033277E-73</v>
      </c>
      <c r="W49">
        <v>2.2052689551493976E-73</v>
      </c>
      <c r="X49">
        <v>9.2621296116274703E-74</v>
      </c>
      <c r="Y49">
        <v>3.8900944368835375E-74</v>
      </c>
      <c r="Z49">
        <v>1.6338396634910857E-74</v>
      </c>
      <c r="AA49">
        <v>6.8621265866625598E-75</v>
      </c>
      <c r="AB49">
        <v>2.8820931663982752E-75</v>
      </c>
      <c r="AC49">
        <v>1.2104791298872755E-75</v>
      </c>
      <c r="AD49">
        <v>5.0840123455265573E-76</v>
      </c>
      <c r="AE49">
        <v>2.135285185121154E-76</v>
      </c>
      <c r="AF49">
        <v>8.9681977775088458E-77</v>
      </c>
      <c r="AG49">
        <v>3.7666430665537154E-77</v>
      </c>
    </row>
    <row r="50" spans="1:33" x14ac:dyDescent="0.3">
      <c r="A50">
        <f t="shared" si="1"/>
        <v>0.43000000000000022</v>
      </c>
      <c r="B50">
        <f t="shared" si="0"/>
        <v>0.98040000000000027</v>
      </c>
      <c r="D50">
        <f t="shared" si="2"/>
        <v>43</v>
      </c>
      <c r="E50">
        <f t="shared" si="3"/>
        <v>0.3147780422865899</v>
      </c>
      <c r="H50">
        <f t="shared" ref="H50" si="120">H47+1</f>
        <v>21</v>
      </c>
      <c r="I50">
        <f t="shared" ref="I50" si="121">J48</f>
        <v>0.59036448334924174</v>
      </c>
      <c r="J50">
        <f t="shared" ref="J50" si="122">$E$3*I50*(1-I50)</f>
        <v>0.96733704059609849</v>
      </c>
      <c r="L50">
        <v>0.43</v>
      </c>
      <c r="M50">
        <v>8.8975172911527516E-68</v>
      </c>
      <c r="N50">
        <v>3.8259324351956829E-68</v>
      </c>
      <c r="O50">
        <v>1.6451509471341435E-68</v>
      </c>
      <c r="P50">
        <v>7.0741490726768167E-69</v>
      </c>
      <c r="Q50">
        <v>3.0418841012510311E-69</v>
      </c>
      <c r="R50">
        <v>1.3080101635379433E-69</v>
      </c>
      <c r="S50">
        <v>5.6244437032131558E-70</v>
      </c>
      <c r="T50">
        <v>2.418510792381657E-70</v>
      </c>
      <c r="U50">
        <v>1.0399596407241125E-70</v>
      </c>
      <c r="V50">
        <v>4.4718264551136832E-71</v>
      </c>
      <c r="W50">
        <v>1.9228853756988838E-71</v>
      </c>
      <c r="X50">
        <v>8.2684071155052008E-72</v>
      </c>
      <c r="Y50">
        <v>3.555415059667236E-72</v>
      </c>
      <c r="Z50">
        <v>1.5288284756569114E-72</v>
      </c>
      <c r="AA50">
        <v>6.5739624453247191E-73</v>
      </c>
      <c r="AB50">
        <v>2.826803851489629E-73</v>
      </c>
      <c r="AC50">
        <v>1.2155256561405405E-73</v>
      </c>
      <c r="AD50">
        <v>5.2267603214043241E-74</v>
      </c>
      <c r="AE50">
        <v>2.2475069382038595E-74</v>
      </c>
      <c r="AF50">
        <v>9.6642798342765964E-75</v>
      </c>
      <c r="AG50">
        <v>4.1556403287389364E-75</v>
      </c>
    </row>
    <row r="51" spans="1:33" x14ac:dyDescent="0.3">
      <c r="A51">
        <f t="shared" si="1"/>
        <v>0.44000000000000022</v>
      </c>
      <c r="B51">
        <f t="shared" si="0"/>
        <v>0.98560000000000025</v>
      </c>
      <c r="D51">
        <f t="shared" si="2"/>
        <v>44</v>
      </c>
      <c r="E51">
        <f t="shared" si="3"/>
        <v>0.86277130552324688</v>
      </c>
      <c r="H51">
        <f t="shared" ref="H51" si="123">H49+1</f>
        <v>22</v>
      </c>
      <c r="I51">
        <f t="shared" ref="I51" si="124">J50</f>
        <v>0.96733704059609849</v>
      </c>
      <c r="J51">
        <f t="shared" ref="J51" si="125">I51</f>
        <v>0.96733704059609849</v>
      </c>
      <c r="L51">
        <v>0.44</v>
      </c>
      <c r="M51">
        <v>5.5621258540061194E-66</v>
      </c>
      <c r="N51">
        <v>2.4473353757626926E-66</v>
      </c>
      <c r="O51">
        <v>1.0768275653355847E-66</v>
      </c>
      <c r="P51">
        <v>4.7380412874765725E-67</v>
      </c>
      <c r="Q51">
        <v>2.084738166489692E-67</v>
      </c>
      <c r="R51">
        <v>9.1728479325546451E-68</v>
      </c>
      <c r="S51">
        <v>4.0360530903240435E-68</v>
      </c>
      <c r="T51">
        <v>1.7758633597425791E-68</v>
      </c>
      <c r="U51">
        <v>7.8137987828673485E-69</v>
      </c>
      <c r="V51">
        <v>3.4380714644616332E-69</v>
      </c>
      <c r="W51">
        <v>1.5127514443631187E-69</v>
      </c>
      <c r="X51">
        <v>6.6561063551977226E-70</v>
      </c>
      <c r="Y51">
        <v>2.9286867962869977E-70</v>
      </c>
      <c r="Z51">
        <v>1.288622190366279E-70</v>
      </c>
      <c r="AA51">
        <v>5.6699376376116279E-71</v>
      </c>
      <c r="AB51">
        <v>2.4947725605491164E-71</v>
      </c>
      <c r="AC51">
        <v>1.0976999266416113E-71</v>
      </c>
      <c r="AD51">
        <v>4.8298796772230894E-72</v>
      </c>
      <c r="AE51">
        <v>2.1251470579781594E-72</v>
      </c>
      <c r="AF51">
        <v>9.350647055103902E-73</v>
      </c>
      <c r="AG51">
        <v>4.1142847042457171E-73</v>
      </c>
    </row>
    <row r="52" spans="1:33" x14ac:dyDescent="0.3">
      <c r="A52">
        <f t="shared" si="1"/>
        <v>0.45000000000000023</v>
      </c>
      <c r="B52">
        <f t="shared" si="0"/>
        <v>0.99000000000000021</v>
      </c>
      <c r="D52">
        <f t="shared" si="2"/>
        <v>45</v>
      </c>
      <c r="E52">
        <f t="shared" si="3"/>
        <v>0.47358791955583629</v>
      </c>
      <c r="H52">
        <f t="shared" ref="H52" si="126">H49+1</f>
        <v>22</v>
      </c>
      <c r="I52">
        <f t="shared" ref="I52" si="127">J50</f>
        <v>0.96733704059609849</v>
      </c>
      <c r="J52">
        <f t="shared" ref="J52" si="128">$E$3*I52*(1-I52)</f>
        <v>0.12638436194752239</v>
      </c>
      <c r="L52">
        <v>0.45</v>
      </c>
      <c r="M52">
        <v>3.1679883853409906E-64</v>
      </c>
      <c r="N52">
        <v>1.4255947734034458E-64</v>
      </c>
      <c r="O52">
        <v>6.415176480315506E-65</v>
      </c>
      <c r="P52">
        <v>2.8868294161419777E-65</v>
      </c>
      <c r="Q52">
        <v>1.29907323726389E-65</v>
      </c>
      <c r="R52">
        <v>5.8458295676875048E-66</v>
      </c>
      <c r="S52">
        <v>2.6306233054593774E-66</v>
      </c>
      <c r="T52">
        <v>1.1837804874567199E-66</v>
      </c>
      <c r="U52">
        <v>5.3270121935552395E-67</v>
      </c>
      <c r="V52">
        <v>2.3971554870998577E-67</v>
      </c>
      <c r="W52">
        <v>1.078719969194936E-67</v>
      </c>
      <c r="X52">
        <v>4.8542398613772119E-68</v>
      </c>
      <c r="Y52">
        <v>2.1844079376197453E-68</v>
      </c>
      <c r="Z52">
        <v>9.8298357192888536E-69</v>
      </c>
      <c r="AA52">
        <v>4.4234260736799841E-69</v>
      </c>
      <c r="AB52">
        <v>1.9905417331559929E-69</v>
      </c>
      <c r="AC52">
        <v>8.9574377992019681E-70</v>
      </c>
      <c r="AD52">
        <v>4.0308470096408859E-70</v>
      </c>
      <c r="AE52">
        <v>1.8138811543383987E-70</v>
      </c>
      <c r="AF52">
        <v>8.1624651945227952E-71</v>
      </c>
      <c r="AG52">
        <v>3.6731093375352582E-71</v>
      </c>
    </row>
    <row r="53" spans="1:33" x14ac:dyDescent="0.3">
      <c r="A53">
        <f t="shared" si="1"/>
        <v>0.46000000000000024</v>
      </c>
      <c r="B53">
        <f t="shared" si="0"/>
        <v>0.99360000000000015</v>
      </c>
      <c r="D53">
        <f t="shared" si="2"/>
        <v>46</v>
      </c>
      <c r="E53">
        <f t="shared" si="3"/>
        <v>0.99720960802644398</v>
      </c>
      <c r="H53">
        <f t="shared" ref="H53" si="129">H51+1</f>
        <v>23</v>
      </c>
      <c r="I53">
        <f t="shared" ref="I53" si="130">J52</f>
        <v>0.12638436194752239</v>
      </c>
      <c r="J53">
        <f t="shared" ref="J53" si="131">I53</f>
        <v>0.12638436194752239</v>
      </c>
      <c r="L53">
        <v>0.46</v>
      </c>
      <c r="M53">
        <v>1.6507095757440356E-62</v>
      </c>
      <c r="N53">
        <v>7.593264048422564E-63</v>
      </c>
      <c r="O53">
        <v>3.4929014622743796E-63</v>
      </c>
      <c r="P53">
        <v>1.6067346726462145E-63</v>
      </c>
      <c r="Q53">
        <v>7.3909794941725878E-64</v>
      </c>
      <c r="R53">
        <v>3.3998505673193905E-64</v>
      </c>
      <c r="S53">
        <v>1.5639312609669196E-64</v>
      </c>
      <c r="T53">
        <v>7.1940838004478306E-65</v>
      </c>
      <c r="U53">
        <v>3.3092785482060024E-65</v>
      </c>
      <c r="V53">
        <v>1.5222681321747611E-65</v>
      </c>
      <c r="W53">
        <v>7.0024334080039013E-66</v>
      </c>
      <c r="X53">
        <v>3.2211193676817948E-66</v>
      </c>
      <c r="Y53">
        <v>1.4817149091336256E-66</v>
      </c>
      <c r="Z53">
        <v>6.8158885820146777E-67</v>
      </c>
      <c r="AA53">
        <v>3.1353087477267518E-67</v>
      </c>
      <c r="AB53">
        <v>1.442242023954306E-67</v>
      </c>
      <c r="AC53">
        <v>6.6343133101898076E-68</v>
      </c>
      <c r="AD53">
        <v>3.0517841226873116E-68</v>
      </c>
      <c r="AE53">
        <v>1.4038206964361633E-68</v>
      </c>
      <c r="AF53">
        <v>6.4575752036063516E-69</v>
      </c>
      <c r="AG53">
        <v>2.970484593658922E-69</v>
      </c>
    </row>
    <row r="54" spans="1:33" x14ac:dyDescent="0.3">
      <c r="A54">
        <f t="shared" si="1"/>
        <v>0.47000000000000025</v>
      </c>
      <c r="B54">
        <f t="shared" si="0"/>
        <v>0.99640000000000017</v>
      </c>
      <c r="D54">
        <f t="shared" si="2"/>
        <v>47</v>
      </c>
      <c r="E54">
        <f t="shared" si="3"/>
        <v>1.1130422744759724E-2</v>
      </c>
      <c r="H54">
        <f t="shared" ref="H54" si="132">H51+1</f>
        <v>23</v>
      </c>
      <c r="I54">
        <f t="shared" ref="I54" si="133">J52</f>
        <v>0.12638436194752239</v>
      </c>
      <c r="J54">
        <f t="shared" ref="J54" si="134">$E$3*I54*(1-I54)</f>
        <v>0.44164542001056017</v>
      </c>
      <c r="L54">
        <v>0.47</v>
      </c>
      <c r="M54">
        <v>7.8987958777949452E-61</v>
      </c>
      <c r="N54">
        <v>3.7124340625636239E-61</v>
      </c>
      <c r="O54">
        <v>1.7448440094049031E-61</v>
      </c>
      <c r="P54">
        <v>8.2007668442030441E-62</v>
      </c>
      <c r="Q54">
        <v>3.8543604167754306E-62</v>
      </c>
      <c r="R54">
        <v>1.8115493958844523E-62</v>
      </c>
      <c r="S54">
        <v>8.514282160656926E-63</v>
      </c>
      <c r="T54">
        <v>4.001712615508755E-63</v>
      </c>
      <c r="U54">
        <v>1.8808049292891147E-63</v>
      </c>
      <c r="V54">
        <v>8.8397831676588381E-64</v>
      </c>
      <c r="W54">
        <v>4.1546980887996538E-64</v>
      </c>
      <c r="X54">
        <v>1.9527081017358371E-64</v>
      </c>
      <c r="Y54">
        <v>9.1777280781584348E-65</v>
      </c>
      <c r="Z54">
        <v>4.3135321967344645E-65</v>
      </c>
      <c r="AA54">
        <v>2.0273601324651981E-65</v>
      </c>
      <c r="AB54">
        <v>9.5285926225864311E-66</v>
      </c>
      <c r="AC54">
        <v>4.4784385326156225E-66</v>
      </c>
      <c r="AD54">
        <v>2.1048661103293424E-66</v>
      </c>
      <c r="AE54">
        <v>9.8928707185479091E-67</v>
      </c>
      <c r="AF54">
        <v>4.6496492377175169E-67</v>
      </c>
      <c r="AG54">
        <v>2.1853351417272328E-67</v>
      </c>
    </row>
    <row r="55" spans="1:33" x14ac:dyDescent="0.3">
      <c r="A55">
        <f t="shared" si="1"/>
        <v>0.48000000000000026</v>
      </c>
      <c r="B55">
        <f t="shared" si="0"/>
        <v>0.99840000000000018</v>
      </c>
      <c r="D55">
        <f t="shared" si="2"/>
        <v>48</v>
      </c>
      <c r="E55">
        <f t="shared" si="3"/>
        <v>4.4026145737130637E-2</v>
      </c>
      <c r="H55">
        <f t="shared" ref="H55" si="135">H53+1</f>
        <v>24</v>
      </c>
      <c r="I55">
        <f t="shared" ref="I55" si="136">J54</f>
        <v>0.44164542001056017</v>
      </c>
      <c r="J55">
        <f t="shared" ref="J55" si="137">I55</f>
        <v>0.44164542001056017</v>
      </c>
      <c r="L55">
        <v>0.48</v>
      </c>
      <c r="M55">
        <v>3.4834371230204432E-59</v>
      </c>
      <c r="N55">
        <v>1.6720498190498127E-59</v>
      </c>
      <c r="O55">
        <v>8.0258391314391003E-60</v>
      </c>
      <c r="P55">
        <v>3.8524027830907678E-60</v>
      </c>
      <c r="Q55">
        <v>1.8491533358835686E-60</v>
      </c>
      <c r="R55">
        <v>8.8759360122411291E-61</v>
      </c>
      <c r="S55">
        <v>4.2604492858757415E-61</v>
      </c>
      <c r="T55">
        <v>2.0450156572203559E-61</v>
      </c>
      <c r="U55">
        <v>9.8160751546577089E-62</v>
      </c>
      <c r="V55">
        <v>4.7117160742356999E-62</v>
      </c>
      <c r="W55">
        <v>2.2616237156331359E-62</v>
      </c>
      <c r="X55">
        <v>1.0855793835039053E-62</v>
      </c>
      <c r="Y55">
        <v>5.2107810408187451E-63</v>
      </c>
      <c r="Z55">
        <v>2.5011748995929976E-63</v>
      </c>
      <c r="AA55">
        <v>1.2005639518046388E-63</v>
      </c>
      <c r="AB55">
        <v>5.7627069686622659E-64</v>
      </c>
      <c r="AC55">
        <v>2.7660993449578875E-64</v>
      </c>
      <c r="AD55">
        <v>1.327727685579786E-64</v>
      </c>
      <c r="AE55">
        <v>6.3730928907829723E-65</v>
      </c>
      <c r="AF55">
        <v>3.0590845875758265E-65</v>
      </c>
      <c r="AG55">
        <v>1.4683606020363966E-65</v>
      </c>
    </row>
    <row r="56" spans="1:33" x14ac:dyDescent="0.3">
      <c r="A56">
        <f t="shared" si="1"/>
        <v>0.49000000000000027</v>
      </c>
      <c r="B56">
        <f t="shared" si="0"/>
        <v>0.99960000000000016</v>
      </c>
      <c r="D56">
        <f t="shared" si="2"/>
        <v>49</v>
      </c>
      <c r="E56">
        <f t="shared" si="3"/>
        <v>0.16835137691465429</v>
      </c>
      <c r="H56">
        <f t="shared" ref="H56" si="138">H53+1</f>
        <v>24</v>
      </c>
      <c r="I56">
        <f t="shared" ref="I56" si="139">J54</f>
        <v>0.44164542001056017</v>
      </c>
      <c r="J56">
        <f t="shared" ref="J56" si="140">$E$3*I56*(1-I56)</f>
        <v>0.98637897197702429</v>
      </c>
      <c r="L56">
        <v>0.49</v>
      </c>
      <c r="M56">
        <v>1.4205915457617396E-57</v>
      </c>
      <c r="N56">
        <v>6.9608985742325237E-58</v>
      </c>
      <c r="O56">
        <v>3.4108403013739368E-58</v>
      </c>
      <c r="P56">
        <v>1.6713117476732289E-58</v>
      </c>
      <c r="Q56">
        <v>8.1894275635988208E-59</v>
      </c>
      <c r="R56">
        <v>4.0128195061634218E-59</v>
      </c>
      <c r="S56">
        <v>1.9662815580200765E-59</v>
      </c>
      <c r="T56">
        <v>9.6347796342983748E-60</v>
      </c>
      <c r="U56">
        <v>4.7210420208062034E-60</v>
      </c>
      <c r="V56">
        <v>2.3133105901950398E-60</v>
      </c>
      <c r="W56">
        <v>1.1335221891955695E-60</v>
      </c>
      <c r="X56">
        <v>5.5542587270582906E-61</v>
      </c>
      <c r="Y56">
        <v>2.7215867762585624E-61</v>
      </c>
      <c r="Z56">
        <v>1.3335775203666955E-61</v>
      </c>
      <c r="AA56">
        <v>6.5345298497968081E-62</v>
      </c>
      <c r="AB56">
        <v>3.2019196264004358E-62</v>
      </c>
      <c r="AC56">
        <v>1.5689406169362136E-62</v>
      </c>
      <c r="AD56">
        <v>7.6878090229874462E-63</v>
      </c>
      <c r="AE56">
        <v>3.7670264212638487E-63</v>
      </c>
      <c r="AF56">
        <v>1.8458429464192858E-63</v>
      </c>
      <c r="AG56">
        <v>9.0446304374544998E-64</v>
      </c>
    </row>
    <row r="57" spans="1:33" x14ac:dyDescent="0.3">
      <c r="A57">
        <f t="shared" si="1"/>
        <v>0.50000000000000022</v>
      </c>
      <c r="B57">
        <f t="shared" si="0"/>
        <v>1</v>
      </c>
      <c r="D57">
        <f t="shared" si="2"/>
        <v>50</v>
      </c>
      <c r="E57">
        <f t="shared" si="3"/>
        <v>0.56003676322237717</v>
      </c>
      <c r="H57">
        <f t="shared" ref="H57" si="141">H55+1</f>
        <v>25</v>
      </c>
      <c r="I57">
        <f t="shared" ref="I57" si="142">J56</f>
        <v>0.98637897197702429</v>
      </c>
      <c r="J57">
        <f t="shared" ref="J57" si="143">I57</f>
        <v>0.98637897197702429</v>
      </c>
      <c r="L57">
        <v>0.5</v>
      </c>
      <c r="M57">
        <v>5.3741931587245033E-56</v>
      </c>
      <c r="N57">
        <v>2.6870965793622517E-56</v>
      </c>
      <c r="O57">
        <v>1.3435482896811258E-56</v>
      </c>
      <c r="P57">
        <v>6.7177414484056291E-57</v>
      </c>
      <c r="Q57">
        <v>3.3588707242028146E-57</v>
      </c>
      <c r="R57">
        <v>1.6794353621014073E-57</v>
      </c>
      <c r="S57">
        <v>8.3971768105070364E-58</v>
      </c>
      <c r="T57">
        <v>4.1985884052535182E-58</v>
      </c>
      <c r="U57">
        <v>2.0992942026267591E-58</v>
      </c>
      <c r="V57">
        <v>1.0496471013133796E-58</v>
      </c>
      <c r="W57">
        <v>5.2482355065668978E-59</v>
      </c>
      <c r="X57">
        <v>2.6241177532834489E-59</v>
      </c>
      <c r="Y57">
        <v>1.3120588766417244E-59</v>
      </c>
      <c r="Z57">
        <v>6.5602943832086222E-60</v>
      </c>
      <c r="AA57">
        <v>3.2801471916043111E-60</v>
      </c>
      <c r="AB57">
        <v>1.6400735958021556E-60</v>
      </c>
      <c r="AC57">
        <v>8.2003679790107778E-61</v>
      </c>
      <c r="AD57">
        <v>4.1001839895053889E-61</v>
      </c>
      <c r="AE57">
        <v>2.0500919947526944E-61</v>
      </c>
      <c r="AF57">
        <v>1.0250459973763472E-61</v>
      </c>
      <c r="AG57">
        <v>5.1252299868817361E-62</v>
      </c>
    </row>
    <row r="58" spans="1:33" x14ac:dyDescent="0.3">
      <c r="A58">
        <f t="shared" si="1"/>
        <v>0.51000000000000023</v>
      </c>
      <c r="B58">
        <f t="shared" si="0"/>
        <v>0.99959999999999993</v>
      </c>
      <c r="D58">
        <f t="shared" si="2"/>
        <v>51</v>
      </c>
      <c r="E58">
        <f t="shared" si="3"/>
        <v>0.98558234824712088</v>
      </c>
      <c r="H58">
        <f t="shared" ref="H58" si="144">H55+1</f>
        <v>25</v>
      </c>
      <c r="I58">
        <f t="shared" ref="I58" si="145">J56</f>
        <v>0.98637897197702429</v>
      </c>
      <c r="J58">
        <f t="shared" ref="J58" si="146">$E$3*I58*(1-I58)</f>
        <v>5.3741982474292092E-2</v>
      </c>
      <c r="L58">
        <v>0.51</v>
      </c>
      <c r="M58">
        <v>1.891590256357416E-54</v>
      </c>
      <c r="N58">
        <v>9.6471103074228214E-55</v>
      </c>
      <c r="O58">
        <v>4.9200262567856388E-55</v>
      </c>
      <c r="P58">
        <v>2.5092133909606759E-55</v>
      </c>
      <c r="Q58">
        <v>1.2796988293899448E-55</v>
      </c>
      <c r="R58">
        <v>6.526464029888719E-56</v>
      </c>
      <c r="S58">
        <v>3.3284966552432465E-56</v>
      </c>
      <c r="T58">
        <v>1.6975332941740557E-56</v>
      </c>
      <c r="U58">
        <v>8.6574198002876847E-57</v>
      </c>
      <c r="V58">
        <v>4.4152840981467194E-57</v>
      </c>
      <c r="W58">
        <v>2.2517948900548269E-57</v>
      </c>
      <c r="X58">
        <v>1.1484153939279618E-57</v>
      </c>
      <c r="Y58">
        <v>5.8569185090326054E-58</v>
      </c>
      <c r="Z58">
        <v>2.9870284396066287E-58</v>
      </c>
      <c r="AA58">
        <v>1.5233845041993807E-58</v>
      </c>
      <c r="AB58">
        <v>7.7692609714168411E-59</v>
      </c>
      <c r="AC58">
        <v>3.9623230954225888E-59</v>
      </c>
      <c r="AD58">
        <v>2.0207847786655204E-59</v>
      </c>
      <c r="AE58">
        <v>1.0306002371194155E-59</v>
      </c>
      <c r="AF58">
        <v>5.2560612093090194E-60</v>
      </c>
      <c r="AG58">
        <v>2.6805912167476E-60</v>
      </c>
    </row>
    <row r="59" spans="1:33" x14ac:dyDescent="0.3">
      <c r="A59">
        <f t="shared" si="1"/>
        <v>0.52000000000000024</v>
      </c>
      <c r="B59">
        <f t="shared" si="0"/>
        <v>0.99839999999999995</v>
      </c>
      <c r="D59">
        <f t="shared" si="2"/>
        <v>52</v>
      </c>
      <c r="E59">
        <f t="shared" si="3"/>
        <v>5.6839132283247301E-2</v>
      </c>
      <c r="H59">
        <f t="shared" ref="H59" si="147">H57+1</f>
        <v>26</v>
      </c>
      <c r="I59">
        <f t="shared" ref="I59" si="148">J58</f>
        <v>5.3741982474292092E-2</v>
      </c>
      <c r="J59">
        <f t="shared" ref="J59" si="149">I59</f>
        <v>5.3741982474292092E-2</v>
      </c>
      <c r="L59">
        <v>0.52</v>
      </c>
      <c r="M59">
        <v>6.2118677841608968E-53</v>
      </c>
      <c r="N59">
        <v>3.2301712477636666E-53</v>
      </c>
      <c r="O59">
        <v>1.6796890488371066E-53</v>
      </c>
      <c r="P59">
        <v>8.7343830539529551E-54</v>
      </c>
      <c r="Q59">
        <v>4.5418791880555366E-54</v>
      </c>
      <c r="R59">
        <v>2.3617771777888791E-54</v>
      </c>
      <c r="S59">
        <v>1.2281241324502172E-54</v>
      </c>
      <c r="T59">
        <v>6.3862454887411296E-55</v>
      </c>
      <c r="U59">
        <v>3.3208476541453872E-55</v>
      </c>
      <c r="V59">
        <v>1.7268407801556015E-55</v>
      </c>
      <c r="W59">
        <v>8.9795720568091276E-56</v>
      </c>
      <c r="X59">
        <v>4.6693774695407463E-56</v>
      </c>
      <c r="Y59">
        <v>2.4280762841611882E-56</v>
      </c>
      <c r="Z59">
        <v>1.2625996677638178E-56</v>
      </c>
      <c r="AA59">
        <v>6.5655182723718534E-57</v>
      </c>
      <c r="AB59">
        <v>3.4140695016333637E-57</v>
      </c>
      <c r="AC59">
        <v>1.7753161408493493E-57</v>
      </c>
      <c r="AD59">
        <v>9.2316439324166164E-58</v>
      </c>
      <c r="AE59">
        <v>4.8004548448566407E-58</v>
      </c>
      <c r="AF59">
        <v>2.4962365193254531E-58</v>
      </c>
      <c r="AG59">
        <v>1.2980429900492357E-58</v>
      </c>
    </row>
    <row r="60" spans="1:33" x14ac:dyDescent="0.3">
      <c r="A60">
        <f t="shared" si="1"/>
        <v>0.53000000000000025</v>
      </c>
      <c r="B60">
        <f t="shared" si="0"/>
        <v>0.99639999999999995</v>
      </c>
      <c r="D60">
        <f t="shared" si="2"/>
        <v>53</v>
      </c>
      <c r="E60">
        <f t="shared" si="3"/>
        <v>0.21443378129813925</v>
      </c>
      <c r="H60">
        <f t="shared" ref="H60" si="150">H57+1</f>
        <v>26</v>
      </c>
      <c r="I60">
        <f t="shared" ref="I60" si="151">J58</f>
        <v>5.3741982474292092E-2</v>
      </c>
      <c r="J60">
        <f t="shared" ref="J60" si="152">$E$3*I60*(1-I60)</f>
        <v>0.20341512717609991</v>
      </c>
      <c r="L60">
        <v>0.53</v>
      </c>
      <c r="M60">
        <v>1.9082734317854725E-51</v>
      </c>
      <c r="N60">
        <v>1.0113849188463005E-51</v>
      </c>
      <c r="O60">
        <v>5.3603400698853927E-52</v>
      </c>
      <c r="P60">
        <v>2.8409802370392584E-52</v>
      </c>
      <c r="Q60">
        <v>1.5057195256308071E-52</v>
      </c>
      <c r="R60">
        <v>7.9803134858432775E-53</v>
      </c>
      <c r="S60">
        <v>4.2295661474969373E-53</v>
      </c>
      <c r="T60">
        <v>2.2416700581733769E-53</v>
      </c>
      <c r="U60">
        <v>1.1880851308318897E-53</v>
      </c>
      <c r="V60">
        <v>6.2968511934090163E-54</v>
      </c>
      <c r="W60">
        <v>3.3373311325067789E-54</v>
      </c>
      <c r="X60">
        <v>1.7687855002285928E-54</v>
      </c>
      <c r="Y60">
        <v>9.3745631512115426E-55</v>
      </c>
      <c r="Z60">
        <v>4.9685184701421182E-55</v>
      </c>
      <c r="AA60">
        <v>2.6333147891753228E-55</v>
      </c>
      <c r="AB60">
        <v>1.3956568382629212E-55</v>
      </c>
      <c r="AC60">
        <v>7.3969812427934827E-56</v>
      </c>
      <c r="AD60">
        <v>3.9204000586805462E-56</v>
      </c>
      <c r="AE60">
        <v>2.0778120311006896E-56</v>
      </c>
      <c r="AF60">
        <v>1.1012403764833655E-56</v>
      </c>
      <c r="AG60">
        <v>5.8365739953618375E-57</v>
      </c>
    </row>
    <row r="61" spans="1:33" x14ac:dyDescent="0.3">
      <c r="A61">
        <f t="shared" si="1"/>
        <v>0.54000000000000026</v>
      </c>
      <c r="B61">
        <f t="shared" si="0"/>
        <v>0.99359999999999993</v>
      </c>
      <c r="D61">
        <f t="shared" si="2"/>
        <v>54</v>
      </c>
      <c r="E61">
        <f t="shared" si="3"/>
        <v>0.67380773894528412</v>
      </c>
      <c r="H61">
        <f t="shared" ref="H61" si="153">H59+1</f>
        <v>27</v>
      </c>
      <c r="I61">
        <f t="shared" ref="I61" si="154">J60</f>
        <v>0.20341512717609991</v>
      </c>
      <c r="J61">
        <f t="shared" ref="J61" si="155">I61</f>
        <v>0.20341512717609991</v>
      </c>
      <c r="L61">
        <v>0.54</v>
      </c>
      <c r="M61">
        <v>5.4974299150257753E-50</v>
      </c>
      <c r="N61">
        <v>2.9686121541139188E-50</v>
      </c>
      <c r="O61">
        <v>1.6030505632215163E-50</v>
      </c>
      <c r="P61">
        <v>8.6564730413961889E-51</v>
      </c>
      <c r="Q61">
        <v>4.6744954423539424E-51</v>
      </c>
      <c r="R61">
        <v>2.5242275388711291E-51</v>
      </c>
      <c r="S61">
        <v>1.3630828709904098E-51</v>
      </c>
      <c r="T61">
        <v>7.360647503348214E-52</v>
      </c>
      <c r="U61">
        <v>3.9747496518080358E-52</v>
      </c>
      <c r="V61">
        <v>2.1463648119763394E-52</v>
      </c>
      <c r="W61">
        <v>1.1590369984672234E-52</v>
      </c>
      <c r="X61">
        <v>6.258799791723007E-53</v>
      </c>
      <c r="Y61">
        <v>3.379751887530424E-53</v>
      </c>
      <c r="Z61">
        <v>1.8250660192664291E-53</v>
      </c>
      <c r="AA61">
        <v>9.8553565040387174E-54</v>
      </c>
      <c r="AB61">
        <v>5.3218925121809083E-54</v>
      </c>
      <c r="AC61">
        <v>2.8738219565776908E-54</v>
      </c>
      <c r="AD61">
        <v>1.5518638565519531E-54</v>
      </c>
      <c r="AE61">
        <v>8.3800648253805479E-55</v>
      </c>
      <c r="AF61">
        <v>4.5252350057054963E-55</v>
      </c>
      <c r="AG61">
        <v>2.443626903080968E-55</v>
      </c>
    </row>
    <row r="62" spans="1:33" x14ac:dyDescent="0.3">
      <c r="A62">
        <f t="shared" si="1"/>
        <v>0.55000000000000027</v>
      </c>
      <c r="B62">
        <f t="shared" si="0"/>
        <v>0.98999999999999988</v>
      </c>
      <c r="D62">
        <f t="shared" si="2"/>
        <v>55</v>
      </c>
      <c r="E62">
        <f t="shared" si="3"/>
        <v>0.8791634795309119</v>
      </c>
      <c r="H62">
        <f t="shared" ref="H62" si="156">H59+1</f>
        <v>27</v>
      </c>
      <c r="I62">
        <f t="shared" ref="I62" si="157">J60</f>
        <v>0.20341512717609991</v>
      </c>
      <c r="J62">
        <f t="shared" ref="J62" si="158">$E$3*I62*(1-I62)</f>
        <v>0.64814965284812409</v>
      </c>
      <c r="L62">
        <v>0.55000000000000004</v>
      </c>
      <c r="M62">
        <v>1.4886654928343268E-48</v>
      </c>
      <c r="N62">
        <v>8.1876602105887979E-49</v>
      </c>
      <c r="O62">
        <v>4.5032131158238389E-49</v>
      </c>
      <c r="P62">
        <v>2.4767672137031116E-49</v>
      </c>
      <c r="Q62">
        <v>1.3622219675367115E-49</v>
      </c>
      <c r="R62">
        <v>7.4922208214519142E-50</v>
      </c>
      <c r="S62">
        <v>4.1207214517985532E-50</v>
      </c>
      <c r="T62">
        <v>2.2663967984892047E-50</v>
      </c>
      <c r="U62">
        <v>1.2465182391690626E-50</v>
      </c>
      <c r="V62">
        <v>6.855850315429845E-51</v>
      </c>
      <c r="W62">
        <v>3.7707176734864153E-51</v>
      </c>
      <c r="X62">
        <v>2.0738947204175285E-51</v>
      </c>
      <c r="Y62">
        <v>1.1406420962296408E-51</v>
      </c>
      <c r="Z62">
        <v>6.2735315292630247E-52</v>
      </c>
      <c r="AA62">
        <v>3.4504423410946641E-52</v>
      </c>
      <c r="AB62">
        <v>1.8977432876020654E-52</v>
      </c>
      <c r="AC62">
        <v>1.0437588081811359E-52</v>
      </c>
      <c r="AD62">
        <v>5.7406734449962479E-53</v>
      </c>
      <c r="AE62">
        <v>3.1573703947479368E-53</v>
      </c>
      <c r="AF62">
        <v>1.7365537171113655E-53</v>
      </c>
      <c r="AG62">
        <v>9.5510454441125103E-54</v>
      </c>
    </row>
    <row r="63" spans="1:33" x14ac:dyDescent="0.3">
      <c r="A63">
        <f t="shared" si="1"/>
        <v>0.56000000000000028</v>
      </c>
      <c r="B63">
        <f t="shared" si="0"/>
        <v>0.98559999999999992</v>
      </c>
      <c r="D63">
        <f t="shared" si="2"/>
        <v>56</v>
      </c>
      <c r="E63">
        <f t="shared" si="3"/>
        <v>0.42494022316004704</v>
      </c>
      <c r="H63">
        <f t="shared" ref="H63" si="159">H61+1</f>
        <v>28</v>
      </c>
      <c r="I63">
        <f t="shared" ref="I63" si="160">J62</f>
        <v>0.64814965284812409</v>
      </c>
      <c r="J63">
        <f t="shared" ref="J63" si="161">I63</f>
        <v>0.64814965284812409</v>
      </c>
      <c r="L63">
        <v>0.56000000000000005</v>
      </c>
      <c r="M63">
        <v>3.7976500525106714E-47</v>
      </c>
      <c r="N63">
        <v>2.1266840294059762E-47</v>
      </c>
      <c r="O63">
        <v>1.1909430564673468E-47</v>
      </c>
      <c r="P63">
        <v>6.6692811162171425E-48</v>
      </c>
      <c r="Q63">
        <v>3.7347974250816004E-48</v>
      </c>
      <c r="R63">
        <v>2.0914865580456964E-48</v>
      </c>
      <c r="S63">
        <v>1.17123247250559E-48</v>
      </c>
      <c r="T63">
        <v>6.5589018460313043E-49</v>
      </c>
      <c r="U63">
        <v>3.672985033777531E-49</v>
      </c>
      <c r="V63">
        <v>2.0568716189154177E-49</v>
      </c>
      <c r="W63">
        <v>1.151848106592634E-49</v>
      </c>
      <c r="X63">
        <v>6.4503493969187514E-50</v>
      </c>
      <c r="Y63">
        <v>3.6121956622745011E-50</v>
      </c>
      <c r="Z63">
        <v>2.0228295708737207E-50</v>
      </c>
      <c r="AA63">
        <v>1.1327845596892837E-50</v>
      </c>
      <c r="AB63">
        <v>6.3435935342599892E-51</v>
      </c>
      <c r="AC63">
        <v>3.5524123791855945E-51</v>
      </c>
      <c r="AD63">
        <v>1.9893509323439332E-51</v>
      </c>
      <c r="AE63">
        <v>1.1140365221126027E-51</v>
      </c>
      <c r="AF63">
        <v>6.2386045238305752E-52</v>
      </c>
      <c r="AG63">
        <v>3.4936185333451224E-52</v>
      </c>
    </row>
    <row r="64" spans="1:33" x14ac:dyDescent="0.3">
      <c r="A64">
        <f t="shared" si="1"/>
        <v>0.57000000000000028</v>
      </c>
      <c r="B64">
        <f t="shared" si="0"/>
        <v>0.98039999999999983</v>
      </c>
      <c r="D64">
        <f t="shared" si="2"/>
        <v>57</v>
      </c>
      <c r="E64">
        <f t="shared" si="3"/>
        <v>0.97746411960294599</v>
      </c>
      <c r="H64">
        <f t="shared" ref="H64" si="162">H61+1</f>
        <v>28</v>
      </c>
      <c r="I64">
        <f t="shared" ref="I64" si="163">J62</f>
        <v>0.64814965284812409</v>
      </c>
      <c r="J64">
        <f t="shared" ref="J64" si="164">$E$3*I64*(1-I64)</f>
        <v>0.91220672144392123</v>
      </c>
      <c r="L64">
        <v>0.56999999999999995</v>
      </c>
      <c r="M64">
        <v>9.1458394244931023E-46</v>
      </c>
      <c r="N64">
        <v>5.2131284719610675E-46</v>
      </c>
      <c r="O64">
        <v>2.9714832290178083E-46</v>
      </c>
      <c r="P64">
        <v>1.6937454405401506E-46</v>
      </c>
      <c r="Q64">
        <v>9.6543490110788588E-47</v>
      </c>
      <c r="R64">
        <v>5.5029789363149488E-47</v>
      </c>
      <c r="S64">
        <v>3.1366979936995206E-47</v>
      </c>
      <c r="T64">
        <v>1.7879178564087265E-47</v>
      </c>
      <c r="U64">
        <v>1.0191131781529741E-47</v>
      </c>
      <c r="V64">
        <v>5.8089451154719517E-48</v>
      </c>
      <c r="W64">
        <v>3.3110987158190119E-48</v>
      </c>
      <c r="X64">
        <v>1.8873262680168366E-48</v>
      </c>
      <c r="Y64">
        <v>1.0757759727695967E-48</v>
      </c>
      <c r="Z64">
        <v>6.1319230447867003E-49</v>
      </c>
      <c r="AA64">
        <v>3.495196135528419E-49</v>
      </c>
      <c r="AB64">
        <v>1.9922617972511985E-49</v>
      </c>
      <c r="AC64">
        <v>1.135589224433183E-49</v>
      </c>
      <c r="AD64">
        <v>6.4728585792691432E-50</v>
      </c>
      <c r="AE64">
        <v>3.6895293901834114E-50</v>
      </c>
      <c r="AF64">
        <v>2.1030317524045442E-50</v>
      </c>
      <c r="AG64">
        <v>1.1987280988705902E-50</v>
      </c>
    </row>
    <row r="65" spans="1:33" x14ac:dyDescent="0.3">
      <c r="A65">
        <f t="shared" si="1"/>
        <v>0.58000000000000029</v>
      </c>
      <c r="B65">
        <f t="shared" si="0"/>
        <v>0.97439999999999982</v>
      </c>
      <c r="D65">
        <f t="shared" si="2"/>
        <v>58</v>
      </c>
      <c r="E65">
        <f t="shared" si="3"/>
        <v>8.8112057967134741E-2</v>
      </c>
      <c r="H65">
        <f t="shared" ref="H65" si="165">H63+1</f>
        <v>29</v>
      </c>
      <c r="I65">
        <f t="shared" ref="I65" si="166">J64</f>
        <v>0.91220672144392123</v>
      </c>
      <c r="J65">
        <f t="shared" ref="J65" si="167">I65</f>
        <v>0.91220672144392123</v>
      </c>
      <c r="L65">
        <v>0.57999999999999996</v>
      </c>
      <c r="M65">
        <v>2.0834605316931074E-44</v>
      </c>
      <c r="N65">
        <v>1.2084071083820023E-44</v>
      </c>
      <c r="O65">
        <v>7.0087612286156124E-45</v>
      </c>
      <c r="P65">
        <v>4.0650815125970547E-45</v>
      </c>
      <c r="Q65">
        <v>2.3577472773062916E-45</v>
      </c>
      <c r="R65">
        <v>1.367493420837649E-45</v>
      </c>
      <c r="S65">
        <v>7.9314618408583639E-46</v>
      </c>
      <c r="T65">
        <v>4.600247867697851E-46</v>
      </c>
      <c r="U65">
        <v>2.6681437632647533E-46</v>
      </c>
      <c r="V65">
        <v>1.5475233826935569E-46</v>
      </c>
      <c r="W65">
        <v>8.9756356196226296E-47</v>
      </c>
      <c r="X65">
        <v>5.205868659381125E-47</v>
      </c>
      <c r="Y65">
        <v>3.0194038224410521E-47</v>
      </c>
      <c r="Z65">
        <v>1.7512542170158102E-47</v>
      </c>
      <c r="AA65">
        <v>1.0157274458691698E-47</v>
      </c>
      <c r="AB65">
        <v>5.8912191860411851E-48</v>
      </c>
      <c r="AC65">
        <v>3.4169071279038869E-48</v>
      </c>
      <c r="AD65">
        <v>1.9818061341842543E-48</v>
      </c>
      <c r="AE65">
        <v>1.1494475578268674E-48</v>
      </c>
      <c r="AF65">
        <v>6.6667958353958298E-49</v>
      </c>
      <c r="AG65">
        <v>3.8667415845295813E-49</v>
      </c>
    </row>
    <row r="66" spans="1:33" x14ac:dyDescent="0.3">
      <c r="A66">
        <f t="shared" si="1"/>
        <v>0.5900000000000003</v>
      </c>
      <c r="B66">
        <f t="shared" si="0"/>
        <v>0.96759999999999979</v>
      </c>
      <c r="D66">
        <f t="shared" si="2"/>
        <v>59</v>
      </c>
      <c r="E66">
        <f t="shared" si="3"/>
        <v>0.32139329283172413</v>
      </c>
      <c r="H66">
        <f t="shared" ref="H66" si="168">H63+1</f>
        <v>29</v>
      </c>
      <c r="I66">
        <f t="shared" ref="I66" si="169">J64</f>
        <v>0.91220672144392123</v>
      </c>
      <c r="J66">
        <f t="shared" ref="J66" si="170">$E$3*I66*(1-I66)</f>
        <v>0.3203424751858141</v>
      </c>
      <c r="L66">
        <v>0.59</v>
      </c>
      <c r="M66">
        <v>4.4979788538122591E-43</v>
      </c>
      <c r="N66">
        <v>2.6538075237492329E-43</v>
      </c>
      <c r="O66">
        <v>1.5657464390120472E-43</v>
      </c>
      <c r="P66">
        <v>9.2379039901710774E-44</v>
      </c>
      <c r="Q66">
        <v>5.4503633542009355E-44</v>
      </c>
      <c r="R66">
        <v>3.2157143789785516E-44</v>
      </c>
      <c r="S66">
        <v>1.8972714835973454E-44</v>
      </c>
      <c r="T66">
        <v>1.1193901753224338E-44</v>
      </c>
      <c r="U66">
        <v>6.6044020344023594E-45</v>
      </c>
      <c r="V66">
        <v>3.8965972002973919E-45</v>
      </c>
      <c r="W66">
        <v>2.298992348175461E-45</v>
      </c>
      <c r="X66">
        <v>1.356405485423522E-45</v>
      </c>
      <c r="Y66">
        <v>8.0027923639987794E-46</v>
      </c>
      <c r="Z66">
        <v>4.7216474947592794E-46</v>
      </c>
      <c r="AA66">
        <v>2.7857720219079746E-46</v>
      </c>
      <c r="AB66">
        <v>1.6436054929257049E-46</v>
      </c>
      <c r="AC66">
        <v>9.6972724082616592E-47</v>
      </c>
      <c r="AD66">
        <v>5.7213907208743782E-47</v>
      </c>
      <c r="AE66">
        <v>3.3756205253158828E-47</v>
      </c>
      <c r="AF66">
        <v>1.9916161099363709E-47</v>
      </c>
      <c r="AG66">
        <v>1.1750535048624589E-47</v>
      </c>
    </row>
    <row r="67" spans="1:33" x14ac:dyDescent="0.3">
      <c r="A67">
        <f t="shared" si="1"/>
        <v>0.60000000000000031</v>
      </c>
      <c r="B67">
        <f t="shared" si="0"/>
        <v>0.95999999999999974</v>
      </c>
      <c r="D67">
        <f t="shared" si="2"/>
        <v>60</v>
      </c>
      <c r="E67">
        <f t="shared" si="3"/>
        <v>0.872398576618023</v>
      </c>
      <c r="H67">
        <f t="shared" ref="H67" si="171">H65+1</f>
        <v>30</v>
      </c>
      <c r="I67">
        <f t="shared" ref="I67" si="172">J66</f>
        <v>0.3203424751858141</v>
      </c>
      <c r="J67">
        <f t="shared" ref="J67" si="173">I67</f>
        <v>0.3203424751858141</v>
      </c>
      <c r="L67">
        <v>0.6</v>
      </c>
      <c r="M67">
        <v>9.2192446371733103E-42</v>
      </c>
      <c r="N67">
        <v>5.5315467823039859E-42</v>
      </c>
      <c r="O67">
        <v>3.3189280693823915E-42</v>
      </c>
      <c r="P67">
        <v>1.991356841629435E-42</v>
      </c>
      <c r="Q67">
        <v>1.1948141049776609E-42</v>
      </c>
      <c r="R67">
        <v>7.1688846298659648E-43</v>
      </c>
      <c r="S67">
        <v>4.3013307779195789E-43</v>
      </c>
      <c r="T67">
        <v>2.5807984667517472E-43</v>
      </c>
      <c r="U67">
        <v>1.5484790800510483E-43</v>
      </c>
      <c r="V67">
        <v>9.2908744803062898E-44</v>
      </c>
      <c r="W67">
        <v>5.5745246881837739E-44</v>
      </c>
      <c r="X67">
        <v>3.3447148129102641E-44</v>
      </c>
      <c r="Y67">
        <v>2.0068288877461583E-44</v>
      </c>
      <c r="Z67">
        <v>1.2040973326476948E-44</v>
      </c>
      <c r="AA67">
        <v>7.2245839958861693E-45</v>
      </c>
      <c r="AB67">
        <v>4.3347503975317015E-45</v>
      </c>
      <c r="AC67">
        <v>2.6008502385190207E-45</v>
      </c>
      <c r="AD67">
        <v>1.5605101431114124E-45</v>
      </c>
      <c r="AE67">
        <v>9.3630608586684741E-46</v>
      </c>
      <c r="AF67">
        <v>5.617836515201084E-46</v>
      </c>
      <c r="AG67">
        <v>3.3707019091206503E-46</v>
      </c>
    </row>
    <row r="68" spans="1:33" x14ac:dyDescent="0.3">
      <c r="A68">
        <f t="shared" si="1"/>
        <v>0.61000000000000032</v>
      </c>
      <c r="B68">
        <f t="shared" si="0"/>
        <v>0.95159999999999967</v>
      </c>
      <c r="D68">
        <f t="shared" si="2"/>
        <v>61</v>
      </c>
      <c r="E68">
        <f t="shared" si="3"/>
        <v>0.44527720053148179</v>
      </c>
      <c r="H68">
        <f t="shared" ref="H68" si="174">H65+1</f>
        <v>30</v>
      </c>
      <c r="I68">
        <f t="shared" ref="I68" si="175">J66</f>
        <v>0.3203424751858141</v>
      </c>
      <c r="J68">
        <f t="shared" ref="J68" si="176">$E$3*I68*(1-I68)</f>
        <v>0.87089269511056067</v>
      </c>
      <c r="L68">
        <v>0.61</v>
      </c>
      <c r="M68">
        <v>1.7970292638732028E-40</v>
      </c>
      <c r="N68">
        <v>1.0961878509626538E-40</v>
      </c>
      <c r="O68">
        <v>6.6867458908721875E-41</v>
      </c>
      <c r="P68">
        <v>4.0789149934320341E-41</v>
      </c>
      <c r="Q68">
        <v>2.4881381459935407E-41</v>
      </c>
      <c r="R68">
        <v>1.5177642690560597E-41</v>
      </c>
      <c r="S68">
        <v>9.258362041241964E-42</v>
      </c>
      <c r="T68">
        <v>5.6476008451575981E-42</v>
      </c>
      <c r="U68">
        <v>3.445036515546135E-42</v>
      </c>
      <c r="V68">
        <v>2.1014722744831424E-42</v>
      </c>
      <c r="W68">
        <v>1.2818980874347168E-42</v>
      </c>
      <c r="X68">
        <v>7.8195783333517725E-43</v>
      </c>
      <c r="Y68">
        <v>4.7699427833445812E-43</v>
      </c>
      <c r="Z68">
        <v>2.9096650978401943E-43</v>
      </c>
      <c r="AA68">
        <v>1.7748957096825185E-43</v>
      </c>
      <c r="AB68">
        <v>1.0826863829063362E-43</v>
      </c>
      <c r="AC68">
        <v>6.6043869357286509E-44</v>
      </c>
      <c r="AD68">
        <v>4.0286760307944772E-44</v>
      </c>
      <c r="AE68">
        <v>2.4574923787846311E-44</v>
      </c>
      <c r="AF68">
        <v>1.499070351058625E-44</v>
      </c>
      <c r="AG68">
        <v>9.1443291414576116E-45</v>
      </c>
    </row>
    <row r="69" spans="1:33" x14ac:dyDescent="0.3">
      <c r="A69">
        <f t="shared" si="1"/>
        <v>0.62000000000000033</v>
      </c>
      <c r="B69">
        <f t="shared" si="0"/>
        <v>0.94239999999999968</v>
      </c>
      <c r="D69">
        <f t="shared" si="2"/>
        <v>62</v>
      </c>
      <c r="E69">
        <f t="shared" si="3"/>
        <v>0.98802166087331333</v>
      </c>
      <c r="H69">
        <f t="shared" ref="H69" si="177">H67+1</f>
        <v>31</v>
      </c>
      <c r="I69">
        <f t="shared" ref="I69" si="178">J68</f>
        <v>0.87089269511056067</v>
      </c>
      <c r="J69">
        <f t="shared" ref="J69" si="179">I69</f>
        <v>0.87089269511056067</v>
      </c>
      <c r="L69">
        <v>0.62</v>
      </c>
      <c r="M69">
        <v>3.336538085197934E-39</v>
      </c>
      <c r="N69">
        <v>2.0686536128227191E-39</v>
      </c>
      <c r="O69">
        <v>1.2825652399500858E-39</v>
      </c>
      <c r="P69">
        <v>7.9519044876905316E-40</v>
      </c>
      <c r="Q69">
        <v>4.9301807823681294E-40</v>
      </c>
      <c r="R69">
        <v>3.0567120850682404E-40</v>
      </c>
      <c r="S69">
        <v>1.8951614927423089E-40</v>
      </c>
      <c r="T69">
        <v>1.1750001255002316E-40</v>
      </c>
      <c r="U69">
        <v>7.2850007781014359E-41</v>
      </c>
      <c r="V69">
        <v>4.5167004824228902E-41</v>
      </c>
      <c r="W69">
        <v>2.8003542991021918E-41</v>
      </c>
      <c r="X69">
        <v>1.7362196654433589E-41</v>
      </c>
      <c r="Y69">
        <v>1.0764561925748824E-41</v>
      </c>
      <c r="Z69">
        <v>6.6740283939642717E-42</v>
      </c>
      <c r="AA69">
        <v>4.1378976042578482E-42</v>
      </c>
      <c r="AB69">
        <v>2.565496514639866E-42</v>
      </c>
      <c r="AC69">
        <v>1.5906078390767169E-42</v>
      </c>
      <c r="AD69">
        <v>9.8617686022756446E-43</v>
      </c>
      <c r="AE69">
        <v>6.1142965334108997E-43</v>
      </c>
      <c r="AF69">
        <v>3.7908638507147576E-43</v>
      </c>
      <c r="AG69">
        <v>2.3503355874431495E-43</v>
      </c>
    </row>
    <row r="70" spans="1:33" x14ac:dyDescent="0.3">
      <c r="A70">
        <f t="shared" si="1"/>
        <v>0.63000000000000034</v>
      </c>
      <c r="B70">
        <f t="shared" si="0"/>
        <v>0.93239999999999967</v>
      </c>
      <c r="D70">
        <f t="shared" si="2"/>
        <v>63</v>
      </c>
      <c r="E70">
        <f t="shared" si="3"/>
        <v>4.7339434073811013E-2</v>
      </c>
      <c r="H70">
        <f t="shared" ref="H70" si="180">H67+1</f>
        <v>31</v>
      </c>
      <c r="I70">
        <f t="shared" ref="I70" si="181">J68</f>
        <v>0.87089269511056067</v>
      </c>
      <c r="J70">
        <f t="shared" ref="J70" si="182">$E$3*I70*(1-I70)</f>
        <v>0.44975443485449873</v>
      </c>
      <c r="L70">
        <v>0.63</v>
      </c>
      <c r="M70">
        <v>5.9099363915866769E-38</v>
      </c>
      <c r="N70">
        <v>3.7232599266996065E-38</v>
      </c>
      <c r="O70">
        <v>2.3456537538207521E-38</v>
      </c>
      <c r="P70">
        <v>1.4777618649070739E-38</v>
      </c>
      <c r="Q70">
        <v>9.3098997489145655E-39</v>
      </c>
      <c r="R70">
        <v>5.8652368418161764E-39</v>
      </c>
      <c r="S70">
        <v>3.6950992103441911E-39</v>
      </c>
      <c r="T70">
        <v>2.3279125025168403E-39</v>
      </c>
      <c r="U70">
        <v>1.4665848765856093E-39</v>
      </c>
      <c r="V70">
        <v>9.2394847224893396E-40</v>
      </c>
      <c r="W70">
        <v>5.8208753751682836E-40</v>
      </c>
      <c r="X70">
        <v>3.6671514863560186E-40</v>
      </c>
      <c r="Y70">
        <v>2.3103054364042919E-40</v>
      </c>
      <c r="Z70">
        <v>1.4554924249347039E-40</v>
      </c>
      <c r="AA70">
        <v>9.1696022770886344E-41</v>
      </c>
      <c r="AB70">
        <v>5.77684943456584E-41</v>
      </c>
      <c r="AC70">
        <v>3.6394151437764792E-41</v>
      </c>
      <c r="AD70">
        <v>2.2928315405791819E-41</v>
      </c>
      <c r="AE70">
        <v>1.4444838705648847E-41</v>
      </c>
      <c r="AF70">
        <v>9.100248384558773E-42</v>
      </c>
      <c r="AG70">
        <v>5.7331564822720272E-42</v>
      </c>
    </row>
    <row r="71" spans="1:33" x14ac:dyDescent="0.3">
      <c r="A71">
        <f t="shared" si="1"/>
        <v>0.64000000000000035</v>
      </c>
      <c r="B71">
        <f t="shared" si="0"/>
        <v>0.92159999999999964</v>
      </c>
      <c r="D71">
        <f t="shared" si="2"/>
        <v>64</v>
      </c>
      <c r="E71">
        <f t="shared" si="3"/>
        <v>0.18039364822152926</v>
      </c>
      <c r="H71">
        <f t="shared" ref="H71" si="183">H69+1</f>
        <v>32</v>
      </c>
      <c r="I71">
        <f t="shared" ref="I71" si="184">J70</f>
        <v>0.44975443485449873</v>
      </c>
      <c r="J71">
        <f t="shared" ref="J71" si="185">I71</f>
        <v>0.44975443485449873</v>
      </c>
      <c r="L71">
        <v>0.64</v>
      </c>
      <c r="M71">
        <v>1.0001092084394001E-36</v>
      </c>
      <c r="N71">
        <v>6.4006989340121605E-37</v>
      </c>
      <c r="O71">
        <v>4.0964473177677827E-37</v>
      </c>
      <c r="P71">
        <v>2.621726283371381E-37</v>
      </c>
      <c r="Q71">
        <v>1.6779048213576838E-37</v>
      </c>
      <c r="R71">
        <v>1.0738590856689177E-37</v>
      </c>
      <c r="S71">
        <v>6.8726981482810737E-38</v>
      </c>
      <c r="T71">
        <v>4.3985268148998874E-38</v>
      </c>
      <c r="U71">
        <v>2.8150571615359281E-38</v>
      </c>
      <c r="V71">
        <v>1.8016365833829941E-38</v>
      </c>
      <c r="W71">
        <v>1.1530474133651163E-38</v>
      </c>
      <c r="X71">
        <v>7.3795034455367447E-39</v>
      </c>
      <c r="Y71">
        <v>4.722882205143517E-39</v>
      </c>
      <c r="Z71">
        <v>3.0226446112918513E-39</v>
      </c>
      <c r="AA71">
        <v>1.9344925512267849E-39</v>
      </c>
      <c r="AB71">
        <v>1.2380752327851424E-39</v>
      </c>
      <c r="AC71">
        <v>7.9236814898249116E-40</v>
      </c>
      <c r="AD71">
        <v>5.0711561534879434E-40</v>
      </c>
      <c r="AE71">
        <v>3.2455399382322839E-40</v>
      </c>
      <c r="AF71">
        <v>2.0771455604686619E-40</v>
      </c>
      <c r="AG71">
        <v>1.3293731586999437E-40</v>
      </c>
    </row>
    <row r="72" spans="1:33" x14ac:dyDescent="0.3">
      <c r="A72">
        <f t="shared" si="1"/>
        <v>0.65000000000000036</v>
      </c>
      <c r="B72">
        <f t="shared" ref="B72:B107" si="186">$E$3*A72*(1-A72)</f>
        <v>0.90999999999999959</v>
      </c>
      <c r="D72">
        <f t="shared" si="2"/>
        <v>65</v>
      </c>
      <c r="E72">
        <f t="shared" si="3"/>
        <v>0.59140711961142567</v>
      </c>
      <c r="H72">
        <f t="shared" ref="H72" si="187">H69+1</f>
        <v>32</v>
      </c>
      <c r="I72">
        <f t="shared" ref="I72" si="188">J70</f>
        <v>0.44975443485449873</v>
      </c>
      <c r="J72">
        <f t="shared" ref="J72" si="189">$E$3*I72*(1-I72)</f>
        <v>0.98990153273283676</v>
      </c>
      <c r="L72">
        <v>0.65</v>
      </c>
      <c r="M72">
        <v>1.6191660643417657E-35</v>
      </c>
      <c r="N72">
        <v>1.0524579418221477E-35</v>
      </c>
      <c r="O72">
        <v>6.8409766218439602E-36</v>
      </c>
      <c r="P72">
        <v>4.4466348041985741E-36</v>
      </c>
      <c r="Q72">
        <v>2.8903126227290732E-36</v>
      </c>
      <c r="R72">
        <v>1.8787032047738978E-36</v>
      </c>
      <c r="S72">
        <v>1.2211570831030335E-36</v>
      </c>
      <c r="T72">
        <v>7.9375210401697188E-37</v>
      </c>
      <c r="U72">
        <v>5.1593886761103171E-37</v>
      </c>
      <c r="V72">
        <v>3.3536026394717061E-37</v>
      </c>
      <c r="W72">
        <v>2.1798417156566089E-37</v>
      </c>
      <c r="X72">
        <v>1.4168971151767959E-37</v>
      </c>
      <c r="Y72">
        <v>9.2098312486491732E-38</v>
      </c>
      <c r="Z72">
        <v>5.9863903116219623E-38</v>
      </c>
      <c r="AA72">
        <v>3.8911537025542757E-38</v>
      </c>
      <c r="AB72">
        <v>2.5292499066602795E-38</v>
      </c>
      <c r="AC72">
        <v>1.6440124393291817E-38</v>
      </c>
      <c r="AD72">
        <v>1.0686080855639681E-38</v>
      </c>
      <c r="AE72">
        <v>6.9459525561657929E-39</v>
      </c>
      <c r="AF72">
        <v>4.5148691615077654E-39</v>
      </c>
      <c r="AG72">
        <v>2.9346649549800476E-39</v>
      </c>
    </row>
    <row r="73" spans="1:33" x14ac:dyDescent="0.3">
      <c r="A73">
        <f t="shared" ref="A73:A107" si="190">A72+0.01</f>
        <v>0.66000000000000036</v>
      </c>
      <c r="B73">
        <f t="shared" si="186"/>
        <v>0.89759999999999951</v>
      </c>
      <c r="D73">
        <f t="shared" ref="D73:D136" si="191">D72+1</f>
        <v>66</v>
      </c>
      <c r="E73">
        <f t="shared" ref="E73:E136" si="192">$E$3*E72*(1-E72)</f>
        <v>0.96657895393737003</v>
      </c>
      <c r="H73">
        <f t="shared" ref="H73" si="193">H71+1</f>
        <v>33</v>
      </c>
      <c r="I73">
        <f t="shared" ref="I73" si="194">J72</f>
        <v>0.98990153273283676</v>
      </c>
      <c r="J73">
        <f t="shared" ref="J73" si="195">I73</f>
        <v>0.98990153273283676</v>
      </c>
      <c r="L73">
        <v>0.66</v>
      </c>
      <c r="M73">
        <v>2.5112340626151141E-34</v>
      </c>
      <c r="N73">
        <v>1.6574144813259753E-34</v>
      </c>
      <c r="O73">
        <v>1.0938935576751437E-34</v>
      </c>
      <c r="P73">
        <v>7.2196974806559489E-35</v>
      </c>
      <c r="Q73">
        <v>4.7650003372329264E-35</v>
      </c>
      <c r="R73">
        <v>3.1449002225737316E-35</v>
      </c>
      <c r="S73">
        <v>2.0756341468986629E-35</v>
      </c>
      <c r="T73">
        <v>1.3699185369531175E-35</v>
      </c>
      <c r="U73">
        <v>9.0414623438905768E-36</v>
      </c>
      <c r="V73">
        <v>5.9673651469677812E-36</v>
      </c>
      <c r="W73">
        <v>3.9384609969987358E-36</v>
      </c>
      <c r="X73">
        <v>2.5993842580191658E-36</v>
      </c>
      <c r="Y73">
        <v>1.7155936102926494E-36</v>
      </c>
      <c r="Z73">
        <v>1.1322917827931487E-36</v>
      </c>
      <c r="AA73">
        <v>7.4731257664347815E-37</v>
      </c>
      <c r="AB73">
        <v>4.9322630058469557E-37</v>
      </c>
      <c r="AC73">
        <v>3.2552935838589911E-37</v>
      </c>
      <c r="AD73">
        <v>2.1484937653469341E-37</v>
      </c>
      <c r="AE73">
        <v>1.4180058851289765E-37</v>
      </c>
      <c r="AF73">
        <v>9.3588388418512457E-38</v>
      </c>
      <c r="AG73">
        <v>6.1768336356218228E-38</v>
      </c>
    </row>
    <row r="74" spans="1:33" x14ac:dyDescent="0.3">
      <c r="A74">
        <f t="shared" si="190"/>
        <v>0.67000000000000037</v>
      </c>
      <c r="B74">
        <f t="shared" si="186"/>
        <v>0.88439999999999952</v>
      </c>
      <c r="D74">
        <f t="shared" si="191"/>
        <v>67</v>
      </c>
      <c r="E74">
        <f t="shared" si="192"/>
        <v>0.12921631897083813</v>
      </c>
      <c r="H74">
        <f t="shared" ref="H74" si="196">H71+1</f>
        <v>33</v>
      </c>
      <c r="I74">
        <f t="shared" ref="I74" si="197">J72</f>
        <v>0.98990153273283676</v>
      </c>
      <c r="J74">
        <f t="shared" ref="J74" si="198">$E$3*I74*(1-I74)</f>
        <v>3.9985952904069075E-2</v>
      </c>
      <c r="L74">
        <v>0.67</v>
      </c>
      <c r="M74">
        <v>3.7357680361829526E-33</v>
      </c>
      <c r="N74">
        <v>2.5029645842425784E-33</v>
      </c>
      <c r="O74">
        <v>1.6769862714425275E-33</v>
      </c>
      <c r="P74">
        <v>1.1235808018664935E-33</v>
      </c>
      <c r="Q74">
        <v>7.5279913725055064E-34</v>
      </c>
      <c r="R74">
        <v>5.0437542195786894E-34</v>
      </c>
      <c r="S74">
        <v>3.3793153271177223E-34</v>
      </c>
      <c r="T74">
        <v>2.2641412691688741E-34</v>
      </c>
      <c r="U74">
        <v>1.5169746503431458E-34</v>
      </c>
      <c r="V74">
        <v>1.0163730157299078E-34</v>
      </c>
      <c r="W74">
        <v>6.8096992053903822E-35</v>
      </c>
      <c r="X74">
        <v>4.5624984676115563E-35</v>
      </c>
      <c r="Y74">
        <v>3.0568739732997428E-35</v>
      </c>
      <c r="Z74">
        <v>2.0481055621108277E-35</v>
      </c>
      <c r="AA74">
        <v>1.3722307266142547E-35</v>
      </c>
      <c r="AB74">
        <v>9.1939458683155065E-36</v>
      </c>
      <c r="AC74">
        <v>6.1599437317713903E-36</v>
      </c>
      <c r="AD74">
        <v>4.1271623002868317E-36</v>
      </c>
      <c r="AE74">
        <v>2.7651987411921773E-36</v>
      </c>
      <c r="AF74">
        <v>1.8526831565987589E-36</v>
      </c>
      <c r="AG74">
        <v>1.2412977149211686E-36</v>
      </c>
    </row>
    <row r="75" spans="1:33" x14ac:dyDescent="0.3">
      <c r="A75">
        <f t="shared" si="190"/>
        <v>0.68000000000000038</v>
      </c>
      <c r="B75">
        <f t="shared" si="186"/>
        <v>0.8703999999999994</v>
      </c>
      <c r="D75">
        <f t="shared" si="191"/>
        <v>68</v>
      </c>
      <c r="E75">
        <f t="shared" si="192"/>
        <v>0.45007784752985897</v>
      </c>
      <c r="H75">
        <f t="shared" ref="H75" si="199">H73+1</f>
        <v>34</v>
      </c>
      <c r="I75">
        <f t="shared" ref="I75" si="200">J74</f>
        <v>3.9985952904069075E-2</v>
      </c>
      <c r="J75">
        <f t="shared" ref="J75" si="201">I75</f>
        <v>3.9985952904069075E-2</v>
      </c>
      <c r="L75">
        <v>0.68</v>
      </c>
      <c r="M75">
        <v>5.3368940831517296E-32</v>
      </c>
      <c r="N75">
        <v>3.6290879765431763E-32</v>
      </c>
      <c r="O75">
        <v>2.46777982404936E-32</v>
      </c>
      <c r="P75">
        <v>1.678090280353565E-32</v>
      </c>
      <c r="Q75">
        <v>1.1411013906404243E-32</v>
      </c>
      <c r="R75">
        <v>7.7594894563548862E-33</v>
      </c>
      <c r="S75">
        <v>5.2764528303213227E-33</v>
      </c>
      <c r="T75">
        <v>3.5879879246185E-33</v>
      </c>
      <c r="U75">
        <v>2.4398317887405801E-33</v>
      </c>
      <c r="V75">
        <v>1.6590856163435948E-33</v>
      </c>
      <c r="W75">
        <v>1.1281782191136446E-33</v>
      </c>
      <c r="X75">
        <v>7.6716118899727839E-34</v>
      </c>
      <c r="Y75">
        <v>5.2166960851814932E-34</v>
      </c>
      <c r="Z75">
        <v>3.5473533379234156E-34</v>
      </c>
      <c r="AA75">
        <v>2.4122002697879229E-34</v>
      </c>
      <c r="AB75">
        <v>1.6402961834557876E-34</v>
      </c>
      <c r="AC75">
        <v>1.1154014047499356E-34</v>
      </c>
      <c r="AD75">
        <v>7.5847295522995625E-35</v>
      </c>
      <c r="AE75">
        <v>5.1576160955637028E-35</v>
      </c>
      <c r="AF75">
        <v>3.5071789449833182E-35</v>
      </c>
      <c r="AG75">
        <v>2.3848816825886566E-35</v>
      </c>
    </row>
    <row r="76" spans="1:33" x14ac:dyDescent="0.3">
      <c r="A76">
        <f t="shared" si="190"/>
        <v>0.69000000000000039</v>
      </c>
      <c r="B76">
        <f t="shared" si="186"/>
        <v>0.85559999999999936</v>
      </c>
      <c r="D76">
        <f t="shared" si="191"/>
        <v>69</v>
      </c>
      <c r="E76">
        <f t="shared" si="192"/>
        <v>0.99003111477099182</v>
      </c>
      <c r="H76">
        <f t="shared" ref="H76" si="202">H73+1</f>
        <v>34</v>
      </c>
      <c r="I76">
        <f t="shared" ref="I76" si="203">J74</f>
        <v>3.9985952904069075E-2</v>
      </c>
      <c r="J76">
        <f t="shared" ref="J76" si="204">$E$3*I76*(1-I76)</f>
        <v>0.15354830589769058</v>
      </c>
      <c r="L76">
        <v>0.69</v>
      </c>
      <c r="M76">
        <v>7.330060504493361E-31</v>
      </c>
      <c r="N76">
        <v>5.0577417481004191E-31</v>
      </c>
      <c r="O76">
        <v>3.4898418061892887E-31</v>
      </c>
      <c r="P76">
        <v>2.4079908462706088E-31</v>
      </c>
      <c r="Q76">
        <v>1.66151368392672E-31</v>
      </c>
      <c r="R76">
        <v>1.1464444419094366E-31</v>
      </c>
      <c r="S76">
        <v>7.9104666491751124E-32</v>
      </c>
      <c r="T76">
        <v>5.4582219879308274E-32</v>
      </c>
      <c r="U76">
        <v>3.7661731716722706E-32</v>
      </c>
      <c r="V76">
        <v>2.5986594884538667E-32</v>
      </c>
      <c r="W76">
        <v>1.793075047033168E-32</v>
      </c>
      <c r="X76">
        <v>1.2372217824528858E-32</v>
      </c>
      <c r="Y76">
        <v>8.5368302989249118E-33</v>
      </c>
      <c r="Z76">
        <v>5.8904129062581886E-33</v>
      </c>
      <c r="AA76">
        <v>4.06438490531815E-33</v>
      </c>
      <c r="AB76">
        <v>2.8044255846695233E-33</v>
      </c>
      <c r="AC76">
        <v>1.9350536534219709E-33</v>
      </c>
      <c r="AD76">
        <v>1.3351870208611598E-33</v>
      </c>
      <c r="AE76">
        <v>9.2127904439420024E-34</v>
      </c>
      <c r="AF76">
        <v>6.3568254063199814E-34</v>
      </c>
      <c r="AG76">
        <v>4.3862095303607872E-34</v>
      </c>
    </row>
    <row r="77" spans="1:33" x14ac:dyDescent="0.3">
      <c r="A77">
        <f t="shared" si="190"/>
        <v>0.7000000000000004</v>
      </c>
      <c r="B77">
        <f t="shared" si="186"/>
        <v>0.83999999999999941</v>
      </c>
      <c r="D77">
        <f t="shared" si="191"/>
        <v>70</v>
      </c>
      <c r="E77">
        <f t="shared" si="192"/>
        <v>3.9478026225196187E-2</v>
      </c>
      <c r="H77">
        <f t="shared" ref="H77" si="205">H75+1</f>
        <v>35</v>
      </c>
      <c r="I77">
        <f t="shared" ref="I77" si="206">J76</f>
        <v>0.15354830589769058</v>
      </c>
      <c r="J77">
        <f t="shared" ref="J77" si="207">I77</f>
        <v>0.15354830589769058</v>
      </c>
      <c r="L77">
        <v>0.7</v>
      </c>
      <c r="M77">
        <v>9.6896374971097005E-30</v>
      </c>
      <c r="N77">
        <v>6.78274624797679E-30</v>
      </c>
      <c r="O77">
        <v>4.747922373583753E-30</v>
      </c>
      <c r="P77">
        <v>3.323545661508627E-30</v>
      </c>
      <c r="Q77">
        <v>2.3264819630560387E-30</v>
      </c>
      <c r="R77">
        <v>1.6285373741392272E-30</v>
      </c>
      <c r="S77">
        <v>1.1399761618974589E-30</v>
      </c>
      <c r="T77">
        <v>7.979833133282212E-31</v>
      </c>
      <c r="U77">
        <v>5.5858831932975482E-31</v>
      </c>
      <c r="V77">
        <v>3.9101182353082833E-31</v>
      </c>
      <c r="W77">
        <v>2.7370827647157981E-31</v>
      </c>
      <c r="X77">
        <v>1.9159579353010586E-31</v>
      </c>
      <c r="Y77">
        <v>1.3411705547107408E-31</v>
      </c>
      <c r="Z77">
        <v>9.388193882975185E-32</v>
      </c>
      <c r="AA77">
        <v>6.5717357180826289E-32</v>
      </c>
      <c r="AB77">
        <v>4.6002150026578398E-32</v>
      </c>
      <c r="AC77">
        <v>3.2201505018604875E-32</v>
      </c>
      <c r="AD77">
        <v>2.2541053513023411E-32</v>
      </c>
      <c r="AE77">
        <v>1.5778737459116385E-32</v>
      </c>
      <c r="AF77">
        <v>1.1045116221381469E-32</v>
      </c>
      <c r="AG77">
        <v>7.7315813549670278E-33</v>
      </c>
    </row>
    <row r="78" spans="1:33" x14ac:dyDescent="0.3">
      <c r="A78">
        <f t="shared" si="190"/>
        <v>0.71000000000000041</v>
      </c>
      <c r="B78">
        <f t="shared" si="186"/>
        <v>0.82359999999999933</v>
      </c>
      <c r="D78">
        <f t="shared" si="191"/>
        <v>71</v>
      </c>
      <c r="E78">
        <f t="shared" si="192"/>
        <v>0.15167804668223564</v>
      </c>
      <c r="H78">
        <f t="shared" ref="H78" si="208">H75+1</f>
        <v>35</v>
      </c>
      <c r="I78">
        <f t="shared" ref="I78" si="209">J76</f>
        <v>0.15354830589769058</v>
      </c>
      <c r="J78">
        <f t="shared" ref="J78" si="210">$E$3*I78*(1-I78)</f>
        <v>0.51988489461455933</v>
      </c>
      <c r="L78">
        <v>0.71</v>
      </c>
      <c r="M78">
        <v>1.2340608325880525E-28</v>
      </c>
      <c r="N78">
        <v>8.7618319113751727E-29</v>
      </c>
      <c r="O78">
        <v>6.2209006570763719E-29</v>
      </c>
      <c r="P78">
        <v>4.4168394665242241E-29</v>
      </c>
      <c r="Q78">
        <v>3.1359560212321992E-29</v>
      </c>
      <c r="R78">
        <v>2.2265287750748612E-29</v>
      </c>
      <c r="S78">
        <v>1.5808354303031513E-29</v>
      </c>
      <c r="T78">
        <v>1.1223931555152374E-29</v>
      </c>
      <c r="U78">
        <v>7.9689914041581857E-30</v>
      </c>
      <c r="V78">
        <v>5.6579838969523115E-30</v>
      </c>
      <c r="W78">
        <v>4.0171685668361411E-30</v>
      </c>
      <c r="X78">
        <v>2.8521896824536599E-30</v>
      </c>
      <c r="Y78">
        <v>2.0250546745420984E-30</v>
      </c>
      <c r="Z78">
        <v>1.4377888189248899E-30</v>
      </c>
      <c r="AA78">
        <v>1.0208300614366717E-30</v>
      </c>
      <c r="AB78">
        <v>7.2478934362003687E-31</v>
      </c>
      <c r="AC78">
        <v>5.1460043397022611E-31</v>
      </c>
      <c r="AD78">
        <v>3.6536630811886052E-31</v>
      </c>
      <c r="AE78">
        <v>2.5941007876439096E-31</v>
      </c>
      <c r="AF78">
        <v>1.8418115592271756E-31</v>
      </c>
      <c r="AG78">
        <v>1.3076862070512947E-31</v>
      </c>
    </row>
    <row r="79" spans="1:33" x14ac:dyDescent="0.3">
      <c r="A79">
        <f t="shared" si="190"/>
        <v>0.72000000000000042</v>
      </c>
      <c r="B79">
        <f t="shared" si="186"/>
        <v>0.80639999999999923</v>
      </c>
      <c r="D79">
        <f t="shared" si="191"/>
        <v>72</v>
      </c>
      <c r="E79">
        <f t="shared" si="192"/>
        <v>0.51468726734758874</v>
      </c>
      <c r="H79">
        <f t="shared" ref="H79" si="211">H77+1</f>
        <v>36</v>
      </c>
      <c r="I79">
        <f t="shared" ref="I79" si="212">J78</f>
        <v>0.51988489461455933</v>
      </c>
      <c r="J79">
        <f t="shared" ref="J79" si="213">I79</f>
        <v>0.51988489461455933</v>
      </c>
      <c r="L79">
        <v>0.72</v>
      </c>
      <c r="M79">
        <v>1.5157269731858545E-27</v>
      </c>
      <c r="N79">
        <v>1.0913234206938153E-27</v>
      </c>
      <c r="O79">
        <v>7.8575286289954692E-28</v>
      </c>
      <c r="P79">
        <v>5.6574206128767375E-28</v>
      </c>
      <c r="Q79">
        <v>4.0733428412712511E-28</v>
      </c>
      <c r="R79">
        <v>2.9328068457153005E-28</v>
      </c>
      <c r="S79">
        <v>2.1116209289150161E-28</v>
      </c>
      <c r="T79">
        <v>1.5203670688188116E-28</v>
      </c>
      <c r="U79">
        <v>1.0946642895495443E-28</v>
      </c>
      <c r="V79">
        <v>7.8815828847567184E-29</v>
      </c>
      <c r="W79">
        <v>5.6747396770248369E-29</v>
      </c>
      <c r="X79">
        <v>4.0858125674578825E-29</v>
      </c>
      <c r="Y79">
        <v>2.9417850485696753E-29</v>
      </c>
      <c r="Z79">
        <v>2.1180852349701661E-29</v>
      </c>
      <c r="AA79">
        <v>1.5250213691785196E-29</v>
      </c>
      <c r="AB79">
        <v>1.0980153858085341E-29</v>
      </c>
      <c r="AC79">
        <v>7.9057107778214444E-30</v>
      </c>
      <c r="AD79">
        <v>5.6921117600314399E-30</v>
      </c>
      <c r="AE79">
        <v>4.0983204672226369E-30</v>
      </c>
      <c r="AF79">
        <v>2.9507907364002983E-30</v>
      </c>
      <c r="AG79">
        <v>2.1245693302082147E-30</v>
      </c>
    </row>
    <row r="80" spans="1:33" x14ac:dyDescent="0.3">
      <c r="A80">
        <f t="shared" si="190"/>
        <v>0.73000000000000043</v>
      </c>
      <c r="B80">
        <f t="shared" si="186"/>
        <v>0.78839999999999921</v>
      </c>
      <c r="D80">
        <f t="shared" si="191"/>
        <v>73</v>
      </c>
      <c r="E80">
        <f t="shared" si="192"/>
        <v>0.99913713671144178</v>
      </c>
      <c r="H80">
        <f t="shared" ref="H80" si="214">H77+1</f>
        <v>36</v>
      </c>
      <c r="I80">
        <f t="shared" ref="I80" si="215">J78</f>
        <v>0.51988489461455933</v>
      </c>
      <c r="J80">
        <f t="shared" ref="J80" si="216">$E$3*I80*(1-I80)</f>
        <v>0.99841836386467153</v>
      </c>
      <c r="L80">
        <v>0.73</v>
      </c>
      <c r="M80">
        <v>1.7970742102648586E-26</v>
      </c>
      <c r="N80">
        <v>1.3118641734933467E-26</v>
      </c>
      <c r="O80">
        <v>9.5766084665014304E-27</v>
      </c>
      <c r="P80">
        <v>6.9909241805460434E-27</v>
      </c>
      <c r="Q80">
        <v>5.1033746517986119E-27</v>
      </c>
      <c r="R80">
        <v>3.7254634958129868E-27</v>
      </c>
      <c r="S80">
        <v>2.7195883519434802E-27</v>
      </c>
      <c r="T80">
        <v>1.9852994969187405E-27</v>
      </c>
      <c r="U80">
        <v>1.4492686327506805E-27</v>
      </c>
      <c r="V80">
        <v>1.0579661019079968E-27</v>
      </c>
      <c r="W80">
        <v>7.723152543928377E-28</v>
      </c>
      <c r="X80">
        <v>5.6379013570677155E-28</v>
      </c>
      <c r="Y80">
        <v>4.1156679906594317E-28</v>
      </c>
      <c r="Z80">
        <v>3.0044376331813849E-28</v>
      </c>
      <c r="AA80">
        <v>2.193239472222411E-28</v>
      </c>
      <c r="AB80">
        <v>1.6010648147223599E-28</v>
      </c>
      <c r="AC80">
        <v>1.1687773147473226E-28</v>
      </c>
      <c r="AD80">
        <v>8.5320743976554551E-29</v>
      </c>
      <c r="AE80">
        <v>6.2284143102884826E-29</v>
      </c>
      <c r="AF80">
        <v>4.546742446510592E-29</v>
      </c>
      <c r="AG80">
        <v>3.3191219859527319E-29</v>
      </c>
    </row>
    <row r="81" spans="1:33" x14ac:dyDescent="0.3">
      <c r="A81">
        <f t="shared" si="190"/>
        <v>0.74000000000000044</v>
      </c>
      <c r="B81">
        <f t="shared" si="186"/>
        <v>0.76959999999999917</v>
      </c>
      <c r="D81">
        <f t="shared" si="191"/>
        <v>74</v>
      </c>
      <c r="E81">
        <f t="shared" si="192"/>
        <v>3.4484750220139314E-3</v>
      </c>
      <c r="H81">
        <f t="shared" ref="H81" si="217">H79+1</f>
        <v>37</v>
      </c>
      <c r="I81">
        <f t="shared" ref="I81" si="218">J80</f>
        <v>0.99841836386467153</v>
      </c>
      <c r="J81">
        <f t="shared" ref="J81" si="219">I81</f>
        <v>0.99841836386467153</v>
      </c>
      <c r="L81">
        <v>0.74</v>
      </c>
      <c r="M81">
        <v>2.0585263657286593E-25</v>
      </c>
      <c r="N81">
        <v>1.5233095106392079E-25</v>
      </c>
      <c r="O81">
        <v>1.1272490378730139E-25</v>
      </c>
      <c r="P81">
        <v>8.3416428802603028E-26</v>
      </c>
      <c r="Q81">
        <v>6.1728157313926238E-26</v>
      </c>
      <c r="R81">
        <v>4.5678836412305418E-26</v>
      </c>
      <c r="S81">
        <v>3.3802338945106007E-26</v>
      </c>
      <c r="T81">
        <v>2.5013730819378444E-26</v>
      </c>
      <c r="U81">
        <v>1.8510160806340047E-26</v>
      </c>
      <c r="V81">
        <v>1.3697518996691636E-26</v>
      </c>
      <c r="W81">
        <v>1.013616405755181E-26</v>
      </c>
      <c r="X81">
        <v>7.5007614025883385E-27</v>
      </c>
      <c r="Y81">
        <v>5.5505634379153707E-27</v>
      </c>
      <c r="Z81">
        <v>4.1074169440573743E-27</v>
      </c>
      <c r="AA81">
        <v>3.0394885386024568E-27</v>
      </c>
      <c r="AB81">
        <v>2.2492215185658181E-27</v>
      </c>
      <c r="AC81">
        <v>1.6644239237387053E-27</v>
      </c>
      <c r="AD81">
        <v>1.2316737035666419E-27</v>
      </c>
      <c r="AE81">
        <v>9.1143854063931508E-28</v>
      </c>
      <c r="AF81">
        <v>6.7446452007309319E-28</v>
      </c>
      <c r="AG81">
        <v>4.9910374485408898E-28</v>
      </c>
    </row>
    <row r="82" spans="1:33" x14ac:dyDescent="0.3">
      <c r="A82">
        <f t="shared" si="190"/>
        <v>0.75000000000000044</v>
      </c>
      <c r="B82">
        <f t="shared" si="186"/>
        <v>0.74999999999999911</v>
      </c>
      <c r="D82">
        <f t="shared" si="191"/>
        <v>75</v>
      </c>
      <c r="E82">
        <f t="shared" si="192"/>
        <v>1.3746332168145909E-2</v>
      </c>
      <c r="H82">
        <f t="shared" ref="H82" si="220">H79+1</f>
        <v>37</v>
      </c>
      <c r="I82">
        <f t="shared" ref="I82" si="221">J80</f>
        <v>0.99841836386467153</v>
      </c>
      <c r="J82">
        <f t="shared" ref="J82" si="222">$E$3*I82*(1-I82)</f>
        <v>6.3165382498555651E-3</v>
      </c>
      <c r="L82">
        <v>0.75</v>
      </c>
      <c r="M82">
        <v>2.2801160008640254E-24</v>
      </c>
      <c r="N82">
        <v>1.7100870006480191E-24</v>
      </c>
      <c r="O82">
        <v>1.2825652504860143E-24</v>
      </c>
      <c r="P82">
        <v>9.6192393786451069E-25</v>
      </c>
      <c r="Q82">
        <v>7.2144295339838297E-25</v>
      </c>
      <c r="R82">
        <v>5.4108221504878727E-25</v>
      </c>
      <c r="S82">
        <v>4.0581166128659045E-25</v>
      </c>
      <c r="T82">
        <v>3.0435874596494283E-25</v>
      </c>
      <c r="U82">
        <v>2.2826905947370712E-25</v>
      </c>
      <c r="V82">
        <v>1.7120179460528034E-25</v>
      </c>
      <c r="W82">
        <v>1.2840134595396025E-25</v>
      </c>
      <c r="X82">
        <v>9.6301009465470188E-26</v>
      </c>
      <c r="Y82">
        <v>7.2225757099102644E-26</v>
      </c>
      <c r="Z82">
        <v>5.4169317824326983E-26</v>
      </c>
      <c r="AA82">
        <v>4.062698836824524E-26</v>
      </c>
      <c r="AB82">
        <v>3.0470241276183933E-26</v>
      </c>
      <c r="AC82">
        <v>2.285268095713795E-26</v>
      </c>
      <c r="AD82">
        <v>1.7139510717853461E-26</v>
      </c>
      <c r="AE82">
        <v>1.2854633038390096E-26</v>
      </c>
      <c r="AF82">
        <v>9.6409747787925717E-27</v>
      </c>
      <c r="AG82">
        <v>7.2307310840944288E-27</v>
      </c>
    </row>
    <row r="83" spans="1:33" x14ac:dyDescent="0.3">
      <c r="A83">
        <f t="shared" si="190"/>
        <v>0.76000000000000045</v>
      </c>
      <c r="B83">
        <f t="shared" si="186"/>
        <v>0.72959999999999903</v>
      </c>
      <c r="D83">
        <f t="shared" si="191"/>
        <v>76</v>
      </c>
      <c r="E83">
        <f t="shared" si="192"/>
        <v>5.4229482080275622E-2</v>
      </c>
      <c r="H83">
        <f t="shared" ref="H83" si="223">H81+1</f>
        <v>38</v>
      </c>
      <c r="I83">
        <f t="shared" ref="I83" si="224">J82</f>
        <v>6.3165382498555651E-3</v>
      </c>
      <c r="J83">
        <f t="shared" ref="J83" si="225">I83</f>
        <v>6.3165382498555651E-3</v>
      </c>
      <c r="L83">
        <v>0.76</v>
      </c>
      <c r="M83">
        <v>2.4440630011499943E-23</v>
      </c>
      <c r="N83">
        <v>1.8574878808739956E-23</v>
      </c>
      <c r="O83">
        <v>1.4116907894642367E-23</v>
      </c>
      <c r="P83">
        <v>1.0728849999928199E-23</v>
      </c>
      <c r="Q83">
        <v>8.1539259999454318E-24</v>
      </c>
      <c r="R83">
        <v>6.1969837599585282E-24</v>
      </c>
      <c r="S83">
        <v>4.7097076575684819E-24</v>
      </c>
      <c r="T83">
        <v>3.5793778197520461E-24</v>
      </c>
      <c r="U83">
        <v>2.7203271430115551E-24</v>
      </c>
      <c r="V83">
        <v>2.0674486286887818E-24</v>
      </c>
      <c r="W83">
        <v>1.5712609578034742E-24</v>
      </c>
      <c r="X83">
        <v>1.1941583279306403E-24</v>
      </c>
      <c r="Y83">
        <v>9.075603292272866E-25</v>
      </c>
      <c r="Z83">
        <v>6.8974585021273778E-25</v>
      </c>
      <c r="AA83">
        <v>5.2420684616168068E-25</v>
      </c>
      <c r="AB83">
        <v>3.9839720308287732E-25</v>
      </c>
      <c r="AC83">
        <v>3.0278187434298676E-25</v>
      </c>
      <c r="AD83">
        <v>2.3011422450066993E-25</v>
      </c>
      <c r="AE83">
        <v>1.7488681062050915E-25</v>
      </c>
      <c r="AF83">
        <v>1.3291397607158695E-25</v>
      </c>
      <c r="AG83">
        <v>1.0101462181440609E-25</v>
      </c>
    </row>
    <row r="84" spans="1:33" x14ac:dyDescent="0.3">
      <c r="A84">
        <f t="shared" si="190"/>
        <v>0.77000000000000046</v>
      </c>
      <c r="B84">
        <f t="shared" si="186"/>
        <v>0.70839999999999903</v>
      </c>
      <c r="D84">
        <f t="shared" si="191"/>
        <v>77</v>
      </c>
      <c r="E84">
        <f t="shared" si="192"/>
        <v>0.20515458141432275</v>
      </c>
      <c r="H84">
        <f t="shared" ref="H84" si="226">H81+1</f>
        <v>38</v>
      </c>
      <c r="I84">
        <f t="shared" ref="I84" si="227">J82</f>
        <v>6.3165382498555651E-3</v>
      </c>
      <c r="J84">
        <f t="shared" ref="J84" si="228">$E$3*I84*(1-I84)</f>
        <v>2.5106558377574705E-2</v>
      </c>
      <c r="L84">
        <v>0.77</v>
      </c>
      <c r="M84">
        <v>2.5371599649979491E-22</v>
      </c>
      <c r="N84">
        <v>1.9536131730484209E-22</v>
      </c>
      <c r="O84">
        <v>1.5042821432472842E-22</v>
      </c>
      <c r="P84">
        <v>1.1582972503004089E-22</v>
      </c>
      <c r="Q84">
        <v>8.9188888273131492E-23</v>
      </c>
      <c r="R84">
        <v>6.8675443970311251E-23</v>
      </c>
      <c r="S84">
        <v>5.2880091857139666E-23</v>
      </c>
      <c r="T84">
        <v>4.0717670729997542E-23</v>
      </c>
      <c r="U84">
        <v>3.1352606462098106E-23</v>
      </c>
      <c r="V84">
        <v>2.4141506975815543E-23</v>
      </c>
      <c r="W84">
        <v>1.8588960371377967E-23</v>
      </c>
      <c r="X84">
        <v>1.4313499485961035E-23</v>
      </c>
      <c r="Y84">
        <v>1.1021394604189997E-23</v>
      </c>
      <c r="Z84">
        <v>8.4864738452262975E-24</v>
      </c>
      <c r="AA84">
        <v>6.5345848608242491E-24</v>
      </c>
      <c r="AB84">
        <v>5.031630342834672E-24</v>
      </c>
      <c r="AC84">
        <v>3.8743553639826972E-24</v>
      </c>
      <c r="AD84">
        <v>2.9832536302666768E-24</v>
      </c>
      <c r="AE84">
        <v>2.297105295305341E-24</v>
      </c>
      <c r="AF84">
        <v>1.7687710773851125E-24</v>
      </c>
      <c r="AG84">
        <v>1.3619537295865367E-24</v>
      </c>
    </row>
    <row r="85" spans="1:33" x14ac:dyDescent="0.3">
      <c r="A85">
        <f t="shared" si="190"/>
        <v>0.78000000000000047</v>
      </c>
      <c r="B85">
        <f t="shared" si="186"/>
        <v>0.6863999999999989</v>
      </c>
      <c r="D85">
        <f t="shared" si="191"/>
        <v>78</v>
      </c>
      <c r="E85">
        <f t="shared" si="192"/>
        <v>0.65226471655614704</v>
      </c>
      <c r="H85">
        <f t="shared" ref="H85" si="229">H83+1</f>
        <v>39</v>
      </c>
      <c r="I85">
        <f t="shared" ref="I85" si="230">J84</f>
        <v>2.5106558377574705E-2</v>
      </c>
      <c r="J85">
        <f t="shared" ref="J85" si="231">I85</f>
        <v>2.5106558377574705E-2</v>
      </c>
      <c r="L85">
        <v>0.78</v>
      </c>
      <c r="M85">
        <v>2.5525152120480631E-21</v>
      </c>
      <c r="N85">
        <v>1.9909618653974892E-21</v>
      </c>
      <c r="O85">
        <v>1.5529502550100417E-21</v>
      </c>
      <c r="P85">
        <v>1.2113011989078326E-21</v>
      </c>
      <c r="Q85">
        <v>9.4481493514810942E-22</v>
      </c>
      <c r="R85">
        <v>7.3695564941552535E-22</v>
      </c>
      <c r="S85">
        <v>5.7482540654410977E-22</v>
      </c>
      <c r="T85">
        <v>4.4836381710440568E-22</v>
      </c>
      <c r="U85">
        <v>3.4972377734143645E-22</v>
      </c>
      <c r="V85">
        <v>2.7278454632632043E-22</v>
      </c>
      <c r="W85">
        <v>2.1277194613452994E-22</v>
      </c>
      <c r="X85">
        <v>1.6596211798493337E-22</v>
      </c>
      <c r="Y85">
        <v>1.2945045202824803E-22</v>
      </c>
      <c r="Z85">
        <v>1.0097135258203347E-22</v>
      </c>
      <c r="AA85">
        <v>7.8757655013986103E-23</v>
      </c>
      <c r="AB85">
        <v>6.143097091090916E-23</v>
      </c>
      <c r="AC85">
        <v>4.7916157310509148E-23</v>
      </c>
      <c r="AD85">
        <v>3.7374602702197136E-23</v>
      </c>
      <c r="AE85">
        <v>2.9152190107713765E-23</v>
      </c>
      <c r="AF85">
        <v>2.2738708284016739E-23</v>
      </c>
      <c r="AG85">
        <v>1.7736192461533056E-23</v>
      </c>
    </row>
    <row r="86" spans="1:33" x14ac:dyDescent="0.3">
      <c r="A86">
        <f t="shared" si="190"/>
        <v>0.79000000000000048</v>
      </c>
      <c r="B86">
        <f t="shared" si="186"/>
        <v>0.66359999999999886</v>
      </c>
      <c r="D86">
        <f t="shared" si="191"/>
        <v>79</v>
      </c>
      <c r="E86">
        <f t="shared" si="192"/>
        <v>0.90726182436830483</v>
      </c>
      <c r="H86">
        <f t="shared" ref="H86" si="232">H83+1</f>
        <v>39</v>
      </c>
      <c r="I86">
        <f t="shared" ref="I86" si="233">J84</f>
        <v>2.5106558377574705E-2</v>
      </c>
      <c r="J86">
        <f t="shared" ref="J86" si="234">$E$3*I86*(1-I86)</f>
        <v>9.7904876416032557E-2</v>
      </c>
      <c r="L86">
        <v>0.79</v>
      </c>
      <c r="M86">
        <v>2.490338514185049E-20</v>
      </c>
      <c r="N86">
        <v>1.9673674262061889E-20</v>
      </c>
      <c r="O86">
        <v>1.5542202667028892E-20</v>
      </c>
      <c r="P86">
        <v>1.2278340106952826E-20</v>
      </c>
      <c r="Q86">
        <v>9.6998886844927332E-21</v>
      </c>
      <c r="R86">
        <v>7.6629120607492597E-21</v>
      </c>
      <c r="S86">
        <v>6.0537005279919156E-21</v>
      </c>
      <c r="T86">
        <v>4.7824234171136133E-21</v>
      </c>
      <c r="U86">
        <v>3.7781144995197547E-21</v>
      </c>
      <c r="V86">
        <v>2.9847104546206062E-21</v>
      </c>
      <c r="W86">
        <v>2.3579212591502789E-21</v>
      </c>
      <c r="X86">
        <v>1.8627577947287206E-21</v>
      </c>
      <c r="Y86">
        <v>1.4715786578356893E-21</v>
      </c>
      <c r="Z86">
        <v>1.1625471396901946E-21</v>
      </c>
      <c r="AA86">
        <v>9.1841224035525384E-22</v>
      </c>
      <c r="AB86">
        <v>7.2554566988065058E-22</v>
      </c>
      <c r="AC86">
        <v>5.7318107920571403E-22</v>
      </c>
      <c r="AD86">
        <v>4.5281305257251407E-22</v>
      </c>
      <c r="AE86">
        <v>3.5772231153228614E-22</v>
      </c>
      <c r="AF86">
        <v>2.8260062611050604E-22</v>
      </c>
      <c r="AG86">
        <v>2.2325449462729977E-22</v>
      </c>
    </row>
    <row r="87" spans="1:33" x14ac:dyDescent="0.3">
      <c r="A87">
        <f t="shared" si="190"/>
        <v>0.80000000000000049</v>
      </c>
      <c r="B87">
        <f t="shared" si="186"/>
        <v>0.63999999999999879</v>
      </c>
      <c r="D87">
        <f t="shared" si="191"/>
        <v>80</v>
      </c>
      <c r="E87">
        <f t="shared" si="192"/>
        <v>0.33655122564880013</v>
      </c>
      <c r="H87">
        <f t="shared" ref="H87" si="235">H85+1</f>
        <v>40</v>
      </c>
      <c r="I87">
        <f t="shared" ref="I87" si="236">J86</f>
        <v>9.7904876416032557E-2</v>
      </c>
      <c r="J87">
        <f t="shared" ref="J87" si="237">I87</f>
        <v>9.7904876416032557E-2</v>
      </c>
      <c r="L87">
        <v>0.8</v>
      </c>
      <c r="M87">
        <v>2.3576597702698552E-19</v>
      </c>
      <c r="N87">
        <v>1.8861278162158842E-19</v>
      </c>
      <c r="O87">
        <v>1.5089022529727074E-19</v>
      </c>
      <c r="P87">
        <v>1.2071218023781659E-19</v>
      </c>
      <c r="Q87">
        <v>9.6569744190253275E-20</v>
      </c>
      <c r="R87">
        <v>7.7255795352202629E-20</v>
      </c>
      <c r="S87">
        <v>6.1804636281762104E-20</v>
      </c>
      <c r="T87">
        <v>4.9443709025409685E-20</v>
      </c>
      <c r="U87">
        <v>3.9554967220327753E-20</v>
      </c>
      <c r="V87">
        <v>3.1643973776262206E-20</v>
      </c>
      <c r="W87">
        <v>2.5315179021009766E-20</v>
      </c>
      <c r="X87">
        <v>2.0252143216807813E-20</v>
      </c>
      <c r="Y87">
        <v>1.6201714573446251E-20</v>
      </c>
      <c r="Z87">
        <v>1.2961371658757002E-20</v>
      </c>
      <c r="AA87">
        <v>1.0369097327005601E-20</v>
      </c>
      <c r="AB87">
        <v>8.2952778616044817E-21</v>
      </c>
      <c r="AC87">
        <v>6.6362222892835858E-21</v>
      </c>
      <c r="AD87">
        <v>5.308977831426869E-21</v>
      </c>
      <c r="AE87">
        <v>4.2471822651414953E-21</v>
      </c>
      <c r="AF87">
        <v>3.3977458121131961E-21</v>
      </c>
      <c r="AG87">
        <v>2.7181966496905569E-21</v>
      </c>
    </row>
    <row r="88" spans="1:33" x14ac:dyDescent="0.3">
      <c r="A88">
        <f t="shared" si="190"/>
        <v>0.8100000000000005</v>
      </c>
      <c r="B88">
        <f t="shared" si="186"/>
        <v>0.61559999999999881</v>
      </c>
      <c r="D88">
        <f t="shared" si="191"/>
        <v>81</v>
      </c>
      <c r="E88">
        <f t="shared" si="192"/>
        <v>0.89313799265236216</v>
      </c>
      <c r="H88">
        <f t="shared" ref="H88" si="238">H85+1</f>
        <v>40</v>
      </c>
      <c r="I88">
        <f t="shared" ref="I88" si="239">J86</f>
        <v>9.7904876416032557E-2</v>
      </c>
      <c r="J88">
        <f t="shared" ref="J88" si="240">$E$3*I88*(1-I88)</f>
        <v>0.35327804635997584</v>
      </c>
      <c r="L88">
        <v>0.81</v>
      </c>
      <c r="M88">
        <v>2.167090416046756E-18</v>
      </c>
      <c r="N88">
        <v>1.7553432369978723E-18</v>
      </c>
      <c r="O88">
        <v>1.4218280219682767E-18</v>
      </c>
      <c r="P88">
        <v>1.1516806977943042E-18</v>
      </c>
      <c r="Q88">
        <v>9.3286136521338645E-19</v>
      </c>
      <c r="R88">
        <v>7.5561770582284305E-19</v>
      </c>
      <c r="S88">
        <v>6.1205034171650294E-19</v>
      </c>
      <c r="T88">
        <v>4.9576077679036739E-19</v>
      </c>
      <c r="U88">
        <v>4.0156622920019764E-19</v>
      </c>
      <c r="V88">
        <v>3.2526864565216012E-19</v>
      </c>
      <c r="W88">
        <v>2.6346760297824973E-19</v>
      </c>
      <c r="X88">
        <v>2.1340875841238228E-19</v>
      </c>
      <c r="Y88">
        <v>1.7286109431402966E-19</v>
      </c>
      <c r="Z88">
        <v>1.4001748639436404E-19</v>
      </c>
      <c r="AA88">
        <v>1.1341416397943487E-19</v>
      </c>
      <c r="AB88">
        <v>9.1865472823342253E-20</v>
      </c>
      <c r="AC88">
        <v>7.4411032986907224E-20</v>
      </c>
      <c r="AD88">
        <v>6.0272936719394857E-20</v>
      </c>
      <c r="AE88">
        <v>4.8821078742709839E-20</v>
      </c>
      <c r="AF88">
        <v>3.9545073781594975E-20</v>
      </c>
      <c r="AG88">
        <v>3.2031509763091933E-20</v>
      </c>
    </row>
    <row r="89" spans="1:33" x14ac:dyDescent="0.3">
      <c r="A89">
        <f t="shared" si="190"/>
        <v>0.82000000000000051</v>
      </c>
      <c r="B89">
        <f t="shared" si="186"/>
        <v>0.5903999999999987</v>
      </c>
      <c r="D89">
        <f t="shared" si="191"/>
        <v>82</v>
      </c>
      <c r="E89">
        <f t="shared" si="192"/>
        <v>0.38177007493308496</v>
      </c>
      <c r="H89">
        <f t="shared" ref="H89" si="241">H87+1</f>
        <v>41</v>
      </c>
      <c r="I89">
        <f t="shared" ref="I89" si="242">J88</f>
        <v>0.35327804635997584</v>
      </c>
      <c r="J89">
        <f t="shared" ref="J89" si="243">I89</f>
        <v>0.35327804635997584</v>
      </c>
      <c r="L89">
        <v>0.82</v>
      </c>
      <c r="M89">
        <v>1.9349151229885173E-17</v>
      </c>
      <c r="N89">
        <v>1.5866304008505842E-17</v>
      </c>
      <c r="O89">
        <v>1.3010369286974789E-17</v>
      </c>
      <c r="P89">
        <v>1.0668502815319327E-17</v>
      </c>
      <c r="Q89">
        <v>8.7481723085618468E-18</v>
      </c>
      <c r="R89">
        <v>7.1735012930207137E-18</v>
      </c>
      <c r="S89">
        <v>5.8822710602769852E-18</v>
      </c>
      <c r="T89">
        <v>4.8234622694271274E-18</v>
      </c>
      <c r="U89">
        <v>3.9552390609302441E-18</v>
      </c>
      <c r="V89">
        <v>3.2432960299627999E-18</v>
      </c>
      <c r="W89">
        <v>2.6595027445694956E-18</v>
      </c>
      <c r="X89">
        <v>2.1807922505469864E-18</v>
      </c>
      <c r="Y89">
        <v>1.7882496454485285E-18</v>
      </c>
      <c r="Z89">
        <v>1.4663647092677933E-18</v>
      </c>
      <c r="AA89">
        <v>1.2024190615995905E-18</v>
      </c>
      <c r="AB89">
        <v>9.8598363051166415E-19</v>
      </c>
      <c r="AC89">
        <v>8.0850657701956452E-19</v>
      </c>
      <c r="AD89">
        <v>6.6297539315604284E-19</v>
      </c>
      <c r="AE89">
        <v>5.4363982238795512E-19</v>
      </c>
      <c r="AF89">
        <v>4.4578465435812319E-19</v>
      </c>
      <c r="AG89">
        <v>3.6554341657366098E-19</v>
      </c>
    </row>
    <row r="90" spans="1:33" x14ac:dyDescent="0.3">
      <c r="A90">
        <f t="shared" si="190"/>
        <v>0.83000000000000052</v>
      </c>
      <c r="B90">
        <f t="shared" si="186"/>
        <v>0.56439999999999868</v>
      </c>
      <c r="D90">
        <f t="shared" si="191"/>
        <v>83</v>
      </c>
      <c r="E90">
        <f t="shared" si="192"/>
        <v>0.94408673927468656</v>
      </c>
      <c r="H90">
        <f t="shared" ref="H90" si="244">H87+1</f>
        <v>41</v>
      </c>
      <c r="I90">
        <f t="shared" ref="I90" si="245">J88</f>
        <v>0.35327804635997584</v>
      </c>
      <c r="J90">
        <f t="shared" ref="J90" si="246">$E$3*I90*(1-I90)</f>
        <v>0.91389067328021845</v>
      </c>
      <c r="L90">
        <v>0.83</v>
      </c>
      <c r="M90">
        <v>1.6788980208028583E-16</v>
      </c>
      <c r="N90">
        <v>1.3934853572663721E-16</v>
      </c>
      <c r="O90">
        <v>1.1565928465310886E-16</v>
      </c>
      <c r="P90">
        <v>9.5997206262080337E-17</v>
      </c>
      <c r="Q90">
        <v>7.9677681197526667E-17</v>
      </c>
      <c r="R90">
        <v>6.6132475393947115E-17</v>
      </c>
      <c r="S90">
        <v>5.4889954576976099E-17</v>
      </c>
      <c r="T90">
        <v>4.5558662298890163E-17</v>
      </c>
      <c r="U90">
        <v>3.7813689708078835E-17</v>
      </c>
      <c r="V90">
        <v>3.1385362457705432E-17</v>
      </c>
      <c r="W90">
        <v>2.6049850839895508E-17</v>
      </c>
      <c r="X90">
        <v>2.162137619711327E-17</v>
      </c>
      <c r="Y90">
        <v>1.7945742243604013E-17</v>
      </c>
      <c r="Z90">
        <v>1.4894966062191329E-17</v>
      </c>
      <c r="AA90">
        <v>1.2362821831618803E-17</v>
      </c>
      <c r="AB90">
        <v>1.0261142120243607E-17</v>
      </c>
      <c r="AC90">
        <v>8.5167479598021936E-18</v>
      </c>
      <c r="AD90">
        <v>7.0689008066358205E-18</v>
      </c>
      <c r="AE90">
        <v>5.867187669507731E-18</v>
      </c>
      <c r="AF90">
        <v>4.8697657656914166E-18</v>
      </c>
      <c r="AG90">
        <v>4.0419055855238755E-18</v>
      </c>
    </row>
    <row r="91" spans="1:33" x14ac:dyDescent="0.3">
      <c r="A91">
        <f t="shared" si="190"/>
        <v>0.84000000000000052</v>
      </c>
      <c r="B91">
        <f t="shared" si="186"/>
        <v>0.53759999999999852</v>
      </c>
      <c r="D91">
        <f t="shared" si="191"/>
        <v>84</v>
      </c>
      <c r="E91">
        <f t="shared" si="192"/>
        <v>0.21114787200150625</v>
      </c>
      <c r="H91">
        <f t="shared" ref="H91" si="247">H89+1</f>
        <v>42</v>
      </c>
      <c r="I91">
        <f t="shared" ref="I91" si="248">J90</f>
        <v>0.91389067328021845</v>
      </c>
      <c r="J91">
        <f t="shared" ref="J91" si="249">I91</f>
        <v>0.91389067328021845</v>
      </c>
      <c r="L91">
        <v>0.84</v>
      </c>
      <c r="M91">
        <v>1.4161904160877127E-15</v>
      </c>
      <c r="N91">
        <v>1.189599949513677E-15</v>
      </c>
      <c r="O91">
        <v>9.9926395759148742E-16</v>
      </c>
      <c r="P91">
        <v>8.3938172437684853E-16</v>
      </c>
      <c r="Q91">
        <v>7.0508064847655211E-16</v>
      </c>
      <c r="R91">
        <v>5.9226774472030332E-16</v>
      </c>
      <c r="S91">
        <v>4.9750490556505446E-16</v>
      </c>
      <c r="T91">
        <v>4.1790412067464553E-16</v>
      </c>
      <c r="U91">
        <v>3.5103946136670209E-16</v>
      </c>
      <c r="V91">
        <v>2.9487314754802962E-16</v>
      </c>
      <c r="W91">
        <v>2.4769344394034475E-16</v>
      </c>
      <c r="X91">
        <v>2.0806249290988953E-16</v>
      </c>
      <c r="Y91">
        <v>1.7477249404430714E-16</v>
      </c>
      <c r="Z91">
        <v>1.4680889499721797E-16</v>
      </c>
      <c r="AA91">
        <v>1.2331947179766306E-16</v>
      </c>
      <c r="AB91">
        <v>1.0358835631003695E-16</v>
      </c>
      <c r="AC91">
        <v>8.7014219300431025E-17</v>
      </c>
      <c r="AD91">
        <v>7.3091944212362041E-17</v>
      </c>
      <c r="AE91">
        <v>6.13972331383841E-17</v>
      </c>
      <c r="AF91">
        <v>5.1573675836242637E-17</v>
      </c>
      <c r="AG91">
        <v>4.3321887702443815E-17</v>
      </c>
    </row>
    <row r="92" spans="1:33" x14ac:dyDescent="0.3">
      <c r="A92">
        <f t="shared" si="190"/>
        <v>0.85000000000000053</v>
      </c>
      <c r="B92">
        <f t="shared" si="186"/>
        <v>0.50999999999999845</v>
      </c>
      <c r="D92">
        <f t="shared" si="191"/>
        <v>85</v>
      </c>
      <c r="E92">
        <f t="shared" si="192"/>
        <v>0.66625779260296714</v>
      </c>
      <c r="H92">
        <f t="shared" ref="H92" si="250">H89+1</f>
        <v>42</v>
      </c>
      <c r="I92">
        <f t="shared" ref="I92" si="251">J90</f>
        <v>0.91389067328021845</v>
      </c>
      <c r="J92">
        <f t="shared" ref="J92" si="252">$E$3*I92*(1-I92)</f>
        <v>0.3147780422865899</v>
      </c>
      <c r="L92">
        <v>0.85</v>
      </c>
      <c r="M92">
        <v>1.1616491617137829E-14</v>
      </c>
      <c r="N92">
        <v>9.8740178745670399E-15</v>
      </c>
      <c r="O92">
        <v>8.3929151933819003E-15</v>
      </c>
      <c r="P92">
        <v>7.1339779143745544E-15</v>
      </c>
      <c r="Q92">
        <v>6.0638812272183274E-15</v>
      </c>
      <c r="R92">
        <v>5.1542990431355465E-15</v>
      </c>
      <c r="S92">
        <v>4.3811541866651921E-15</v>
      </c>
      <c r="T92">
        <v>3.7239810586653973E-15</v>
      </c>
      <c r="U92">
        <v>3.1653838998655756E-15</v>
      </c>
      <c r="V92">
        <v>2.6905763148857306E-15</v>
      </c>
      <c r="W92">
        <v>2.2869898676528652E-15</v>
      </c>
      <c r="X92">
        <v>1.9439413875049311E-15</v>
      </c>
      <c r="Y92">
        <v>1.652350179379188E-15</v>
      </c>
      <c r="Z92">
        <v>1.4044976524723075E-15</v>
      </c>
      <c r="AA92">
        <v>1.1938230046014596E-15</v>
      </c>
      <c r="AB92">
        <v>1.0147495539112395E-15</v>
      </c>
      <c r="AC92">
        <v>8.6253712082455266E-16</v>
      </c>
      <c r="AD92">
        <v>7.3315655270086903E-16</v>
      </c>
      <c r="AE92">
        <v>6.2318306979573812E-16</v>
      </c>
      <c r="AF92">
        <v>5.2970560932637697E-16</v>
      </c>
      <c r="AG92">
        <v>4.5024976792742013E-16</v>
      </c>
    </row>
    <row r="93" spans="1:33" x14ac:dyDescent="0.3">
      <c r="A93">
        <f t="shared" si="190"/>
        <v>0.86000000000000054</v>
      </c>
      <c r="B93">
        <f t="shared" si="186"/>
        <v>0.48159999999999842</v>
      </c>
      <c r="D93">
        <f t="shared" si="191"/>
        <v>86</v>
      </c>
      <c r="E93">
        <f t="shared" si="192"/>
        <v>0.88943338559515506</v>
      </c>
      <c r="H93">
        <f t="shared" ref="H93" si="253">H91+1</f>
        <v>43</v>
      </c>
      <c r="I93">
        <f t="shared" ref="I93" si="254">J92</f>
        <v>0.3147780422865899</v>
      </c>
      <c r="J93">
        <f t="shared" ref="J93" si="255">I93</f>
        <v>0.3147780422865899</v>
      </c>
      <c r="L93">
        <v>0.86</v>
      </c>
      <c r="M93">
        <v>9.2674796868000749E-14</v>
      </c>
      <c r="N93">
        <v>7.9700325306473259E-14</v>
      </c>
      <c r="O93">
        <v>6.8542279763561534E-14</v>
      </c>
      <c r="P93">
        <v>5.8946360596658874E-14</v>
      </c>
      <c r="Q93">
        <v>5.0693870113123639E-14</v>
      </c>
      <c r="R93">
        <v>4.3596728297284113E-14</v>
      </c>
      <c r="S93">
        <v>3.7493186335662701E-14</v>
      </c>
      <c r="T93">
        <v>3.2244140248668713E-14</v>
      </c>
      <c r="U93">
        <v>2.7729960613854199E-14</v>
      </c>
      <c r="V93">
        <v>2.3847766127913949E-14</v>
      </c>
      <c r="W93">
        <v>2.0509078870005506E-14</v>
      </c>
      <c r="X93">
        <v>1.7637807828204372E-14</v>
      </c>
      <c r="Y93">
        <v>1.5168514732255493E-14</v>
      </c>
      <c r="Z93">
        <v>1.3044922669739525E-14</v>
      </c>
      <c r="AA93">
        <v>1.1218633495975847E-14</v>
      </c>
      <c r="AB93">
        <v>9.6480248065391197E-15</v>
      </c>
      <c r="AC93">
        <v>8.2973013336235631E-15</v>
      </c>
      <c r="AD93">
        <v>7.1356791469162041E-15</v>
      </c>
      <c r="AE93">
        <v>6.1366840663478921E-15</v>
      </c>
      <c r="AF93">
        <v>5.2775482970591552E-15</v>
      </c>
      <c r="AG93">
        <v>4.5386915354708491E-15</v>
      </c>
    </row>
    <row r="94" spans="1:33" x14ac:dyDescent="0.3">
      <c r="A94">
        <f t="shared" si="190"/>
        <v>0.87000000000000055</v>
      </c>
      <c r="B94">
        <f t="shared" si="186"/>
        <v>0.45239999999999836</v>
      </c>
      <c r="D94">
        <f t="shared" si="191"/>
        <v>87</v>
      </c>
      <c r="E94">
        <f t="shared" si="192"/>
        <v>0.39336655273558113</v>
      </c>
      <c r="H94">
        <f t="shared" ref="H94" si="256">H91+1</f>
        <v>43</v>
      </c>
      <c r="I94">
        <f t="shared" ref="I94" si="257">J92</f>
        <v>0.3147780422865899</v>
      </c>
      <c r="J94">
        <f t="shared" ref="J94" si="258">$E$3*I94*(1-I94)</f>
        <v>0.86277130552324688</v>
      </c>
      <c r="L94">
        <v>0.87</v>
      </c>
      <c r="M94">
        <v>7.1912568250763231E-13</v>
      </c>
      <c r="N94">
        <v>6.2563934378119019E-13</v>
      </c>
      <c r="O94">
        <v>5.4430622908929496E-13</v>
      </c>
      <c r="P94">
        <v>4.7354641930742885E-13</v>
      </c>
      <c r="Q94">
        <v>4.1198538479726803E-13</v>
      </c>
      <c r="R94">
        <v>3.5842728477347549E-13</v>
      </c>
      <c r="S94">
        <v>3.1183173775281191E-13</v>
      </c>
      <c r="T94">
        <v>2.7129361184486176E-13</v>
      </c>
      <c r="U94">
        <v>2.360254423049657E-13</v>
      </c>
      <c r="V94">
        <v>2.053421348052717E-13</v>
      </c>
      <c r="W94">
        <v>1.7864765728054967E-13</v>
      </c>
      <c r="X94">
        <v>1.5542346183405045E-13</v>
      </c>
      <c r="Y94">
        <v>1.3521841179560287E-13</v>
      </c>
      <c r="Z94">
        <v>1.176400182621586E-13</v>
      </c>
      <c r="AA94">
        <v>1.0234681588806594E-13</v>
      </c>
      <c r="AB94">
        <v>8.9041729822608264E-14</v>
      </c>
      <c r="AC94">
        <v>7.7466304945662301E-14</v>
      </c>
      <c r="AD94">
        <v>6.7395685302720976E-14</v>
      </c>
      <c r="AE94">
        <v>5.8634246213363301E-14</v>
      </c>
      <c r="AF94">
        <v>5.1011794205623083E-14</v>
      </c>
      <c r="AG94">
        <v>4.438026095888982E-14</v>
      </c>
    </row>
    <row r="95" spans="1:33" x14ac:dyDescent="0.3">
      <c r="A95">
        <f t="shared" si="190"/>
        <v>0.88000000000000056</v>
      </c>
      <c r="B95">
        <f t="shared" si="186"/>
        <v>0.42239999999999828</v>
      </c>
      <c r="D95">
        <f t="shared" si="191"/>
        <v>88</v>
      </c>
      <c r="E95">
        <f t="shared" si="192"/>
        <v>0.95451723169802549</v>
      </c>
      <c r="H95">
        <f t="shared" ref="H95" si="259">H93+1</f>
        <v>44</v>
      </c>
      <c r="I95">
        <f t="shared" ref="I95" si="260">J94</f>
        <v>0.86277130552324688</v>
      </c>
      <c r="J95">
        <f t="shared" ref="J95" si="261">I95</f>
        <v>0.86277130552324688</v>
      </c>
      <c r="L95">
        <v>0.88</v>
      </c>
      <c r="M95">
        <v>5.4269834404323867E-12</v>
      </c>
      <c r="N95">
        <v>4.7757454275545824E-12</v>
      </c>
      <c r="O95">
        <v>4.2026559762279624E-12</v>
      </c>
      <c r="P95">
        <v>3.6983372590650641E-12</v>
      </c>
      <c r="Q95">
        <v>3.2545367879652198E-12</v>
      </c>
      <c r="R95">
        <v>2.8639923734000727E-12</v>
      </c>
      <c r="S95">
        <v>2.5203132885848454E-12</v>
      </c>
      <c r="T95">
        <v>2.2178756939490742E-12</v>
      </c>
      <c r="U95">
        <v>1.9517306106708566E-12</v>
      </c>
      <c r="V95">
        <v>1.7175229373870016E-12</v>
      </c>
      <c r="W95">
        <v>1.5114201848979656E-12</v>
      </c>
      <c r="X95">
        <v>1.3300497627081993E-12</v>
      </c>
      <c r="Y95">
        <v>1.1704437911816587E-12</v>
      </c>
      <c r="Z95">
        <v>1.0299905362386542E-12</v>
      </c>
      <c r="AA95">
        <v>9.0639167188908226E-13</v>
      </c>
      <c r="AB95">
        <v>7.9762467126166947E-13</v>
      </c>
      <c r="AC95">
        <v>7.0190971070970935E-13</v>
      </c>
      <c r="AD95">
        <v>6.1768054542411063E-13</v>
      </c>
      <c r="AE95">
        <v>5.4355887997288162E-13</v>
      </c>
      <c r="AF95">
        <v>4.7833181437587587E-13</v>
      </c>
      <c r="AG95">
        <v>4.2093199665056945E-13</v>
      </c>
    </row>
    <row r="96" spans="1:33" x14ac:dyDescent="0.3">
      <c r="A96">
        <f t="shared" si="190"/>
        <v>0.89000000000000057</v>
      </c>
      <c r="B96">
        <f t="shared" si="186"/>
        <v>0.39159999999999823</v>
      </c>
      <c r="D96">
        <f t="shared" si="191"/>
        <v>89</v>
      </c>
      <c r="E96">
        <f t="shared" si="192"/>
        <v>0.17365634435825364</v>
      </c>
      <c r="H96">
        <f t="shared" ref="H96" si="262">H93+1</f>
        <v>44</v>
      </c>
      <c r="I96">
        <f t="shared" ref="I96" si="263">J94</f>
        <v>0.86277130552324688</v>
      </c>
      <c r="J96">
        <f t="shared" ref="J96" si="264">$E$3*I96*(1-I96)</f>
        <v>0.47358791955583629</v>
      </c>
      <c r="L96">
        <v>0.89</v>
      </c>
      <c r="M96">
        <v>3.9818576276762448E-11</v>
      </c>
      <c r="N96">
        <v>3.5438532884907468E-11</v>
      </c>
      <c r="O96">
        <v>3.1540294266449904E-11</v>
      </c>
      <c r="P96">
        <v>2.8070861896255049E-11</v>
      </c>
      <c r="Q96">
        <v>2.4983067086965695E-11</v>
      </c>
      <c r="R96">
        <v>2.2234929706843972E-11</v>
      </c>
      <c r="S96">
        <v>1.9789087438651126E-11</v>
      </c>
      <c r="T96">
        <v>1.7612287820050971E-11</v>
      </c>
      <c r="U96">
        <v>1.5674936159569294E-11</v>
      </c>
      <c r="V96">
        <v>1.3950693181797996E-11</v>
      </c>
      <c r="W96">
        <v>1.2416116931627004E-11</v>
      </c>
      <c r="X96">
        <v>1.1050344069010832E-11</v>
      </c>
      <c r="Y96">
        <v>9.8348062213109615E-12</v>
      </c>
      <c r="Z96">
        <v>8.7529775368806719E-12</v>
      </c>
      <c r="AA96">
        <v>7.7901500077556106E-12</v>
      </c>
      <c r="AB96">
        <v>6.9332335068484831E-12</v>
      </c>
      <c r="AC96">
        <v>6.1705778210523675E-12</v>
      </c>
      <c r="AD96">
        <v>5.4918142607027193E-12</v>
      </c>
      <c r="AE96">
        <v>4.887714691998578E-12</v>
      </c>
      <c r="AF96">
        <v>4.3500660758574729E-12</v>
      </c>
      <c r="AG96">
        <v>3.8715588074963092E-12</v>
      </c>
    </row>
    <row r="97" spans="1:33" x14ac:dyDescent="0.3">
      <c r="A97">
        <f t="shared" si="190"/>
        <v>0.90000000000000058</v>
      </c>
      <c r="B97">
        <f t="shared" si="186"/>
        <v>0.35999999999999815</v>
      </c>
      <c r="D97">
        <f t="shared" si="191"/>
        <v>90</v>
      </c>
      <c r="E97">
        <f t="shared" si="192"/>
        <v>0.57399927368952508</v>
      </c>
      <c r="H97">
        <f t="shared" ref="H97" si="265">H95+1</f>
        <v>45</v>
      </c>
      <c r="I97">
        <f t="shared" ref="I97" si="266">J96</f>
        <v>0.47358791955583629</v>
      </c>
      <c r="J97">
        <f t="shared" ref="J97" si="267">I97</f>
        <v>0.47358791955583629</v>
      </c>
      <c r="L97">
        <v>0.9</v>
      </c>
      <c r="M97">
        <v>2.838739253838167E-10</v>
      </c>
      <c r="N97">
        <v>2.5548653277290909E-10</v>
      </c>
      <c r="O97">
        <v>2.2993787943687216E-10</v>
      </c>
      <c r="P97">
        <v>2.0694409144560067E-10</v>
      </c>
      <c r="Q97">
        <v>1.8624968226249733E-10</v>
      </c>
      <c r="R97">
        <v>1.6762471400502756E-10</v>
      </c>
      <c r="S97">
        <v>1.5086224257923658E-10</v>
      </c>
      <c r="T97">
        <v>1.3577601830082944E-10</v>
      </c>
      <c r="U97">
        <v>1.221984164541549E-10</v>
      </c>
      <c r="V97">
        <v>1.0997857479530021E-10</v>
      </c>
      <c r="W97">
        <v>9.8980717304884438E-11</v>
      </c>
      <c r="X97">
        <v>8.9082645565578539E-11</v>
      </c>
      <c r="Y97">
        <v>8.0174381001878535E-11</v>
      </c>
      <c r="Z97">
        <v>7.2156942895905536E-11</v>
      </c>
      <c r="AA97">
        <v>6.4941248601629017E-11</v>
      </c>
      <c r="AB97">
        <v>5.8447123737670483E-11</v>
      </c>
      <c r="AC97">
        <v>5.2602411360828973E-11</v>
      </c>
      <c r="AD97">
        <v>4.7342170222255767E-11</v>
      </c>
      <c r="AE97">
        <v>4.2607953198013038E-11</v>
      </c>
      <c r="AF97">
        <v>3.8347157876577838E-11</v>
      </c>
      <c r="AG97">
        <v>3.4512442087596604E-11</v>
      </c>
    </row>
    <row r="98" spans="1:33" x14ac:dyDescent="0.3">
      <c r="A98">
        <f t="shared" si="190"/>
        <v>0.91000000000000059</v>
      </c>
      <c r="B98">
        <f t="shared" si="186"/>
        <v>0.32759999999999806</v>
      </c>
      <c r="D98">
        <f t="shared" si="191"/>
        <v>91</v>
      </c>
      <c r="E98">
        <f t="shared" si="192"/>
        <v>0.97809642997369106</v>
      </c>
      <c r="H98">
        <f t="shared" ref="H98" si="268">H95+1</f>
        <v>45</v>
      </c>
      <c r="I98">
        <f t="shared" ref="I98" si="269">J96</f>
        <v>0.47358791955583629</v>
      </c>
      <c r="J98">
        <f t="shared" ref="J98" si="270">$E$3*I98*(1-I98)</f>
        <v>0.99720960802644398</v>
      </c>
      <c r="L98">
        <v>0.91</v>
      </c>
      <c r="M98">
        <v>1.9644538234185193E-9</v>
      </c>
      <c r="N98">
        <v>1.7876529757990908E-9</v>
      </c>
      <c r="O98">
        <v>1.6267642050690827E-9</v>
      </c>
      <c r="P98">
        <v>1.4803554242046762E-9</v>
      </c>
      <c r="Q98">
        <v>1.347123434032034E-9</v>
      </c>
      <c r="R98">
        <v>1.2258823233177361E-9</v>
      </c>
      <c r="S98">
        <v>1.1155529128516033E-9</v>
      </c>
      <c r="T98">
        <v>1.015153149562502E-9</v>
      </c>
      <c r="U98">
        <v>9.237893651640892E-10</v>
      </c>
      <c r="V98">
        <v>8.4064832152273926E-10</v>
      </c>
      <c r="W98">
        <v>7.6498997194260527E-10</v>
      </c>
      <c r="X98">
        <v>6.9614087393523006E-10</v>
      </c>
      <c r="Y98">
        <v>6.3348819484006233E-10</v>
      </c>
      <c r="Z98">
        <v>5.7647425693926715E-10</v>
      </c>
      <c r="AA98">
        <v>5.2459157351231963E-10</v>
      </c>
      <c r="AB98">
        <v>4.7737833164578229E-10</v>
      </c>
      <c r="AC98">
        <v>4.3441428159028191E-10</v>
      </c>
      <c r="AD98">
        <v>3.9531699607542521E-10</v>
      </c>
      <c r="AE98">
        <v>3.597384662864262E-10</v>
      </c>
      <c r="AF98">
        <v>3.2736200420288315E-10</v>
      </c>
      <c r="AG98">
        <v>2.9789942372710268E-10</v>
      </c>
    </row>
    <row r="99" spans="1:33" x14ac:dyDescent="0.3">
      <c r="A99">
        <f t="shared" si="190"/>
        <v>0.9200000000000006</v>
      </c>
      <c r="B99">
        <f t="shared" si="186"/>
        <v>0.294399999999998</v>
      </c>
      <c r="D99">
        <f t="shared" si="191"/>
        <v>92</v>
      </c>
      <c r="E99">
        <f t="shared" si="192"/>
        <v>8.5695214585646079E-2</v>
      </c>
      <c r="H99">
        <f t="shared" ref="H99" si="271">H97+1</f>
        <v>46</v>
      </c>
      <c r="I99">
        <f t="shared" ref="I99" si="272">J98</f>
        <v>0.99720960802644398</v>
      </c>
      <c r="J99">
        <f t="shared" ref="J99" si="273">I99</f>
        <v>0.99720960802644398</v>
      </c>
      <c r="L99">
        <v>0.92</v>
      </c>
      <c r="M99">
        <v>1.317472546016558E-8</v>
      </c>
      <c r="N99">
        <v>1.2120747263664813E-8</v>
      </c>
      <c r="O99">
        <v>1.1151087347412115E-8</v>
      </c>
      <c r="P99">
        <v>1.0259000245220137E-8</v>
      </c>
      <c r="Q99">
        <v>9.4382801287752079E-9</v>
      </c>
      <c r="R99">
        <v>8.6832176365185506E-9</v>
      </c>
      <c r="S99">
        <v>7.9885601562306611E-9</v>
      </c>
      <c r="T99">
        <v>7.3494752850204832E-9</v>
      </c>
      <c r="U99">
        <v>6.7615172125252412E-9</v>
      </c>
      <c r="V99">
        <v>6.220595793462556E-9</v>
      </c>
      <c r="W99">
        <v>5.7229480943854051E-9</v>
      </c>
      <c r="X99">
        <v>5.2651122167026085E-9</v>
      </c>
      <c r="Y99">
        <v>4.8439032138627058E-9</v>
      </c>
      <c r="Z99">
        <v>4.4563909351673637E-9</v>
      </c>
      <c r="AA99">
        <v>4.0998796420833083E-9</v>
      </c>
      <c r="AB99">
        <v>3.7718892552523521E-9</v>
      </c>
      <c r="AC99">
        <v>3.4701381017431872E-9</v>
      </c>
      <c r="AD99">
        <v>3.1925270425252227E-9</v>
      </c>
      <c r="AE99">
        <v>2.9371248697463549E-9</v>
      </c>
      <c r="AF99">
        <v>2.7021548722300804E-9</v>
      </c>
      <c r="AG99">
        <v>2.4859824757341643E-9</v>
      </c>
    </row>
    <row r="100" spans="1:33" x14ac:dyDescent="0.3">
      <c r="A100">
        <f t="shared" si="190"/>
        <v>0.9300000000000006</v>
      </c>
      <c r="B100">
        <f t="shared" si="186"/>
        <v>0.26039999999999791</v>
      </c>
      <c r="D100">
        <f t="shared" si="191"/>
        <v>93</v>
      </c>
      <c r="E100">
        <f t="shared" si="192"/>
        <v>0.31340617913106461</v>
      </c>
      <c r="H100">
        <f t="shared" ref="H100" si="274">H97+1</f>
        <v>46</v>
      </c>
      <c r="I100">
        <f t="shared" ref="I100" si="275">J98</f>
        <v>0.99720960802644398</v>
      </c>
      <c r="J100">
        <f t="shared" ref="J100" si="276">$E$3*I100*(1-I100)</f>
        <v>1.1130422744759724E-2</v>
      </c>
      <c r="L100">
        <v>0.93</v>
      </c>
      <c r="M100">
        <v>8.541539136747683E-8</v>
      </c>
      <c r="N100">
        <v>7.9436307186669623E-8</v>
      </c>
      <c r="O100">
        <v>7.3875759815184739E-8</v>
      </c>
      <c r="P100">
        <v>6.8704451552527876E-8</v>
      </c>
      <c r="Q100">
        <v>6.3895135553970378E-8</v>
      </c>
      <c r="R100">
        <v>5.9422472268385294E-8</v>
      </c>
      <c r="S100">
        <v>5.5262895925740228E-8</v>
      </c>
      <c r="T100">
        <v>5.1394490370729884E-8</v>
      </c>
      <c r="U100">
        <v>4.7796873588282709E-8</v>
      </c>
      <c r="V100">
        <v>4.445109031247968E-8</v>
      </c>
      <c r="W100">
        <v>4.1339512153019634E-8</v>
      </c>
      <c r="X100">
        <v>3.8445744712979862E-8</v>
      </c>
      <c r="Y100">
        <v>3.5754541208461255E-8</v>
      </c>
      <c r="Z100">
        <v>3.325172213496886E-8</v>
      </c>
      <c r="AA100">
        <v>3.0924100557241408E-8</v>
      </c>
      <c r="AB100">
        <v>2.8759412628875517E-8</v>
      </c>
      <c r="AC100">
        <v>2.6746252975647685E-8</v>
      </c>
      <c r="AD100">
        <v>2.4874014602065642E-8</v>
      </c>
      <c r="AE100">
        <v>2.3132833004514605E-8</v>
      </c>
      <c r="AF100">
        <v>2.1513534196529581E-8</v>
      </c>
      <c r="AG100">
        <v>2.0007586372338607E-8</v>
      </c>
    </row>
    <row r="101" spans="1:33" x14ac:dyDescent="0.3">
      <c r="A101">
        <f t="shared" si="190"/>
        <v>0.94000000000000061</v>
      </c>
      <c r="B101">
        <f t="shared" si="186"/>
        <v>0.22559999999999783</v>
      </c>
      <c r="D101">
        <f t="shared" si="191"/>
        <v>94</v>
      </c>
      <c r="E101">
        <f t="shared" si="192"/>
        <v>0.86073098405412662</v>
      </c>
      <c r="H101">
        <f t="shared" ref="H101" si="277">H99+1</f>
        <v>47</v>
      </c>
      <c r="I101">
        <f t="shared" ref="I101" si="278">J100</f>
        <v>1.1130422744759724E-2</v>
      </c>
      <c r="J101">
        <f t="shared" ref="J101" si="279">I101</f>
        <v>1.1130422744759724E-2</v>
      </c>
      <c r="L101">
        <v>0.94</v>
      </c>
      <c r="M101">
        <v>5.3320589364284276E-7</v>
      </c>
      <c r="N101">
        <v>5.0121327277425867E-7</v>
      </c>
      <c r="O101">
        <v>4.7114024026594298E-7</v>
      </c>
      <c r="P101">
        <v>4.4287161719524796E-7</v>
      </c>
      <c r="Q101">
        <v>4.1629913579637993E-7</v>
      </c>
      <c r="R101">
        <v>3.9132102474192489E-7</v>
      </c>
      <c r="S101">
        <v>3.6784161931319365E-7</v>
      </c>
      <c r="T101">
        <v>3.4577099496539258E-7</v>
      </c>
      <c r="U101">
        <v>3.2502462288334294E-7</v>
      </c>
      <c r="V101">
        <v>3.0552304620779718E-7</v>
      </c>
      <c r="W101">
        <v>2.8719157569165747E-7</v>
      </c>
      <c r="X101">
        <v>2.6996000361989691E-7</v>
      </c>
      <c r="Y101">
        <v>2.5376233489700372E-7</v>
      </c>
      <c r="Z101">
        <v>2.3853653427158019E-7</v>
      </c>
      <c r="AA101">
        <v>2.2422428872958788E-7</v>
      </c>
      <c r="AB101">
        <v>2.1077078414587285E-7</v>
      </c>
      <c r="AC101">
        <v>1.9812449533825644E-7</v>
      </c>
      <c r="AD101">
        <v>1.8623698871984434E-7</v>
      </c>
      <c r="AE101">
        <v>1.7506273679349065E-7</v>
      </c>
      <c r="AF101">
        <v>1.6455894377773709E-7</v>
      </c>
      <c r="AG101">
        <v>1.5468538169620565E-7</v>
      </c>
    </row>
    <row r="102" spans="1:33" x14ac:dyDescent="0.3">
      <c r="A102">
        <f t="shared" si="190"/>
        <v>0.95000000000000062</v>
      </c>
      <c r="B102">
        <f t="shared" si="186"/>
        <v>0.18999999999999775</v>
      </c>
      <c r="D102">
        <f t="shared" si="191"/>
        <v>95</v>
      </c>
      <c r="E102">
        <f t="shared" si="192"/>
        <v>0.47949262857336578</v>
      </c>
      <c r="H102">
        <f t="shared" ref="H102" si="280">H99+1</f>
        <v>47</v>
      </c>
      <c r="I102">
        <f t="shared" ref="I102" si="281">J100</f>
        <v>1.1130422744759724E-2</v>
      </c>
      <c r="J102">
        <f t="shared" ref="J102" si="282">$E$3*I102*(1-I102)</f>
        <v>4.4026145737130637E-2</v>
      </c>
      <c r="L102">
        <v>0.95</v>
      </c>
      <c r="M102">
        <v>3.1840386130602381E-6</v>
      </c>
      <c r="N102">
        <v>3.0248270512104307E-6</v>
      </c>
      <c r="O102">
        <v>2.873577006550154E-6</v>
      </c>
      <c r="P102">
        <v>2.7298903116500741E-6</v>
      </c>
      <c r="Q102">
        <v>2.5933887163815123E-6</v>
      </c>
      <c r="R102">
        <v>2.463712891180654E-6</v>
      </c>
      <c r="S102">
        <v>2.3405214802344717E-6</v>
      </c>
      <c r="T102">
        <v>2.2234902020839886E-6</v>
      </c>
      <c r="U102">
        <v>2.1123109952665446E-6</v>
      </c>
      <c r="V102">
        <v>2.0066912067383636E-6</v>
      </c>
      <c r="W102">
        <v>1.906352820932326E-6</v>
      </c>
      <c r="X102">
        <v>1.8110317274136857E-6</v>
      </c>
      <c r="Y102">
        <v>1.7204770251988796E-6</v>
      </c>
      <c r="Z102">
        <v>1.634450361899801E-6</v>
      </c>
      <c r="AA102">
        <v>1.5527253059482248E-6</v>
      </c>
      <c r="AB102">
        <v>1.4750867502427313E-6</v>
      </c>
      <c r="AC102">
        <v>1.4013303456437202E-6</v>
      </c>
      <c r="AD102">
        <v>1.3312619628211334E-6</v>
      </c>
      <c r="AE102">
        <v>1.2646971810345837E-6</v>
      </c>
      <c r="AF102">
        <v>1.2014608024968428E-6</v>
      </c>
      <c r="AG102">
        <v>1.1413863910393437E-6</v>
      </c>
    </row>
    <row r="103" spans="1:33" x14ac:dyDescent="0.3">
      <c r="A103">
        <f t="shared" si="190"/>
        <v>0.96000000000000063</v>
      </c>
      <c r="B103">
        <f t="shared" si="186"/>
        <v>0.15359999999999768</v>
      </c>
      <c r="D103">
        <f t="shared" si="191"/>
        <v>96</v>
      </c>
      <c r="E103">
        <f t="shared" si="192"/>
        <v>0.99831779086868011</v>
      </c>
      <c r="H103">
        <f t="shared" ref="H103" si="283">H101+1</f>
        <v>48</v>
      </c>
      <c r="I103">
        <f t="shared" ref="I103" si="284">J102</f>
        <v>4.4026145737130637E-2</v>
      </c>
      <c r="J103">
        <f t="shared" ref="J103" si="285">I103</f>
        <v>4.4026145737130637E-2</v>
      </c>
      <c r="L103">
        <v>0.96</v>
      </c>
      <c r="M103">
        <v>1.7984531549041967E-5</v>
      </c>
      <c r="N103">
        <v>1.7264839781440252E-5</v>
      </c>
      <c r="O103">
        <v>1.6573960038477669E-5</v>
      </c>
      <c r="P103">
        <v>1.5910737928633257E-5</v>
      </c>
      <c r="Q103">
        <v>1.527406538596975E-5</v>
      </c>
      <c r="R103">
        <v>1.4662878805340483E-5</v>
      </c>
      <c r="S103">
        <v>1.4076157253112598E-5</v>
      </c>
      <c r="T103">
        <v>1.35129207503132E-5</v>
      </c>
      <c r="U103">
        <v>1.2972228625234555E-5</v>
      </c>
      <c r="V103">
        <v>1.2453177932658288E-5</v>
      </c>
      <c r="W103">
        <v>1.1954901936976959E-5</v>
      </c>
      <c r="X103">
        <v>1.1476568656604771E-5</v>
      </c>
      <c r="Y103">
        <v>1.1017379467177574E-5</v>
      </c>
      <c r="Z103">
        <v>1.0576567761146161E-5</v>
      </c>
      <c r="AA103">
        <v>1.0153397661466131E-5</v>
      </c>
      <c r="AB103">
        <v>9.7471627871827764E-6</v>
      </c>
      <c r="AC103">
        <v>9.357185068800361E-6</v>
      </c>
      <c r="AD103">
        <v>8.9828136114124306E-6</v>
      </c>
      <c r="AE103">
        <v>8.6234236036531705E-6</v>
      </c>
      <c r="AF103">
        <v>8.2784152706097806E-6</v>
      </c>
      <c r="AG103">
        <v>7.9472128689123709E-6</v>
      </c>
    </row>
    <row r="104" spans="1:33" x14ac:dyDescent="0.3">
      <c r="A104">
        <f t="shared" si="190"/>
        <v>0.97000000000000064</v>
      </c>
      <c r="B104">
        <f t="shared" si="186"/>
        <v>0.11639999999999759</v>
      </c>
      <c r="D104">
        <f t="shared" si="191"/>
        <v>97</v>
      </c>
      <c r="E104">
        <f t="shared" si="192"/>
        <v>6.7175172150335735E-3</v>
      </c>
      <c r="H104">
        <f t="shared" ref="H104" si="286">H101+1</f>
        <v>48</v>
      </c>
      <c r="I104">
        <f t="shared" ref="I104" si="287">J102</f>
        <v>4.4026145737130637E-2</v>
      </c>
      <c r="J104">
        <f t="shared" ref="J104" si="288">$E$3*I104*(1-I104)</f>
        <v>0.16835137691465429</v>
      </c>
      <c r="L104">
        <v>0.97</v>
      </c>
      <c r="M104">
        <v>9.41449340865824E-5</v>
      </c>
      <c r="N104">
        <v>9.131198869342919E-5</v>
      </c>
      <c r="O104">
        <v>8.856454128972554E-5</v>
      </c>
      <c r="P104">
        <v>8.5899996683399128E-5</v>
      </c>
      <c r="Q104">
        <v>8.331583933774984E-5</v>
      </c>
      <c r="R104">
        <v>8.0809630874405334E-5</v>
      </c>
      <c r="S104">
        <v>7.8379007657624375E-5</v>
      </c>
      <c r="T104">
        <v>7.6021678457119488E-5</v>
      </c>
      <c r="U104">
        <v>7.3735422186678329E-5</v>
      </c>
      <c r="V104">
        <v>7.1518085715967475E-5</v>
      </c>
      <c r="W104">
        <v>6.9367581753001514E-5</v>
      </c>
      <c r="X104">
        <v>6.7281886794855154E-5</v>
      </c>
      <c r="Y104">
        <v>6.5259039144287549E-5</v>
      </c>
      <c r="Z104">
        <v>6.3297136990034578E-5</v>
      </c>
      <c r="AA104">
        <v>6.1394336548608943E-5</v>
      </c>
      <c r="AB104">
        <v>5.9548850265527236E-5</v>
      </c>
      <c r="AC104">
        <v>5.7758945073960508E-5</v>
      </c>
      <c r="AD104">
        <v>5.6022940708877718E-5</v>
      </c>
      <c r="AE104">
        <v>5.4339208074822288E-5</v>
      </c>
      <c r="AF104">
        <v>5.2706167665529443E-5</v>
      </c>
      <c r="AG104">
        <v>5.1122288033656872E-5</v>
      </c>
    </row>
    <row r="105" spans="1:33" x14ac:dyDescent="0.3">
      <c r="A105">
        <f t="shared" si="190"/>
        <v>0.98000000000000065</v>
      </c>
      <c r="B105">
        <f t="shared" si="186"/>
        <v>7.8399999999997513E-2</v>
      </c>
      <c r="D105">
        <f t="shared" si="191"/>
        <v>98</v>
      </c>
      <c r="E105">
        <f t="shared" si="192"/>
        <v>2.6689568709997204E-2</v>
      </c>
      <c r="H105">
        <f t="shared" ref="H105" si="289">H103+1</f>
        <v>49</v>
      </c>
      <c r="I105">
        <f t="shared" ref="I105" si="290">J104</f>
        <v>0.16835137691465429</v>
      </c>
      <c r="J105">
        <f t="shared" ref="J105" si="291">I105</f>
        <v>0.16835137691465429</v>
      </c>
      <c r="L105">
        <v>0.98</v>
      </c>
      <c r="M105">
        <v>4.3979259666680222E-4</v>
      </c>
      <c r="N105">
        <v>4.3080719555594487E-4</v>
      </c>
      <c r="O105">
        <v>4.2200916870187803E-4</v>
      </c>
      <c r="P105">
        <v>4.1339445542414141E-4</v>
      </c>
      <c r="Q105">
        <v>4.0495908923939873E-4</v>
      </c>
      <c r="R105">
        <v>3.9669919542793228E-4</v>
      </c>
      <c r="S105">
        <v>3.8861098867275354E-4</v>
      </c>
      <c r="T105">
        <v>3.8069077076879161E-4</v>
      </c>
      <c r="U105">
        <v>3.7293492839972619E-4</v>
      </c>
      <c r="V105">
        <v>3.6533993098012758E-4</v>
      </c>
      <c r="W105">
        <v>3.579023285606598E-4</v>
      </c>
      <c r="X105">
        <v>3.5061874979419323E-4</v>
      </c>
      <c r="Y105">
        <v>3.4348589996075629E-4</v>
      </c>
      <c r="Z105">
        <v>3.3650055904933872E-4</v>
      </c>
      <c r="AA105">
        <v>3.2965957989463621E-4</v>
      </c>
      <c r="AB105">
        <v>3.2295988636689952E-4</v>
      </c>
      <c r="AC105">
        <v>3.1639847161312346E-4</v>
      </c>
      <c r="AD105">
        <v>3.0997239634787866E-4</v>
      </c>
      <c r="AE105">
        <v>3.0367878719215336E-4</v>
      </c>
      <c r="AF105">
        <v>2.975148350586356E-4</v>
      </c>
      <c r="AG105">
        <v>2.9147779358192451E-4</v>
      </c>
    </row>
    <row r="106" spans="1:33" x14ac:dyDescent="0.3">
      <c r="A106">
        <f t="shared" si="190"/>
        <v>0.99000000000000066</v>
      </c>
      <c r="B106">
        <f t="shared" si="186"/>
        <v>3.9599999999997422E-2</v>
      </c>
      <c r="D106">
        <f t="shared" si="191"/>
        <v>99</v>
      </c>
      <c r="E106">
        <f t="shared" si="192"/>
        <v>0.10390894252828617</v>
      </c>
      <c r="H106">
        <f t="shared" ref="H106" si="292">H103+1</f>
        <v>49</v>
      </c>
      <c r="I106">
        <f t="shared" ref="I106" si="293">J104</f>
        <v>0.16835137691465429</v>
      </c>
      <c r="J106">
        <f t="shared" ref="J106" si="294">$E$3*I106*(1-I106)</f>
        <v>0.56003676322237717</v>
      </c>
      <c r="L106">
        <v>0.99</v>
      </c>
      <c r="M106">
        <v>1.7186057749222516E-3</v>
      </c>
      <c r="N106">
        <v>1.6984956474215291E-3</v>
      </c>
      <c r="O106">
        <v>1.6786546523576472E-3</v>
      </c>
      <c r="P106">
        <v>1.6590784032066075E-3</v>
      </c>
      <c r="Q106">
        <v>1.6397626034380347E-3</v>
      </c>
      <c r="R106">
        <v>1.6207030442219768E-3</v>
      </c>
      <c r="S106">
        <v>1.6018956022057821E-3</v>
      </c>
      <c r="T106">
        <v>1.5833362373585617E-3</v>
      </c>
      <c r="U106">
        <v>1.5650209908808488E-3</v>
      </c>
      <c r="V106">
        <v>1.5469459831771615E-3</v>
      </c>
      <c r="W106">
        <v>1.5291074118892708E-3</v>
      </c>
      <c r="X106">
        <v>1.5115015499880544E-3</v>
      </c>
      <c r="Y106">
        <v>1.4941247439219138E-3</v>
      </c>
      <c r="Z106">
        <v>1.4769734118197989E-3</v>
      </c>
      <c r="AA106">
        <v>1.4600440417469704E-3</v>
      </c>
      <c r="AB106">
        <v>1.4433331900116984E-3</v>
      </c>
      <c r="AC106">
        <v>1.4268374795211659E-3</v>
      </c>
      <c r="AD106">
        <v>1.4105535981849176E-3</v>
      </c>
      <c r="AE106">
        <v>1.3944782973642495E-3</v>
      </c>
      <c r="AF106">
        <v>1.3786083903660055E-3</v>
      </c>
      <c r="AG106">
        <v>1.3629407509792978E-3</v>
      </c>
    </row>
    <row r="107" spans="1:33" x14ac:dyDescent="0.3">
      <c r="A107">
        <f t="shared" si="190"/>
        <v>1.0000000000000007</v>
      </c>
      <c r="B107">
        <f t="shared" si="186"/>
        <v>-2.6645352591003773E-15</v>
      </c>
      <c r="D107">
        <f t="shared" si="191"/>
        <v>100</v>
      </c>
      <c r="E107">
        <f t="shared" si="192"/>
        <v>0.37244749676375793</v>
      </c>
      <c r="H107">
        <f t="shared" ref="H107" si="295">H105+1</f>
        <v>50</v>
      </c>
      <c r="I107">
        <f t="shared" ref="I107" si="296">J106</f>
        <v>0.56003676322237717</v>
      </c>
      <c r="J107">
        <f t="shared" ref="J107" si="297">I107</f>
        <v>0.56003676322237717</v>
      </c>
      <c r="L107">
        <v>1</v>
      </c>
      <c r="M107">
        <v>5.1810434449353904E-3</v>
      </c>
      <c r="N107">
        <v>5.1542002337570825E-3</v>
      </c>
      <c r="O107">
        <v>5.1276344537074204E-3</v>
      </c>
      <c r="P107">
        <v>5.1013418186165727E-3</v>
      </c>
      <c r="Q107">
        <v>5.0753181302662063E-3</v>
      </c>
      <c r="R107">
        <v>5.0495592761427973E-3</v>
      </c>
      <c r="S107">
        <v>5.0240612272595174E-3</v>
      </c>
      <c r="T107">
        <v>4.998820036044265E-3</v>
      </c>
      <c r="U107">
        <v>4.9738318342915071E-3</v>
      </c>
      <c r="V107">
        <v>4.9490928311756955E-3</v>
      </c>
      <c r="W107">
        <v>4.924599311324101E-3</v>
      </c>
      <c r="X107">
        <v>4.9003476329470075E-3</v>
      </c>
      <c r="Y107">
        <v>4.8763342260232786E-3</v>
      </c>
      <c r="Z107">
        <v>4.8525555905393923E-3</v>
      </c>
      <c r="AA107">
        <v>4.8290082947801171E-3</v>
      </c>
      <c r="AB107">
        <v>4.8056889736690618E-3</v>
      </c>
      <c r="AC107">
        <v>4.7825943271574177E-3</v>
      </c>
      <c r="AD107">
        <v>4.7597211186592592E-3</v>
      </c>
      <c r="AE107">
        <v>4.7370661735318485E-3</v>
      </c>
      <c r="AF107">
        <v>4.7146263775994287E-3</v>
      </c>
      <c r="AG107">
        <v>4.6923986757190722E-3</v>
      </c>
    </row>
    <row r="108" spans="1:33" x14ac:dyDescent="0.3">
      <c r="D108">
        <f t="shared" si="191"/>
        <v>101</v>
      </c>
      <c r="E108">
        <f t="shared" si="192"/>
        <v>0.93492143567267394</v>
      </c>
      <c r="H108">
        <f t="shared" ref="H108" si="298">H105+1</f>
        <v>50</v>
      </c>
      <c r="I108">
        <f t="shared" ref="I108" si="299">J106</f>
        <v>0.56003676322237717</v>
      </c>
      <c r="J108">
        <f t="shared" ref="J108" si="300">$E$3*I108*(1-I108)</f>
        <v>0.98558234824712088</v>
      </c>
      <c r="L108">
        <v>1.01</v>
      </c>
      <c r="M108">
        <v>1.1571376009357216E-2</v>
      </c>
      <c r="N108">
        <v>1.1551854059273363E-2</v>
      </c>
      <c r="O108">
        <v>1.1532592814337278E-2</v>
      </c>
      <c r="P108">
        <v>1.1513588038489134E-2</v>
      </c>
      <c r="Q108">
        <v>1.1494835582258785E-2</v>
      </c>
      <c r="R108">
        <v>1.1476331380567579E-2</v>
      </c>
      <c r="S108">
        <v>1.1458071450597089E-2</v>
      </c>
      <c r="T108">
        <v>1.1440051889722403E-2</v>
      </c>
      <c r="U108">
        <v>1.1422268873507691E-2</v>
      </c>
      <c r="V108">
        <v>1.1404718653761877E-2</v>
      </c>
      <c r="W108">
        <v>1.1387397556652318E-2</v>
      </c>
      <c r="X108">
        <v>1.1370301980874459E-2</v>
      </c>
      <c r="Y108">
        <v>1.1353428395875564E-2</v>
      </c>
      <c r="Z108">
        <v>1.1336773340130642E-2</v>
      </c>
      <c r="AA108">
        <v>1.1320333419468797E-2</v>
      </c>
      <c r="AB108">
        <v>1.1304105305448264E-2</v>
      </c>
      <c r="AC108">
        <v>1.1288085733778517E-2</v>
      </c>
      <c r="AD108">
        <v>1.1272271502787836E-2</v>
      </c>
      <c r="AE108">
        <v>1.1256659471934825E-2</v>
      </c>
      <c r="AF108">
        <v>1.1241246560362402E-2</v>
      </c>
      <c r="AG108">
        <v>1.1226029745492859E-2</v>
      </c>
    </row>
    <row r="109" spans="1:33" x14ac:dyDescent="0.3">
      <c r="D109">
        <f t="shared" si="191"/>
        <v>102</v>
      </c>
      <c r="E109">
        <f t="shared" si="192"/>
        <v>0.24337337916968058</v>
      </c>
      <c r="H109">
        <f t="shared" ref="H109" si="301">H107+1</f>
        <v>51</v>
      </c>
      <c r="I109">
        <f t="shared" ref="I109" si="302">J108</f>
        <v>0.98558234824712088</v>
      </c>
      <c r="J109">
        <f t="shared" ref="J109" si="303">I109</f>
        <v>0.98558234824712088</v>
      </c>
      <c r="L109">
        <v>1.02</v>
      </c>
      <c r="M109">
        <v>2.0017883471271859E-2</v>
      </c>
      <c r="N109">
        <v>2.000951116885449E-2</v>
      </c>
      <c r="O109">
        <v>2.0001313244270735E-2</v>
      </c>
      <c r="P109">
        <v>1.9993285927030802E-2</v>
      </c>
      <c r="Q109">
        <v>1.9985425533768211E-2</v>
      </c>
      <c r="R109">
        <v>1.9977728466002466E-2</v>
      </c>
      <c r="S109">
        <v>1.9970191207967964E-2</v>
      </c>
      <c r="T109">
        <v>1.9962810324506867E-2</v>
      </c>
      <c r="U109">
        <v>1.9955582459023721E-2</v>
      </c>
      <c r="V109">
        <v>1.9948504331499722E-2</v>
      </c>
      <c r="W109">
        <v>1.9941572736564574E-2</v>
      </c>
      <c r="X109">
        <v>1.9934784541624017E-2</v>
      </c>
      <c r="Y109">
        <v>1.9928136685041106E-2</v>
      </c>
      <c r="Z109">
        <v>1.9921626174369496E-2</v>
      </c>
      <c r="AA109">
        <v>1.9915250084636935E-2</v>
      </c>
      <c r="AB109">
        <v>1.9909005556677371E-2</v>
      </c>
      <c r="AC109">
        <v>1.9902889795509991E-2</v>
      </c>
      <c r="AD109">
        <v>1.9896900068763729E-2</v>
      </c>
      <c r="AE109">
        <v>1.9891033705145708E-2</v>
      </c>
      <c r="AF109">
        <v>1.9885288092952199E-2</v>
      </c>
      <c r="AG109">
        <v>1.987966067862074E-2</v>
      </c>
    </row>
    <row r="110" spans="1:33" x14ac:dyDescent="0.3">
      <c r="D110">
        <f t="shared" si="191"/>
        <v>103</v>
      </c>
      <c r="E110">
        <f t="shared" si="192"/>
        <v>0.73657110992484587</v>
      </c>
      <c r="H110">
        <f t="shared" ref="H110" si="304">H107+1</f>
        <v>51</v>
      </c>
      <c r="I110">
        <f t="shared" ref="I110" si="305">J108</f>
        <v>0.98558234824712088</v>
      </c>
      <c r="J110">
        <f t="shared" ref="J110" si="306">$E$3*I110*(1-I110)</f>
        <v>5.6839132283247301E-2</v>
      </c>
      <c r="L110">
        <v>1.03</v>
      </c>
      <c r="M110">
        <v>2.9209029661505674E-2</v>
      </c>
      <c r="N110">
        <v>2.9206538115171127E-2</v>
      </c>
      <c r="O110">
        <v>2.920412173389313E-2</v>
      </c>
      <c r="P110">
        <v>2.9201778237874437E-2</v>
      </c>
      <c r="Q110">
        <v>2.9199505417189055E-2</v>
      </c>
      <c r="R110">
        <v>2.9197301129598022E-2</v>
      </c>
      <c r="S110">
        <v>2.9195163298435963E-2</v>
      </c>
      <c r="T110">
        <v>2.9193089910566031E-2</v>
      </c>
      <c r="U110">
        <v>2.9191079014400829E-2</v>
      </c>
      <c r="V110">
        <v>2.9189128717987112E-2</v>
      </c>
      <c r="W110">
        <v>2.9187237187152052E-2</v>
      </c>
      <c r="X110">
        <v>2.9185402643708967E-2</v>
      </c>
      <c r="Y110">
        <v>2.9183623363720559E-2</v>
      </c>
      <c r="Z110">
        <v>2.9181897675817615E-2</v>
      </c>
      <c r="AA110">
        <v>2.91802239595714E-2</v>
      </c>
      <c r="AB110">
        <v>2.9178600643917876E-2</v>
      </c>
      <c r="AC110">
        <v>2.9177026205632051E-2</v>
      </c>
      <c r="AD110">
        <v>2.9175499167850751E-2</v>
      </c>
      <c r="AE110">
        <v>2.9174018098642215E-2</v>
      </c>
      <c r="AF110">
        <v>2.9172581609620982E-2</v>
      </c>
      <c r="AG110">
        <v>2.9171188354606515E-2</v>
      </c>
    </row>
    <row r="111" spans="1:33" x14ac:dyDescent="0.3">
      <c r="D111">
        <f t="shared" si="191"/>
        <v>104</v>
      </c>
      <c r="E111">
        <f t="shared" si="192"/>
        <v>0.77613643979570601</v>
      </c>
      <c r="H111">
        <f t="shared" ref="H111" si="307">H109+1</f>
        <v>52</v>
      </c>
      <c r="I111">
        <f t="shared" ref="I111" si="308">J110</f>
        <v>5.6839132283247301E-2</v>
      </c>
      <c r="J111">
        <f t="shared" ref="J111" si="309">I111</f>
        <v>5.6839132283247301E-2</v>
      </c>
      <c r="L111">
        <v>1.04</v>
      </c>
      <c r="M111">
        <v>3.8476180921820397E-2</v>
      </c>
      <c r="N111">
        <v>3.8475595000431413E-2</v>
      </c>
      <c r="O111">
        <v>3.847503253338596E-2</v>
      </c>
      <c r="P111">
        <v>3.8474492581138491E-2</v>
      </c>
      <c r="Q111">
        <v>3.8473974241832909E-2</v>
      </c>
      <c r="R111">
        <v>3.8473476649786557E-2</v>
      </c>
      <c r="S111">
        <v>3.8472998974035486E-2</v>
      </c>
      <c r="T111">
        <v>3.8472540416938532E-2</v>
      </c>
      <c r="U111">
        <v>3.8472100212837791E-2</v>
      </c>
      <c r="V111">
        <v>3.8471677626773206E-2</v>
      </c>
      <c r="W111">
        <v>3.8471271953249044E-2</v>
      </c>
      <c r="X111">
        <v>3.8470882515050125E-2</v>
      </c>
      <c r="Y111">
        <v>3.8470508662105871E-2</v>
      </c>
      <c r="Z111">
        <v>3.8470149770400093E-2</v>
      </c>
      <c r="AA111">
        <v>3.8469805240924804E-2</v>
      </c>
      <c r="AB111">
        <v>3.8469474498676125E-2</v>
      </c>
      <c r="AC111">
        <v>3.8469156991690706E-2</v>
      </c>
      <c r="AD111">
        <v>3.8468852190120931E-2</v>
      </c>
      <c r="AE111">
        <v>3.8468559585347381E-2</v>
      </c>
      <c r="AF111">
        <v>3.8468278689127E-2</v>
      </c>
      <c r="AG111">
        <v>3.8468009032775564E-2</v>
      </c>
    </row>
    <row r="112" spans="1:33" x14ac:dyDescent="0.3">
      <c r="D112">
        <f t="shared" si="191"/>
        <v>105</v>
      </c>
      <c r="E112">
        <f t="shared" si="192"/>
        <v>0.69499466646780972</v>
      </c>
      <c r="H112">
        <f t="shared" ref="H112" si="310">H109+1</f>
        <v>52</v>
      </c>
      <c r="I112">
        <f t="shared" ref="I112" si="311">J110</f>
        <v>5.6839132283247301E-2</v>
      </c>
      <c r="J112">
        <f t="shared" ref="J112" si="312">$E$3*I112*(1-I112)</f>
        <v>0.21443378129813925</v>
      </c>
      <c r="L112">
        <v>1.05</v>
      </c>
      <c r="M112">
        <v>4.7621392032017443E-2</v>
      </c>
      <c r="N112">
        <v>4.7621274805597864E-2</v>
      </c>
      <c r="O112">
        <v>4.762116344106198E-2</v>
      </c>
      <c r="P112">
        <v>4.7621057645260728E-2</v>
      </c>
      <c r="Q112">
        <v>4.7620957139707862E-2</v>
      </c>
      <c r="R112">
        <v>4.7620861659846275E-2</v>
      </c>
      <c r="S112">
        <v>4.7620770954351063E-2</v>
      </c>
      <c r="T112">
        <v>4.7620684784467515E-2</v>
      </c>
      <c r="U112">
        <v>4.7620602923382195E-2</v>
      </c>
      <c r="V112">
        <v>4.7620525155625544E-2</v>
      </c>
      <c r="W112">
        <v>4.7620451276504376E-2</v>
      </c>
      <c r="X112">
        <v>4.7620381091562775E-2</v>
      </c>
      <c r="Y112">
        <v>4.762031441606996E-2</v>
      </c>
      <c r="Z112">
        <v>4.7620251074533833E-2</v>
      </c>
      <c r="AA112">
        <v>4.76201909002388E-2</v>
      </c>
      <c r="AB112">
        <v>4.7620133734806794E-2</v>
      </c>
      <c r="AC112">
        <v>4.762007942778021E-2</v>
      </c>
      <c r="AD112">
        <v>4.7620027836225716E-2</v>
      </c>
      <c r="AE112">
        <v>4.7619978824357943E-2</v>
      </c>
      <c r="AF112">
        <v>4.7619932263181924E-2</v>
      </c>
      <c r="AG112">
        <v>4.7619888030153483E-2</v>
      </c>
    </row>
    <row r="113" spans="4:33" x14ac:dyDescent="0.3">
      <c r="D113">
        <f t="shared" si="191"/>
        <v>106</v>
      </c>
      <c r="E113">
        <f t="shared" si="192"/>
        <v>0.84790832019643059</v>
      </c>
      <c r="H113">
        <f t="shared" ref="H113" si="313">H111+1</f>
        <v>53</v>
      </c>
      <c r="I113">
        <f t="shared" ref="I113" si="314">J112</f>
        <v>0.21443378129813925</v>
      </c>
      <c r="J113">
        <f t="shared" ref="J113" si="315">I113</f>
        <v>0.21443378129813925</v>
      </c>
      <c r="L113">
        <v>1.06</v>
      </c>
      <c r="M113">
        <v>5.6604118212244169E-2</v>
      </c>
      <c r="N113">
        <v>5.6604097534477961E-2</v>
      </c>
      <c r="O113">
        <v>5.6604078097392388E-2</v>
      </c>
      <c r="P113">
        <v>5.6604059826544893E-2</v>
      </c>
      <c r="Q113">
        <v>5.6604042651959688E-2</v>
      </c>
      <c r="R113">
        <v>5.6604026507859707E-2</v>
      </c>
      <c r="S113">
        <v>5.6604011332414661E-2</v>
      </c>
      <c r="T113">
        <v>5.6603997067504207E-2</v>
      </c>
      <c r="U113">
        <v>5.6603983658495352E-2</v>
      </c>
      <c r="V113">
        <v>5.6603971054033191E-2</v>
      </c>
      <c r="W113">
        <v>5.6603959205844212E-2</v>
      </c>
      <c r="X113">
        <v>5.6603948068551374E-2</v>
      </c>
      <c r="Y113">
        <v>5.6603937599500359E-2</v>
      </c>
      <c r="Z113">
        <v>5.660392775859617E-2</v>
      </c>
      <c r="AA113">
        <v>5.6603918508149546E-2</v>
      </c>
      <c r="AB113">
        <v>5.660390981273266E-2</v>
      </c>
      <c r="AC113">
        <v>5.6603901639043365E-2</v>
      </c>
      <c r="AD113">
        <v>5.6603893955777723E-2</v>
      </c>
      <c r="AE113">
        <v>5.6603886733510043E-2</v>
      </c>
      <c r="AF113">
        <v>5.6603879944580215E-2</v>
      </c>
      <c r="AG113">
        <v>5.6603873562987753E-2</v>
      </c>
    </row>
    <row r="114" spans="4:33" x14ac:dyDescent="0.3">
      <c r="D114">
        <f t="shared" si="191"/>
        <v>107</v>
      </c>
      <c r="E114">
        <f t="shared" si="192"/>
        <v>0.51583920295239172</v>
      </c>
      <c r="H114">
        <f t="shared" ref="H114" si="316">H111+1</f>
        <v>53</v>
      </c>
      <c r="I114">
        <f t="shared" ref="I114" si="317">J112</f>
        <v>0.21443378129813925</v>
      </c>
      <c r="J114">
        <f t="shared" ref="J114" si="318">$E$3*I114*(1-I114)</f>
        <v>0.67380773894528412</v>
      </c>
      <c r="L114">
        <v>1.07</v>
      </c>
      <c r="M114">
        <v>6.5420607247837562E-2</v>
      </c>
      <c r="N114">
        <v>6.5420603992823068E-2</v>
      </c>
      <c r="O114">
        <v>6.5420600965659909E-2</v>
      </c>
      <c r="P114">
        <v>6.5420598150398426E-2</v>
      </c>
      <c r="Q114">
        <v>6.5420595532205486E-2</v>
      </c>
      <c r="R114">
        <v>6.5420593097286261E-2</v>
      </c>
      <c r="S114">
        <v>6.5420590832811557E-2</v>
      </c>
      <c r="T114">
        <v>6.5420588726850235E-2</v>
      </c>
      <c r="U114">
        <v>6.5420586768306338E-2</v>
      </c>
      <c r="V114">
        <v>6.5420584946860622E-2</v>
      </c>
      <c r="W114">
        <v>6.5420583252916206E-2</v>
      </c>
      <c r="X114">
        <v>6.5420581677547981E-2</v>
      </c>
      <c r="Y114">
        <v>6.5420580212455601E-2</v>
      </c>
      <c r="Z114">
        <v>6.5420578849919753E-2</v>
      </c>
      <c r="AA114">
        <v>6.5420577582761458E-2</v>
      </c>
      <c r="AB114">
        <v>6.5420576404304306E-2</v>
      </c>
      <c r="AC114">
        <v>6.5420575308339196E-2</v>
      </c>
      <c r="AD114">
        <v>6.5420574289091676E-2</v>
      </c>
      <c r="AE114">
        <v>6.5420573341191515E-2</v>
      </c>
      <c r="AF114">
        <v>6.5420572459644388E-2</v>
      </c>
      <c r="AG114">
        <v>6.5420571639805594E-2</v>
      </c>
    </row>
    <row r="115" spans="4:33" x14ac:dyDescent="0.3">
      <c r="D115">
        <f t="shared" si="191"/>
        <v>108</v>
      </c>
      <c r="E115">
        <f t="shared" si="192"/>
        <v>0.99899647859933183</v>
      </c>
      <c r="H115">
        <f t="shared" ref="H115" si="319">H113+1</f>
        <v>54</v>
      </c>
      <c r="I115">
        <f t="shared" ref="I115" si="320">J114</f>
        <v>0.67380773894528412</v>
      </c>
      <c r="J115">
        <f t="shared" ref="J115" si="321">I115</f>
        <v>0.67380773894528412</v>
      </c>
      <c r="L115">
        <v>1.08</v>
      </c>
      <c r="M115">
        <v>7.4074079746755242E-2</v>
      </c>
      <c r="N115">
        <v>7.4074079292940714E-2</v>
      </c>
      <c r="O115">
        <v>7.4074078875431354E-2</v>
      </c>
      <c r="P115">
        <v>7.4074078491322748E-2</v>
      </c>
      <c r="Q115">
        <v>7.4074078137942839E-2</v>
      </c>
      <c r="R115">
        <v>7.4074077812833317E-2</v>
      </c>
      <c r="S115">
        <v>7.4074077513732572E-2</v>
      </c>
      <c r="T115">
        <v>7.4074077238559882E-2</v>
      </c>
      <c r="U115">
        <v>7.4074076985401013E-2</v>
      </c>
      <c r="V115">
        <v>7.4074076752494847E-2</v>
      </c>
      <c r="W115">
        <v>7.4074076538221179E-2</v>
      </c>
      <c r="X115">
        <v>7.4074076341089409E-2</v>
      </c>
      <c r="Y115">
        <v>7.4074076159728192E-2</v>
      </c>
      <c r="Z115">
        <v>7.4074075992875854E-2</v>
      </c>
      <c r="AA115">
        <v>7.4074075839371714E-2</v>
      </c>
      <c r="AB115">
        <v>7.4074075698147904E-2</v>
      </c>
      <c r="AC115">
        <v>7.4074075568222E-2</v>
      </c>
      <c r="AD115">
        <v>7.4074075448690171E-2</v>
      </c>
      <c r="AE115">
        <v>7.4074075338720888E-2</v>
      </c>
      <c r="AF115">
        <v>7.4074075237549136E-2</v>
      </c>
      <c r="AG115">
        <v>7.4074075144471133E-2</v>
      </c>
    </row>
    <row r="116" spans="4:33" x14ac:dyDescent="0.3">
      <c r="D116">
        <f t="shared" si="191"/>
        <v>109</v>
      </c>
      <c r="E116">
        <f t="shared" si="192"/>
        <v>4.0100573818662938E-3</v>
      </c>
      <c r="H116">
        <f t="shared" ref="H116" si="322">H113+1</f>
        <v>54</v>
      </c>
      <c r="I116">
        <f t="shared" ref="I116" si="323">J114</f>
        <v>0.67380773894528412</v>
      </c>
      <c r="J116">
        <f t="shared" ref="J116" si="324">$E$3*I116*(1-I116)</f>
        <v>0.8791634795309119</v>
      </c>
      <c r="L116">
        <v>1.0900000000000001</v>
      </c>
      <c r="M116">
        <v>8.2568807938305552E-2</v>
      </c>
      <c r="N116">
        <v>8.2568807884408513E-2</v>
      </c>
      <c r="O116">
        <v>8.2568807835362218E-2</v>
      </c>
      <c r="P116">
        <v>8.2568807790730087E-2</v>
      </c>
      <c r="Q116">
        <v>8.2568807750114839E-2</v>
      </c>
      <c r="R116">
        <v>8.256880771315496E-2</v>
      </c>
      <c r="S116">
        <v>8.2568807679521475E-2</v>
      </c>
      <c r="T116">
        <v>8.2568807648915013E-2</v>
      </c>
      <c r="U116">
        <v>8.2568807621063112E-2</v>
      </c>
      <c r="V116">
        <v>8.25688075957179E-2</v>
      </c>
      <c r="W116">
        <v>8.2568807572653752E-2</v>
      </c>
      <c r="X116">
        <v>8.2568807551665374E-2</v>
      </c>
      <c r="Y116">
        <v>8.2568807532565958E-2</v>
      </c>
      <c r="Z116">
        <v>8.2568807515185486E-2</v>
      </c>
      <c r="AA116">
        <v>8.2568807499369262E-2</v>
      </c>
      <c r="AB116">
        <v>8.2568807484976497E-2</v>
      </c>
      <c r="AC116">
        <v>8.2568807471879072E-2</v>
      </c>
      <c r="AD116">
        <v>8.2568807459960425E-2</v>
      </c>
      <c r="AE116">
        <v>8.2568807449114448E-2</v>
      </c>
      <c r="AF116">
        <v>8.2568807439244607E-2</v>
      </c>
      <c r="AG116">
        <v>8.2568807430263055E-2</v>
      </c>
    </row>
    <row r="117" spans="4:33" x14ac:dyDescent="0.3">
      <c r="D117">
        <f t="shared" si="191"/>
        <v>110</v>
      </c>
      <c r="E117">
        <f t="shared" si="192"/>
        <v>1.5975907286641732E-2</v>
      </c>
      <c r="H117">
        <f t="shared" ref="H117" si="325">H115+1</f>
        <v>55</v>
      </c>
      <c r="I117">
        <f t="shared" ref="I117" si="326">J116</f>
        <v>0.8791634795309119</v>
      </c>
      <c r="J117">
        <f t="shared" ref="J117" si="327">I117</f>
        <v>0.8791634795309119</v>
      </c>
      <c r="L117">
        <v>1.1000000000000001</v>
      </c>
      <c r="M117">
        <v>9.0909090956542871E-2</v>
      </c>
      <c r="N117">
        <v>9.090909095179768E-2</v>
      </c>
      <c r="O117">
        <v>9.0909090947527013E-2</v>
      </c>
      <c r="P117">
        <v>9.0909090943683421E-2</v>
      </c>
      <c r="Q117">
        <v>9.0909090940224188E-2</v>
      </c>
      <c r="R117">
        <v>9.0909090937110873E-2</v>
      </c>
      <c r="S117">
        <v>9.0909090934308878E-2</v>
      </c>
      <c r="T117">
        <v>9.090909093178709E-2</v>
      </c>
      <c r="U117">
        <v>9.0909090929517475E-2</v>
      </c>
      <c r="V117">
        <v>9.0909090927474817E-2</v>
      </c>
      <c r="W117">
        <v>9.0909090925636427E-2</v>
      </c>
      <c r="X117">
        <v>9.0909090923981875E-2</v>
      </c>
      <c r="Y117">
        <v>9.0909090922492775E-2</v>
      </c>
      <c r="Z117">
        <v>9.0909090921152597E-2</v>
      </c>
      <c r="AA117">
        <v>9.0909090919946436E-2</v>
      </c>
      <c r="AB117">
        <v>9.0909090918860888E-2</v>
      </c>
      <c r="AC117">
        <v>9.0909090917883892E-2</v>
      </c>
      <c r="AD117">
        <v>9.0909090917004595E-2</v>
      </c>
      <c r="AE117">
        <v>9.0909090916213228E-2</v>
      </c>
      <c r="AF117">
        <v>9.0909090915501006E-2</v>
      </c>
      <c r="AG117">
        <v>9.0909090914860005E-2</v>
      </c>
    </row>
    <row r="118" spans="4:33" x14ac:dyDescent="0.3">
      <c r="D118">
        <f t="shared" si="191"/>
        <v>111</v>
      </c>
      <c r="E118">
        <f t="shared" si="192"/>
        <v>6.2882710692041432E-2</v>
      </c>
      <c r="H118">
        <f t="shared" ref="H118" si="328">H115+1</f>
        <v>55</v>
      </c>
      <c r="I118">
        <f t="shared" ref="I118" si="329">J116</f>
        <v>0.8791634795309119</v>
      </c>
      <c r="J118">
        <f t="shared" ref="J118" si="330">$E$3*I118*(1-I118)</f>
        <v>0.42494022316004704</v>
      </c>
      <c r="L118">
        <v>1.1100000000000001</v>
      </c>
      <c r="M118">
        <v>9.909909909979174E-2</v>
      </c>
      <c r="N118">
        <v>9.9099099099715565E-2</v>
      </c>
      <c r="O118">
        <v>9.9099099099647758E-2</v>
      </c>
      <c r="P118">
        <v>9.9099099099587418E-2</v>
      </c>
      <c r="Q118">
        <v>9.9099099099533697E-2</v>
      </c>
      <c r="R118">
        <v>9.9099099099485888E-2</v>
      </c>
      <c r="S118">
        <v>9.9099099099443352E-2</v>
      </c>
      <c r="T118">
        <v>9.9099099099405494E-2</v>
      </c>
      <c r="U118">
        <v>9.9099099099371799E-2</v>
      </c>
      <c r="V118">
        <v>9.9099099099341809E-2</v>
      </c>
      <c r="W118">
        <v>9.9099099099315122E-2</v>
      </c>
      <c r="X118">
        <v>9.9099099099291363E-2</v>
      </c>
      <c r="Y118">
        <v>9.9099099099270227E-2</v>
      </c>
      <c r="Z118">
        <v>9.9099099099251423E-2</v>
      </c>
      <c r="AA118">
        <v>9.9099099099234672E-2</v>
      </c>
      <c r="AB118">
        <v>9.9099099099219767E-2</v>
      </c>
      <c r="AC118">
        <v>9.90990990992065E-2</v>
      </c>
      <c r="AD118">
        <v>9.9099099099194704E-2</v>
      </c>
      <c r="AE118">
        <v>9.9099099099184199E-2</v>
      </c>
      <c r="AF118">
        <v>9.9099099099174845E-2</v>
      </c>
      <c r="AG118">
        <v>9.9099099099166518E-2</v>
      </c>
    </row>
    <row r="119" spans="4:33" x14ac:dyDescent="0.3">
      <c r="D119">
        <f t="shared" si="191"/>
        <v>112</v>
      </c>
      <c r="E119">
        <f t="shared" si="192"/>
        <v>0.2357139015522498</v>
      </c>
      <c r="H119">
        <f t="shared" ref="H119" si="331">H117+1</f>
        <v>56</v>
      </c>
      <c r="I119">
        <f t="shared" ref="I119" si="332">J118</f>
        <v>0.42494022316004704</v>
      </c>
      <c r="J119">
        <f t="shared" ref="J119" si="333">I119</f>
        <v>0.42494022316004704</v>
      </c>
      <c r="L119">
        <v>1.1200000000000001</v>
      </c>
      <c r="M119">
        <v>0.10714285714207236</v>
      </c>
      <c r="N119">
        <v>0.10714285714216655</v>
      </c>
      <c r="O119">
        <v>0.10714285714224943</v>
      </c>
      <c r="P119">
        <v>0.10714285714232236</v>
      </c>
      <c r="Q119">
        <v>0.10714285714238654</v>
      </c>
      <c r="R119">
        <v>0.10714285714244301</v>
      </c>
      <c r="S119">
        <v>0.10714285714249272</v>
      </c>
      <c r="T119">
        <v>0.10714285714253646</v>
      </c>
      <c r="U119">
        <v>0.10714285714257496</v>
      </c>
      <c r="V119">
        <v>0.10714285714260884</v>
      </c>
      <c r="W119">
        <v>0.10714285714263865</v>
      </c>
      <c r="X119">
        <v>0.10714285714266487</v>
      </c>
      <c r="Y119">
        <v>0.10714285714268795</v>
      </c>
      <c r="Z119">
        <v>0.10714285714270826</v>
      </c>
      <c r="AA119">
        <v>0.10714285714272613</v>
      </c>
      <c r="AB119">
        <v>0.10714285714274187</v>
      </c>
      <c r="AC119">
        <v>0.10714285714275572</v>
      </c>
      <c r="AD119">
        <v>0.1071428571427679</v>
      </c>
      <c r="AE119">
        <v>0.10714285714277862</v>
      </c>
      <c r="AF119">
        <v>0.10714285714278805</v>
      </c>
      <c r="AG119">
        <v>0.10714285714279635</v>
      </c>
    </row>
    <row r="120" spans="4:33" x14ac:dyDescent="0.3">
      <c r="D120">
        <f t="shared" si="191"/>
        <v>113</v>
      </c>
      <c r="E120">
        <f t="shared" si="192"/>
        <v>0.72061143266906436</v>
      </c>
      <c r="H120">
        <f t="shared" ref="H120" si="334">H117+1</f>
        <v>56</v>
      </c>
      <c r="I120">
        <f t="shared" ref="I120" si="335">J118</f>
        <v>0.42494022316004704</v>
      </c>
      <c r="J120">
        <f t="shared" ref="J120" si="336">$E$3*I120*(1-I120)</f>
        <v>0.97746411960294599</v>
      </c>
      <c r="L120">
        <v>1.1299999999999999</v>
      </c>
      <c r="M120">
        <v>0.11504424778738102</v>
      </c>
      <c r="N120">
        <v>0.11504424778741086</v>
      </c>
      <c r="O120">
        <v>0.11504424778743683</v>
      </c>
      <c r="P120">
        <v>0.11504424778745942</v>
      </c>
      <c r="Q120">
        <v>0.11504424778747908</v>
      </c>
      <c r="R120">
        <v>0.11504424778749617</v>
      </c>
      <c r="S120">
        <v>0.11504424778751103</v>
      </c>
      <c r="T120">
        <v>0.11504424778752398</v>
      </c>
      <c r="U120">
        <v>0.11504424778753523</v>
      </c>
      <c r="V120">
        <v>0.11504424778754502</v>
      </c>
      <c r="W120">
        <v>0.11504424778755354</v>
      </c>
      <c r="X120">
        <v>0.11504424778756094</v>
      </c>
      <c r="Y120">
        <v>0.11504424778756739</v>
      </c>
      <c r="Z120">
        <v>0.115044247787573</v>
      </c>
      <c r="AA120">
        <v>0.11504424778757788</v>
      </c>
      <c r="AB120">
        <v>0.11504424778758211</v>
      </c>
      <c r="AC120">
        <v>0.1150442477875858</v>
      </c>
      <c r="AD120">
        <v>0.11504424778758901</v>
      </c>
      <c r="AE120">
        <v>0.11504424778759181</v>
      </c>
      <c r="AF120">
        <v>0.11504424778759426</v>
      </c>
      <c r="AG120">
        <v>0.11504424778759637</v>
      </c>
    </row>
    <row r="121" spans="4:33" x14ac:dyDescent="0.3">
      <c r="D121">
        <f t="shared" si="191"/>
        <v>114</v>
      </c>
      <c r="E121">
        <f t="shared" si="192"/>
        <v>0.80532238310281157</v>
      </c>
      <c r="H121">
        <f t="shared" ref="H121" si="337">H119+1</f>
        <v>57</v>
      </c>
      <c r="I121">
        <f t="shared" ref="I121" si="338">J120</f>
        <v>0.97746411960294599</v>
      </c>
      <c r="J121">
        <f t="shared" ref="J121" si="339">I121</f>
        <v>0.97746411960294599</v>
      </c>
      <c r="L121">
        <v>1.1399999999999999</v>
      </c>
      <c r="M121">
        <v>0.12280701754381265</v>
      </c>
      <c r="N121">
        <v>0.12280701754381923</v>
      </c>
      <c r="O121">
        <v>0.12280701754382489</v>
      </c>
      <c r="P121">
        <v>0.12280701754382975</v>
      </c>
      <c r="Q121">
        <v>0.12280701754383393</v>
      </c>
      <c r="R121">
        <v>0.12280701754383752</v>
      </c>
      <c r="S121">
        <v>0.1228070175438406</v>
      </c>
      <c r="T121">
        <v>0.12280701754384327</v>
      </c>
      <c r="U121">
        <v>0.12280701754384554</v>
      </c>
      <c r="V121">
        <v>0.12280701754384751</v>
      </c>
      <c r="W121">
        <v>0.12280701754384922</v>
      </c>
      <c r="X121">
        <v>0.12280701754385066</v>
      </c>
      <c r="Y121">
        <v>0.1228070175438519</v>
      </c>
      <c r="Z121">
        <v>0.12280701754385298</v>
      </c>
      <c r="AA121">
        <v>0.12280701754385391</v>
      </c>
      <c r="AB121">
        <v>0.12280701754385469</v>
      </c>
      <c r="AC121">
        <v>0.12280701754385537</v>
      </c>
      <c r="AD121">
        <v>0.12280701754385595</v>
      </c>
      <c r="AE121">
        <v>0.12280701754385646</v>
      </c>
      <c r="AF121">
        <v>0.12280701754385689</v>
      </c>
      <c r="AG121">
        <v>0.12280701754385727</v>
      </c>
    </row>
    <row r="122" spans="4:33" x14ac:dyDescent="0.3">
      <c r="D122">
        <f t="shared" si="191"/>
        <v>115</v>
      </c>
      <c r="E122">
        <f t="shared" si="192"/>
        <v>0.62711296950567985</v>
      </c>
      <c r="H122">
        <f t="shared" ref="H122" si="340">H119+1</f>
        <v>57</v>
      </c>
      <c r="I122">
        <f t="shared" ref="I122" si="341">J120</f>
        <v>0.97746411960294599</v>
      </c>
      <c r="J122">
        <f t="shared" ref="J122" si="342">$E$3*I122*(1-I122)</f>
        <v>8.8112057967134741E-2</v>
      </c>
      <c r="L122">
        <v>1.1499999999999999</v>
      </c>
      <c r="M122">
        <v>0.13043478260868735</v>
      </c>
      <c r="N122">
        <v>0.1304347826086886</v>
      </c>
      <c r="O122">
        <v>0.13043478260868965</v>
      </c>
      <c r="P122">
        <v>0.13043478260869054</v>
      </c>
      <c r="Q122">
        <v>0.13043478260869129</v>
      </c>
      <c r="R122">
        <v>0.13043478260869193</v>
      </c>
      <c r="S122">
        <v>0.13043478260869248</v>
      </c>
      <c r="T122">
        <v>0.13043478260869296</v>
      </c>
      <c r="U122">
        <v>0.13043478260869334</v>
      </c>
      <c r="V122">
        <v>0.13043478260869368</v>
      </c>
      <c r="W122">
        <v>0.13043478260869396</v>
      </c>
      <c r="X122">
        <v>0.13043478260869418</v>
      </c>
      <c r="Y122">
        <v>0.1304347826086944</v>
      </c>
      <c r="Z122">
        <v>0.13043478260869457</v>
      </c>
      <c r="AA122">
        <v>0.13043478260869473</v>
      </c>
      <c r="AB122">
        <v>0.13043478260869487</v>
      </c>
      <c r="AC122">
        <v>0.13043478260869495</v>
      </c>
      <c r="AD122">
        <v>0.13043478260869507</v>
      </c>
      <c r="AE122">
        <v>0.13043478260869512</v>
      </c>
      <c r="AF122">
        <v>0.1304347826086952</v>
      </c>
      <c r="AG122">
        <v>0.13043478260869526</v>
      </c>
    </row>
    <row r="123" spans="4:33" x14ac:dyDescent="0.3">
      <c r="D123">
        <f t="shared" si="191"/>
        <v>116</v>
      </c>
      <c r="E123">
        <f t="shared" si="192"/>
        <v>0.93536917193379243</v>
      </c>
      <c r="H123">
        <f t="shared" ref="H123" si="343">H121+1</f>
        <v>58</v>
      </c>
      <c r="I123">
        <f t="shared" ref="I123" si="344">J122</f>
        <v>8.8112057967134741E-2</v>
      </c>
      <c r="J123">
        <f t="shared" ref="J123" si="345">I123</f>
        <v>8.8112057967134741E-2</v>
      </c>
      <c r="L123">
        <v>1.1599999999999999</v>
      </c>
      <c r="M123">
        <v>0.13793103448275726</v>
      </c>
      <c r="N123">
        <v>0.13793103448275748</v>
      </c>
      <c r="O123">
        <v>0.13793103448275768</v>
      </c>
      <c r="P123">
        <v>0.13793103448275781</v>
      </c>
      <c r="Q123">
        <v>0.13793103448275795</v>
      </c>
      <c r="R123">
        <v>0.13793103448275806</v>
      </c>
      <c r="S123">
        <v>0.13793103448275815</v>
      </c>
      <c r="T123">
        <v>0.13793103448275823</v>
      </c>
      <c r="U123">
        <v>0.13793103448275829</v>
      </c>
      <c r="V123">
        <v>0.13793103448275831</v>
      </c>
      <c r="W123">
        <v>0.13793103448275837</v>
      </c>
      <c r="X123">
        <v>0.1379310344827584</v>
      </c>
      <c r="Y123">
        <v>0.13793103448275842</v>
      </c>
      <c r="Z123">
        <v>0.13793103448275842</v>
      </c>
      <c r="AA123">
        <v>0.13793103448275842</v>
      </c>
      <c r="AB123">
        <v>0.13793103448275842</v>
      </c>
      <c r="AC123">
        <v>0.13793103448275842</v>
      </c>
      <c r="AD123">
        <v>0.13793103448275842</v>
      </c>
      <c r="AE123">
        <v>0.13793103448275842</v>
      </c>
      <c r="AF123">
        <v>0.13793103448275842</v>
      </c>
      <c r="AG123">
        <v>0.13793103448275842</v>
      </c>
    </row>
    <row r="124" spans="4:33" x14ac:dyDescent="0.3">
      <c r="D124">
        <f t="shared" si="191"/>
        <v>117</v>
      </c>
      <c r="E124">
        <f t="shared" si="192"/>
        <v>0.24181473651873553</v>
      </c>
      <c r="H124">
        <f t="shared" ref="H124" si="346">H121+1</f>
        <v>58</v>
      </c>
      <c r="I124">
        <f t="shared" ref="I124" si="347">J122</f>
        <v>8.8112057967134741E-2</v>
      </c>
      <c r="J124">
        <f t="shared" ref="J124" si="348">$E$3*I124*(1-I124)</f>
        <v>0.32139329283172413</v>
      </c>
      <c r="L124">
        <v>1.17</v>
      </c>
      <c r="M124">
        <v>0.14529914529914509</v>
      </c>
      <c r="N124">
        <v>0.14529914529914512</v>
      </c>
      <c r="O124">
        <v>0.14529914529914512</v>
      </c>
      <c r="P124">
        <v>0.14529914529914512</v>
      </c>
      <c r="Q124">
        <v>0.14529914529914512</v>
      </c>
      <c r="R124">
        <v>0.14529914529914512</v>
      </c>
      <c r="S124">
        <v>0.14529914529914512</v>
      </c>
      <c r="T124">
        <v>0.14529914529914512</v>
      </c>
      <c r="U124">
        <v>0.14529914529914512</v>
      </c>
      <c r="V124">
        <v>0.14529914529914512</v>
      </c>
      <c r="W124">
        <v>0.14529914529914512</v>
      </c>
      <c r="X124">
        <v>0.14529914529914512</v>
      </c>
      <c r="Y124">
        <v>0.14529914529914512</v>
      </c>
      <c r="Z124">
        <v>0.14529914529914512</v>
      </c>
      <c r="AA124">
        <v>0.14529914529914512</v>
      </c>
      <c r="AB124">
        <v>0.14529914529914512</v>
      </c>
      <c r="AC124">
        <v>0.14529914529914512</v>
      </c>
      <c r="AD124">
        <v>0.14529914529914512</v>
      </c>
      <c r="AE124">
        <v>0.14529914529914512</v>
      </c>
      <c r="AF124">
        <v>0.14529914529914512</v>
      </c>
      <c r="AG124">
        <v>0.14529914529914512</v>
      </c>
    </row>
    <row r="125" spans="4:33" x14ac:dyDescent="0.3">
      <c r="D125">
        <f t="shared" si="191"/>
        <v>118</v>
      </c>
      <c r="E125">
        <f t="shared" si="192"/>
        <v>0.73336147888444014</v>
      </c>
      <c r="H125">
        <f t="shared" ref="H125" si="349">H123+1</f>
        <v>59</v>
      </c>
      <c r="I125">
        <f t="shared" ref="I125" si="350">J124</f>
        <v>0.32139329283172413</v>
      </c>
      <c r="J125">
        <f t="shared" ref="J125" si="351">I125</f>
        <v>0.32139329283172413</v>
      </c>
      <c r="L125">
        <v>1.18</v>
      </c>
      <c r="M125">
        <v>0.15254237288135586</v>
      </c>
      <c r="N125">
        <v>0.15254237288135586</v>
      </c>
      <c r="O125">
        <v>0.15254237288135586</v>
      </c>
      <c r="P125">
        <v>0.15254237288135586</v>
      </c>
      <c r="Q125">
        <v>0.15254237288135586</v>
      </c>
      <c r="R125">
        <v>0.15254237288135586</v>
      </c>
      <c r="S125">
        <v>0.15254237288135586</v>
      </c>
      <c r="T125">
        <v>0.15254237288135586</v>
      </c>
      <c r="U125">
        <v>0.15254237288135586</v>
      </c>
      <c r="V125">
        <v>0.15254237288135586</v>
      </c>
      <c r="W125">
        <v>0.15254237288135586</v>
      </c>
      <c r="X125">
        <v>0.15254237288135586</v>
      </c>
      <c r="Y125">
        <v>0.15254237288135586</v>
      </c>
      <c r="Z125">
        <v>0.15254237288135586</v>
      </c>
      <c r="AA125">
        <v>0.15254237288135586</v>
      </c>
      <c r="AB125">
        <v>0.15254237288135586</v>
      </c>
      <c r="AC125">
        <v>0.15254237288135586</v>
      </c>
      <c r="AD125">
        <v>0.15254237288135586</v>
      </c>
      <c r="AE125">
        <v>0.15254237288135586</v>
      </c>
      <c r="AF125">
        <v>0.15254237288135586</v>
      </c>
      <c r="AG125">
        <v>0.15254237288135586</v>
      </c>
    </row>
    <row r="126" spans="4:33" x14ac:dyDescent="0.3">
      <c r="D126">
        <f t="shared" si="191"/>
        <v>119</v>
      </c>
      <c r="E126">
        <f t="shared" si="192"/>
        <v>0.78216968069146797</v>
      </c>
      <c r="H126">
        <f t="shared" ref="H126" si="352">H123+1</f>
        <v>59</v>
      </c>
      <c r="I126">
        <f t="shared" ref="I126" si="353">J124</f>
        <v>0.32139329283172413</v>
      </c>
      <c r="J126">
        <f t="shared" ref="J126" si="354">$E$3*I126*(1-I126)</f>
        <v>0.872398576618023</v>
      </c>
      <c r="L126">
        <v>1.19</v>
      </c>
      <c r="M126">
        <v>0.15966386554621834</v>
      </c>
      <c r="N126">
        <v>0.15966386554621834</v>
      </c>
      <c r="O126">
        <v>0.15966386554621834</v>
      </c>
      <c r="P126">
        <v>0.15966386554621834</v>
      </c>
      <c r="Q126">
        <v>0.15966386554621834</v>
      </c>
      <c r="R126">
        <v>0.15966386554621834</v>
      </c>
      <c r="S126">
        <v>0.15966386554621834</v>
      </c>
      <c r="T126">
        <v>0.15966386554621834</v>
      </c>
      <c r="U126">
        <v>0.15966386554621834</v>
      </c>
      <c r="V126">
        <v>0.15966386554621834</v>
      </c>
      <c r="W126">
        <v>0.15966386554621834</v>
      </c>
      <c r="X126">
        <v>0.15966386554621834</v>
      </c>
      <c r="Y126">
        <v>0.15966386554621834</v>
      </c>
      <c r="Z126">
        <v>0.15966386554621834</v>
      </c>
      <c r="AA126">
        <v>0.15966386554621834</v>
      </c>
      <c r="AB126">
        <v>0.15966386554621834</v>
      </c>
      <c r="AC126">
        <v>0.15966386554621834</v>
      </c>
      <c r="AD126">
        <v>0.15966386554621834</v>
      </c>
      <c r="AE126">
        <v>0.15966386554621834</v>
      </c>
      <c r="AF126">
        <v>0.15966386554621834</v>
      </c>
      <c r="AG126">
        <v>0.15966386554621834</v>
      </c>
    </row>
    <row r="127" spans="4:33" x14ac:dyDescent="0.3">
      <c r="D127">
        <f t="shared" si="191"/>
        <v>120</v>
      </c>
      <c r="E127">
        <f t="shared" si="192"/>
        <v>0.68152108519389998</v>
      </c>
      <c r="H127">
        <f t="shared" ref="H127" si="355">H125+1</f>
        <v>60</v>
      </c>
      <c r="I127">
        <f t="shared" ref="I127" si="356">J126</f>
        <v>0.872398576618023</v>
      </c>
      <c r="J127">
        <f t="shared" ref="J127" si="357">I127</f>
        <v>0.872398576618023</v>
      </c>
      <c r="L127">
        <v>1.2</v>
      </c>
      <c r="M127">
        <v>0.1666666666666666</v>
      </c>
      <c r="N127">
        <v>0.1666666666666666</v>
      </c>
      <c r="O127">
        <v>0.1666666666666666</v>
      </c>
      <c r="P127">
        <v>0.1666666666666666</v>
      </c>
      <c r="Q127">
        <v>0.1666666666666666</v>
      </c>
      <c r="R127">
        <v>0.1666666666666666</v>
      </c>
      <c r="S127">
        <v>0.1666666666666666</v>
      </c>
      <c r="T127">
        <v>0.1666666666666666</v>
      </c>
      <c r="U127">
        <v>0.1666666666666666</v>
      </c>
      <c r="V127">
        <v>0.1666666666666666</v>
      </c>
      <c r="W127">
        <v>0.1666666666666666</v>
      </c>
      <c r="X127">
        <v>0.1666666666666666</v>
      </c>
      <c r="Y127">
        <v>0.1666666666666666</v>
      </c>
      <c r="Z127">
        <v>0.1666666666666666</v>
      </c>
      <c r="AA127">
        <v>0.1666666666666666</v>
      </c>
      <c r="AB127">
        <v>0.1666666666666666</v>
      </c>
      <c r="AC127">
        <v>0.1666666666666666</v>
      </c>
      <c r="AD127">
        <v>0.1666666666666666</v>
      </c>
      <c r="AE127">
        <v>0.1666666666666666</v>
      </c>
      <c r="AF127">
        <v>0.1666666666666666</v>
      </c>
      <c r="AG127">
        <v>0.1666666666666666</v>
      </c>
    </row>
    <row r="128" spans="4:33" x14ac:dyDescent="0.3">
      <c r="D128">
        <f t="shared" si="191"/>
        <v>121</v>
      </c>
      <c r="E128">
        <f t="shared" si="192"/>
        <v>0.86820038252011567</v>
      </c>
      <c r="H128">
        <f t="shared" ref="H128" si="358">H125+1</f>
        <v>60</v>
      </c>
      <c r="I128">
        <f t="shared" ref="I128" si="359">J126</f>
        <v>0.872398576618023</v>
      </c>
      <c r="J128">
        <f t="shared" ref="J128" si="360">$E$3*I128*(1-I128)</f>
        <v>0.44527720053148179</v>
      </c>
      <c r="L128">
        <v>1.21</v>
      </c>
      <c r="M128">
        <v>0.17355371900826436</v>
      </c>
      <c r="N128">
        <v>0.17355371900826436</v>
      </c>
      <c r="O128">
        <v>0.17355371900826436</v>
      </c>
      <c r="P128">
        <v>0.17355371900826436</v>
      </c>
      <c r="Q128">
        <v>0.17355371900826436</v>
      </c>
      <c r="R128">
        <v>0.17355371900826436</v>
      </c>
      <c r="S128">
        <v>0.17355371900826436</v>
      </c>
      <c r="T128">
        <v>0.17355371900826436</v>
      </c>
      <c r="U128">
        <v>0.17355371900826436</v>
      </c>
      <c r="V128">
        <v>0.17355371900826436</v>
      </c>
      <c r="W128">
        <v>0.17355371900826436</v>
      </c>
      <c r="X128">
        <v>0.17355371900826436</v>
      </c>
      <c r="Y128">
        <v>0.17355371900826436</v>
      </c>
      <c r="Z128">
        <v>0.17355371900826436</v>
      </c>
      <c r="AA128">
        <v>0.17355371900826436</v>
      </c>
      <c r="AB128">
        <v>0.17355371900826436</v>
      </c>
      <c r="AC128">
        <v>0.17355371900826436</v>
      </c>
      <c r="AD128">
        <v>0.17355371900826436</v>
      </c>
      <c r="AE128">
        <v>0.17355371900826436</v>
      </c>
      <c r="AF128">
        <v>0.17355371900826436</v>
      </c>
      <c r="AG128">
        <v>0.17355371900826436</v>
      </c>
    </row>
    <row r="129" spans="4:33" x14ac:dyDescent="0.3">
      <c r="D129">
        <f t="shared" si="191"/>
        <v>122</v>
      </c>
      <c r="E129">
        <f t="shared" si="192"/>
        <v>0.45771391324816202</v>
      </c>
      <c r="H129">
        <f t="shared" ref="H129" si="361">H127+1</f>
        <v>61</v>
      </c>
      <c r="I129">
        <f t="shared" ref="I129" si="362">J128</f>
        <v>0.44527720053148179</v>
      </c>
      <c r="J129">
        <f t="shared" ref="J129" si="363">I129</f>
        <v>0.44527720053148179</v>
      </c>
      <c r="L129">
        <v>1.22</v>
      </c>
      <c r="M129">
        <v>0.18032786885245894</v>
      </c>
      <c r="N129">
        <v>0.18032786885245894</v>
      </c>
      <c r="O129">
        <v>0.18032786885245894</v>
      </c>
      <c r="P129">
        <v>0.18032786885245894</v>
      </c>
      <c r="Q129">
        <v>0.18032786885245894</v>
      </c>
      <c r="R129">
        <v>0.18032786885245894</v>
      </c>
      <c r="S129">
        <v>0.18032786885245894</v>
      </c>
      <c r="T129">
        <v>0.18032786885245894</v>
      </c>
      <c r="U129">
        <v>0.18032786885245894</v>
      </c>
      <c r="V129">
        <v>0.18032786885245894</v>
      </c>
      <c r="W129">
        <v>0.18032786885245894</v>
      </c>
      <c r="X129">
        <v>0.18032786885245894</v>
      </c>
      <c r="Y129">
        <v>0.18032786885245894</v>
      </c>
      <c r="Z129">
        <v>0.18032786885245894</v>
      </c>
      <c r="AA129">
        <v>0.18032786885245894</v>
      </c>
      <c r="AB129">
        <v>0.18032786885245894</v>
      </c>
      <c r="AC129">
        <v>0.18032786885245894</v>
      </c>
      <c r="AD129">
        <v>0.18032786885245894</v>
      </c>
      <c r="AE129">
        <v>0.18032786885245894</v>
      </c>
      <c r="AF129">
        <v>0.18032786885245894</v>
      </c>
      <c r="AG129">
        <v>0.18032786885245894</v>
      </c>
    </row>
    <row r="130" spans="4:33" x14ac:dyDescent="0.3">
      <c r="D130">
        <f t="shared" si="191"/>
        <v>123</v>
      </c>
      <c r="E130">
        <f t="shared" si="192"/>
        <v>0.99284754746886417</v>
      </c>
      <c r="H130">
        <f t="shared" ref="H130" si="364">H127+1</f>
        <v>61</v>
      </c>
      <c r="I130">
        <f t="shared" ref="I130" si="365">J128</f>
        <v>0.44527720053148179</v>
      </c>
      <c r="J130">
        <f t="shared" ref="J130" si="366">$E$3*I130*(1-I130)</f>
        <v>0.98802166087331333</v>
      </c>
      <c r="L130">
        <v>1.23</v>
      </c>
      <c r="M130">
        <v>0.18699186991869909</v>
      </c>
      <c r="N130">
        <v>0.18699186991869909</v>
      </c>
      <c r="O130">
        <v>0.18699186991869909</v>
      </c>
      <c r="P130">
        <v>0.18699186991869909</v>
      </c>
      <c r="Q130">
        <v>0.18699186991869909</v>
      </c>
      <c r="R130">
        <v>0.18699186991869909</v>
      </c>
      <c r="S130">
        <v>0.18699186991869909</v>
      </c>
      <c r="T130">
        <v>0.18699186991869909</v>
      </c>
      <c r="U130">
        <v>0.18699186991869909</v>
      </c>
      <c r="V130">
        <v>0.18699186991869909</v>
      </c>
      <c r="W130">
        <v>0.18699186991869909</v>
      </c>
      <c r="X130">
        <v>0.18699186991869909</v>
      </c>
      <c r="Y130">
        <v>0.18699186991869909</v>
      </c>
      <c r="Z130">
        <v>0.18699186991869909</v>
      </c>
      <c r="AA130">
        <v>0.18699186991869909</v>
      </c>
      <c r="AB130">
        <v>0.18699186991869909</v>
      </c>
      <c r="AC130">
        <v>0.18699186991869909</v>
      </c>
      <c r="AD130">
        <v>0.18699186991869909</v>
      </c>
      <c r="AE130">
        <v>0.18699186991869909</v>
      </c>
      <c r="AF130">
        <v>0.18699186991869909</v>
      </c>
      <c r="AG130">
        <v>0.18699186991869909</v>
      </c>
    </row>
    <row r="131" spans="4:33" x14ac:dyDescent="0.3">
      <c r="D131">
        <f t="shared" si="191"/>
        <v>124</v>
      </c>
      <c r="E131">
        <f t="shared" si="192"/>
        <v>2.8405179815702727E-2</v>
      </c>
      <c r="H131">
        <f t="shared" ref="H131" si="367">H129+1</f>
        <v>62</v>
      </c>
      <c r="I131">
        <f t="shared" ref="I131" si="368">J130</f>
        <v>0.98802166087331333</v>
      </c>
      <c r="J131">
        <f t="shared" ref="J131" si="369">I131</f>
        <v>0.98802166087331333</v>
      </c>
      <c r="L131">
        <v>1.24</v>
      </c>
      <c r="M131">
        <v>0.1935483870967741</v>
      </c>
      <c r="N131">
        <v>0.1935483870967741</v>
      </c>
      <c r="O131">
        <v>0.1935483870967741</v>
      </c>
      <c r="P131">
        <v>0.1935483870967741</v>
      </c>
      <c r="Q131">
        <v>0.1935483870967741</v>
      </c>
      <c r="R131">
        <v>0.1935483870967741</v>
      </c>
      <c r="S131">
        <v>0.1935483870967741</v>
      </c>
      <c r="T131">
        <v>0.1935483870967741</v>
      </c>
      <c r="U131">
        <v>0.1935483870967741</v>
      </c>
      <c r="V131">
        <v>0.1935483870967741</v>
      </c>
      <c r="W131">
        <v>0.1935483870967741</v>
      </c>
      <c r="X131">
        <v>0.1935483870967741</v>
      </c>
      <c r="Y131">
        <v>0.1935483870967741</v>
      </c>
      <c r="Z131">
        <v>0.1935483870967741</v>
      </c>
      <c r="AA131">
        <v>0.1935483870967741</v>
      </c>
      <c r="AB131">
        <v>0.1935483870967741</v>
      </c>
      <c r="AC131">
        <v>0.1935483870967741</v>
      </c>
      <c r="AD131">
        <v>0.1935483870967741</v>
      </c>
      <c r="AE131">
        <v>0.1935483870967741</v>
      </c>
      <c r="AF131">
        <v>0.1935483870967741</v>
      </c>
      <c r="AG131">
        <v>0.1935483870967741</v>
      </c>
    </row>
    <row r="132" spans="4:33" x14ac:dyDescent="0.3">
      <c r="D132">
        <f t="shared" si="191"/>
        <v>125</v>
      </c>
      <c r="E132">
        <f t="shared" si="192"/>
        <v>0.1103933023013613</v>
      </c>
      <c r="H132">
        <f t="shared" ref="H132" si="370">H129+1</f>
        <v>62</v>
      </c>
      <c r="I132">
        <f t="shared" ref="I132" si="371">J130</f>
        <v>0.98802166087331333</v>
      </c>
      <c r="J132">
        <f t="shared" ref="J132" si="372">$E$3*I132*(1-I132)</f>
        <v>4.7339434073811013E-2</v>
      </c>
      <c r="L132">
        <v>1.25</v>
      </c>
      <c r="M132">
        <v>0.19999999999999996</v>
      </c>
      <c r="N132">
        <v>0.19999999999999996</v>
      </c>
      <c r="O132">
        <v>0.19999999999999996</v>
      </c>
      <c r="P132">
        <v>0.19999999999999996</v>
      </c>
      <c r="Q132">
        <v>0.19999999999999996</v>
      </c>
      <c r="R132">
        <v>0.19999999999999996</v>
      </c>
      <c r="S132">
        <v>0.19999999999999996</v>
      </c>
      <c r="T132">
        <v>0.19999999999999996</v>
      </c>
      <c r="U132">
        <v>0.19999999999999996</v>
      </c>
      <c r="V132">
        <v>0.19999999999999996</v>
      </c>
      <c r="W132">
        <v>0.19999999999999996</v>
      </c>
      <c r="X132">
        <v>0.19999999999999996</v>
      </c>
      <c r="Y132">
        <v>0.19999999999999996</v>
      </c>
      <c r="Z132">
        <v>0.19999999999999996</v>
      </c>
      <c r="AA132">
        <v>0.19999999999999996</v>
      </c>
      <c r="AB132">
        <v>0.19999999999999996</v>
      </c>
      <c r="AC132">
        <v>0.19999999999999996</v>
      </c>
      <c r="AD132">
        <v>0.19999999999999996</v>
      </c>
      <c r="AE132">
        <v>0.19999999999999996</v>
      </c>
      <c r="AF132">
        <v>0.19999999999999996</v>
      </c>
      <c r="AG132">
        <v>0.19999999999999996</v>
      </c>
    </row>
    <row r="133" spans="4:33" x14ac:dyDescent="0.3">
      <c r="D133">
        <f t="shared" si="191"/>
        <v>126</v>
      </c>
      <c r="E133">
        <f t="shared" si="192"/>
        <v>0.39282648443344625</v>
      </c>
      <c r="H133">
        <f t="shared" ref="H133" si="373">H131+1</f>
        <v>63</v>
      </c>
      <c r="I133">
        <f t="shared" ref="I133" si="374">J132</f>
        <v>4.7339434073811013E-2</v>
      </c>
      <c r="J133">
        <f t="shared" ref="J133" si="375">I133</f>
        <v>4.7339434073811013E-2</v>
      </c>
      <c r="L133">
        <v>1.26</v>
      </c>
      <c r="M133">
        <v>0.20634920634920628</v>
      </c>
      <c r="N133">
        <v>0.20634920634920628</v>
      </c>
      <c r="O133">
        <v>0.20634920634920628</v>
      </c>
      <c r="P133">
        <v>0.20634920634920628</v>
      </c>
      <c r="Q133">
        <v>0.20634920634920628</v>
      </c>
      <c r="R133">
        <v>0.20634920634920628</v>
      </c>
      <c r="S133">
        <v>0.20634920634920628</v>
      </c>
      <c r="T133">
        <v>0.20634920634920628</v>
      </c>
      <c r="U133">
        <v>0.20634920634920628</v>
      </c>
      <c r="V133">
        <v>0.20634920634920628</v>
      </c>
      <c r="W133">
        <v>0.20634920634920628</v>
      </c>
      <c r="X133">
        <v>0.20634920634920628</v>
      </c>
      <c r="Y133">
        <v>0.20634920634920628</v>
      </c>
      <c r="Z133">
        <v>0.20634920634920628</v>
      </c>
      <c r="AA133">
        <v>0.20634920634920628</v>
      </c>
      <c r="AB133">
        <v>0.20634920634920628</v>
      </c>
      <c r="AC133">
        <v>0.20634920634920628</v>
      </c>
      <c r="AD133">
        <v>0.20634920634920628</v>
      </c>
      <c r="AE133">
        <v>0.20634920634920628</v>
      </c>
      <c r="AF133">
        <v>0.20634920634920628</v>
      </c>
      <c r="AG133">
        <v>0.20634920634920628</v>
      </c>
    </row>
    <row r="134" spans="4:33" x14ac:dyDescent="0.3">
      <c r="D134">
        <f t="shared" si="191"/>
        <v>127</v>
      </c>
      <c r="E134">
        <f t="shared" si="192"/>
        <v>0.95405535024442267</v>
      </c>
      <c r="H134">
        <f t="shared" ref="H134" si="376">H131+1</f>
        <v>63</v>
      </c>
      <c r="I134">
        <f t="shared" ref="I134" si="377">J132</f>
        <v>4.7339434073811013E-2</v>
      </c>
      <c r="J134">
        <f t="shared" ref="J134" si="378">$E$3*I134*(1-I134)</f>
        <v>0.18039364822152926</v>
      </c>
      <c r="L134">
        <v>1.27</v>
      </c>
      <c r="M134">
        <v>0.21259842519685032</v>
      </c>
      <c r="N134">
        <v>0.21259842519685032</v>
      </c>
      <c r="O134">
        <v>0.21259842519685032</v>
      </c>
      <c r="P134">
        <v>0.21259842519685032</v>
      </c>
      <c r="Q134">
        <v>0.21259842519685032</v>
      </c>
      <c r="R134">
        <v>0.21259842519685032</v>
      </c>
      <c r="S134">
        <v>0.21259842519685032</v>
      </c>
      <c r="T134">
        <v>0.21259842519685032</v>
      </c>
      <c r="U134">
        <v>0.21259842519685032</v>
      </c>
      <c r="V134">
        <v>0.21259842519685032</v>
      </c>
      <c r="W134">
        <v>0.21259842519685032</v>
      </c>
      <c r="X134">
        <v>0.21259842519685032</v>
      </c>
      <c r="Y134">
        <v>0.21259842519685032</v>
      </c>
      <c r="Z134">
        <v>0.21259842519685032</v>
      </c>
      <c r="AA134">
        <v>0.21259842519685032</v>
      </c>
      <c r="AB134">
        <v>0.21259842519685032</v>
      </c>
      <c r="AC134">
        <v>0.21259842519685032</v>
      </c>
      <c r="AD134">
        <v>0.21259842519685032</v>
      </c>
      <c r="AE134">
        <v>0.21259842519685032</v>
      </c>
      <c r="AF134">
        <v>0.21259842519685032</v>
      </c>
      <c r="AG134">
        <v>0.21259842519685032</v>
      </c>
    </row>
    <row r="135" spans="4:33" x14ac:dyDescent="0.3">
      <c r="D135">
        <f t="shared" si="191"/>
        <v>128</v>
      </c>
      <c r="E135">
        <f t="shared" si="192"/>
        <v>0.17533495565765861</v>
      </c>
      <c r="H135">
        <f t="shared" ref="H135" si="379">H133+1</f>
        <v>64</v>
      </c>
      <c r="I135">
        <f t="shared" ref="I135" si="380">J134</f>
        <v>0.18039364822152926</v>
      </c>
      <c r="J135">
        <f t="shared" ref="J135" si="381">I135</f>
        <v>0.18039364822152926</v>
      </c>
      <c r="L135">
        <v>1.28</v>
      </c>
      <c r="M135">
        <v>0.21874999999999997</v>
      </c>
      <c r="N135">
        <v>0.21874999999999997</v>
      </c>
      <c r="O135">
        <v>0.21874999999999997</v>
      </c>
      <c r="P135">
        <v>0.21874999999999997</v>
      </c>
      <c r="Q135">
        <v>0.21874999999999997</v>
      </c>
      <c r="R135">
        <v>0.21874999999999997</v>
      </c>
      <c r="S135">
        <v>0.21874999999999997</v>
      </c>
      <c r="T135">
        <v>0.21874999999999997</v>
      </c>
      <c r="U135">
        <v>0.21874999999999997</v>
      </c>
      <c r="V135">
        <v>0.21874999999999997</v>
      </c>
      <c r="W135">
        <v>0.21874999999999997</v>
      </c>
      <c r="X135">
        <v>0.21874999999999997</v>
      </c>
      <c r="Y135">
        <v>0.21874999999999997</v>
      </c>
      <c r="Z135">
        <v>0.21874999999999997</v>
      </c>
      <c r="AA135">
        <v>0.21874999999999997</v>
      </c>
      <c r="AB135">
        <v>0.21874999999999997</v>
      </c>
      <c r="AC135">
        <v>0.21874999999999997</v>
      </c>
      <c r="AD135">
        <v>0.21874999999999997</v>
      </c>
      <c r="AE135">
        <v>0.21874999999999997</v>
      </c>
      <c r="AF135">
        <v>0.21874999999999997</v>
      </c>
      <c r="AG135">
        <v>0.21874999999999997</v>
      </c>
    </row>
    <row r="136" spans="4:33" x14ac:dyDescent="0.3">
      <c r="D136">
        <f t="shared" si="191"/>
        <v>129</v>
      </c>
      <c r="E136">
        <f t="shared" si="192"/>
        <v>0.57837043592874193</v>
      </c>
      <c r="H136">
        <f t="shared" ref="H136" si="382">H133+1</f>
        <v>64</v>
      </c>
      <c r="I136">
        <f t="shared" ref="I136" si="383">J134</f>
        <v>0.18039364822152926</v>
      </c>
      <c r="J136">
        <f t="shared" ref="J136" si="384">$E$3*I136*(1-I136)</f>
        <v>0.59140711961142567</v>
      </c>
      <c r="L136">
        <v>1.29</v>
      </c>
      <c r="M136">
        <v>0.2248062015503875</v>
      </c>
      <c r="N136">
        <v>0.2248062015503875</v>
      </c>
      <c r="O136">
        <v>0.2248062015503875</v>
      </c>
      <c r="P136">
        <v>0.2248062015503875</v>
      </c>
      <c r="Q136">
        <v>0.2248062015503875</v>
      </c>
      <c r="R136">
        <v>0.2248062015503875</v>
      </c>
      <c r="S136">
        <v>0.2248062015503875</v>
      </c>
      <c r="T136">
        <v>0.2248062015503875</v>
      </c>
      <c r="U136">
        <v>0.2248062015503875</v>
      </c>
      <c r="V136">
        <v>0.2248062015503875</v>
      </c>
      <c r="W136">
        <v>0.2248062015503875</v>
      </c>
      <c r="X136">
        <v>0.2248062015503875</v>
      </c>
      <c r="Y136">
        <v>0.2248062015503875</v>
      </c>
      <c r="Z136">
        <v>0.2248062015503875</v>
      </c>
      <c r="AA136">
        <v>0.2248062015503875</v>
      </c>
      <c r="AB136">
        <v>0.2248062015503875</v>
      </c>
      <c r="AC136">
        <v>0.2248062015503875</v>
      </c>
      <c r="AD136">
        <v>0.2248062015503875</v>
      </c>
      <c r="AE136">
        <v>0.2248062015503875</v>
      </c>
      <c r="AF136">
        <v>0.2248062015503875</v>
      </c>
      <c r="AG136">
        <v>0.2248062015503875</v>
      </c>
    </row>
    <row r="137" spans="4:33" x14ac:dyDescent="0.3">
      <c r="D137">
        <f t="shared" ref="D137:D200" si="385">D136+1</f>
        <v>130</v>
      </c>
      <c r="E137">
        <f t="shared" ref="E137:E200" si="386">$E$3*E136*(1-E136)</f>
        <v>0.9754322990893558</v>
      </c>
      <c r="H137">
        <f t="shared" ref="H137" si="387">H135+1</f>
        <v>65</v>
      </c>
      <c r="I137">
        <f t="shared" ref="I137" si="388">J136</f>
        <v>0.59140711961142567</v>
      </c>
      <c r="J137">
        <f t="shared" ref="J137" si="389">I137</f>
        <v>0.59140711961142567</v>
      </c>
      <c r="L137">
        <v>1.3</v>
      </c>
      <c r="M137">
        <v>0.23076923076923073</v>
      </c>
      <c r="N137">
        <v>0.23076923076923073</v>
      </c>
      <c r="O137">
        <v>0.23076923076923073</v>
      </c>
      <c r="P137">
        <v>0.23076923076923073</v>
      </c>
      <c r="Q137">
        <v>0.23076923076923073</v>
      </c>
      <c r="R137">
        <v>0.23076923076923073</v>
      </c>
      <c r="S137">
        <v>0.23076923076923073</v>
      </c>
      <c r="T137">
        <v>0.23076923076923073</v>
      </c>
      <c r="U137">
        <v>0.23076923076923073</v>
      </c>
      <c r="V137">
        <v>0.23076923076923073</v>
      </c>
      <c r="W137">
        <v>0.23076923076923073</v>
      </c>
      <c r="X137">
        <v>0.23076923076923073</v>
      </c>
      <c r="Y137">
        <v>0.23076923076923073</v>
      </c>
      <c r="Z137">
        <v>0.23076923076923073</v>
      </c>
      <c r="AA137">
        <v>0.23076923076923073</v>
      </c>
      <c r="AB137">
        <v>0.23076923076923073</v>
      </c>
      <c r="AC137">
        <v>0.23076923076923073</v>
      </c>
      <c r="AD137">
        <v>0.23076923076923073</v>
      </c>
      <c r="AE137">
        <v>0.23076923076923073</v>
      </c>
      <c r="AF137">
        <v>0.23076923076923073</v>
      </c>
      <c r="AG137">
        <v>0.23076923076923073</v>
      </c>
    </row>
    <row r="138" spans="4:33" x14ac:dyDescent="0.3">
      <c r="D138">
        <f t="shared" si="385"/>
        <v>131</v>
      </c>
      <c r="E138">
        <f t="shared" si="386"/>
        <v>9.5856515930437314E-2</v>
      </c>
      <c r="H138">
        <f t="shared" ref="H138" si="390">H135+1</f>
        <v>65</v>
      </c>
      <c r="I138">
        <f t="shared" ref="I138" si="391">J136</f>
        <v>0.59140711961142567</v>
      </c>
      <c r="J138">
        <f t="shared" ref="J138" si="392">$E$3*I138*(1-I138)</f>
        <v>0.96657895393737003</v>
      </c>
      <c r="L138">
        <v>1.31</v>
      </c>
      <c r="M138">
        <v>0.23664122137404572</v>
      </c>
      <c r="N138">
        <v>0.23664122137404572</v>
      </c>
      <c r="O138">
        <v>0.23664122137404572</v>
      </c>
      <c r="P138">
        <v>0.23664122137404572</v>
      </c>
      <c r="Q138">
        <v>0.23664122137404572</v>
      </c>
      <c r="R138">
        <v>0.23664122137404572</v>
      </c>
      <c r="S138">
        <v>0.23664122137404572</v>
      </c>
      <c r="T138">
        <v>0.23664122137404572</v>
      </c>
      <c r="U138">
        <v>0.23664122137404572</v>
      </c>
      <c r="V138">
        <v>0.23664122137404572</v>
      </c>
      <c r="W138">
        <v>0.23664122137404572</v>
      </c>
      <c r="X138">
        <v>0.23664122137404572</v>
      </c>
      <c r="Y138">
        <v>0.23664122137404572</v>
      </c>
      <c r="Z138">
        <v>0.23664122137404572</v>
      </c>
      <c r="AA138">
        <v>0.23664122137404572</v>
      </c>
      <c r="AB138">
        <v>0.23664122137404572</v>
      </c>
      <c r="AC138">
        <v>0.23664122137404572</v>
      </c>
      <c r="AD138">
        <v>0.23664122137404572</v>
      </c>
      <c r="AE138">
        <v>0.23664122137404572</v>
      </c>
      <c r="AF138">
        <v>0.23664122137404572</v>
      </c>
      <c r="AG138">
        <v>0.23664122137404572</v>
      </c>
    </row>
    <row r="139" spans="4:33" x14ac:dyDescent="0.3">
      <c r="D139">
        <f t="shared" si="385"/>
        <v>132</v>
      </c>
      <c r="E139">
        <f t="shared" si="386"/>
        <v>0.34667217713646054</v>
      </c>
      <c r="H139">
        <f t="shared" ref="H139" si="393">H137+1</f>
        <v>66</v>
      </c>
      <c r="I139">
        <f t="shared" ref="I139" si="394">J138</f>
        <v>0.96657895393737003</v>
      </c>
      <c r="J139">
        <f t="shared" ref="J139" si="395">I139</f>
        <v>0.96657895393737003</v>
      </c>
      <c r="L139">
        <v>1.32</v>
      </c>
      <c r="M139">
        <v>0.24242424242424238</v>
      </c>
      <c r="N139">
        <v>0.24242424242424238</v>
      </c>
      <c r="O139">
        <v>0.24242424242424238</v>
      </c>
      <c r="P139">
        <v>0.24242424242424238</v>
      </c>
      <c r="Q139">
        <v>0.24242424242424238</v>
      </c>
      <c r="R139">
        <v>0.24242424242424238</v>
      </c>
      <c r="S139">
        <v>0.24242424242424238</v>
      </c>
      <c r="T139">
        <v>0.24242424242424238</v>
      </c>
      <c r="U139">
        <v>0.24242424242424238</v>
      </c>
      <c r="V139">
        <v>0.24242424242424238</v>
      </c>
      <c r="W139">
        <v>0.24242424242424238</v>
      </c>
      <c r="X139">
        <v>0.24242424242424238</v>
      </c>
      <c r="Y139">
        <v>0.24242424242424238</v>
      </c>
      <c r="Z139">
        <v>0.24242424242424238</v>
      </c>
      <c r="AA139">
        <v>0.24242424242424238</v>
      </c>
      <c r="AB139">
        <v>0.24242424242424238</v>
      </c>
      <c r="AC139">
        <v>0.24242424242424238</v>
      </c>
      <c r="AD139">
        <v>0.24242424242424238</v>
      </c>
      <c r="AE139">
        <v>0.24242424242424238</v>
      </c>
      <c r="AF139">
        <v>0.24242424242424238</v>
      </c>
      <c r="AG139">
        <v>0.24242424242424238</v>
      </c>
    </row>
    <row r="140" spans="4:33" x14ac:dyDescent="0.3">
      <c r="D140">
        <f t="shared" si="385"/>
        <v>133</v>
      </c>
      <c r="E140">
        <f t="shared" si="386"/>
        <v>0.90596231494370838</v>
      </c>
      <c r="H140">
        <f t="shared" ref="H140" si="396">H137+1</f>
        <v>66</v>
      </c>
      <c r="I140">
        <f t="shared" ref="I140" si="397">J138</f>
        <v>0.96657895393737003</v>
      </c>
      <c r="J140">
        <f t="shared" ref="J140" si="398">$E$3*I140*(1-I140)</f>
        <v>0.12921631897083813</v>
      </c>
      <c r="L140">
        <v>1.33</v>
      </c>
      <c r="M140">
        <v>0.24812030075187969</v>
      </c>
      <c r="N140">
        <v>0.24812030075187969</v>
      </c>
      <c r="O140">
        <v>0.24812030075187969</v>
      </c>
      <c r="P140">
        <v>0.24812030075187969</v>
      </c>
      <c r="Q140">
        <v>0.24812030075187969</v>
      </c>
      <c r="R140">
        <v>0.24812030075187969</v>
      </c>
      <c r="S140">
        <v>0.24812030075187969</v>
      </c>
      <c r="T140">
        <v>0.24812030075187969</v>
      </c>
      <c r="U140">
        <v>0.24812030075187969</v>
      </c>
      <c r="V140">
        <v>0.24812030075187969</v>
      </c>
      <c r="W140">
        <v>0.24812030075187969</v>
      </c>
      <c r="X140">
        <v>0.24812030075187969</v>
      </c>
      <c r="Y140">
        <v>0.24812030075187969</v>
      </c>
      <c r="Z140">
        <v>0.24812030075187969</v>
      </c>
      <c r="AA140">
        <v>0.24812030075187969</v>
      </c>
      <c r="AB140">
        <v>0.24812030075187969</v>
      </c>
      <c r="AC140">
        <v>0.24812030075187969</v>
      </c>
      <c r="AD140">
        <v>0.24812030075187969</v>
      </c>
      <c r="AE140">
        <v>0.24812030075187969</v>
      </c>
      <c r="AF140">
        <v>0.24812030075187969</v>
      </c>
      <c r="AG140">
        <v>0.24812030075187969</v>
      </c>
    </row>
    <row r="141" spans="4:33" x14ac:dyDescent="0.3">
      <c r="D141">
        <f t="shared" si="385"/>
        <v>134</v>
      </c>
      <c r="E141">
        <f t="shared" si="386"/>
        <v>0.3407783953821813</v>
      </c>
      <c r="H141">
        <f t="shared" ref="H141" si="399">H139+1</f>
        <v>67</v>
      </c>
      <c r="I141">
        <f t="shared" ref="I141" si="400">J140</f>
        <v>0.12921631897083813</v>
      </c>
      <c r="J141">
        <f t="shared" ref="J141" si="401">I141</f>
        <v>0.12921631897083813</v>
      </c>
      <c r="L141">
        <v>1.34</v>
      </c>
      <c r="M141">
        <v>0.2537313432835821</v>
      </c>
      <c r="N141">
        <v>0.2537313432835821</v>
      </c>
      <c r="O141">
        <v>0.2537313432835821</v>
      </c>
      <c r="P141">
        <v>0.2537313432835821</v>
      </c>
      <c r="Q141">
        <v>0.2537313432835821</v>
      </c>
      <c r="R141">
        <v>0.2537313432835821</v>
      </c>
      <c r="S141">
        <v>0.2537313432835821</v>
      </c>
      <c r="T141">
        <v>0.2537313432835821</v>
      </c>
      <c r="U141">
        <v>0.2537313432835821</v>
      </c>
      <c r="V141">
        <v>0.2537313432835821</v>
      </c>
      <c r="W141">
        <v>0.2537313432835821</v>
      </c>
      <c r="X141">
        <v>0.2537313432835821</v>
      </c>
      <c r="Y141">
        <v>0.2537313432835821</v>
      </c>
      <c r="Z141">
        <v>0.2537313432835821</v>
      </c>
      <c r="AA141">
        <v>0.2537313432835821</v>
      </c>
      <c r="AB141">
        <v>0.2537313432835821</v>
      </c>
      <c r="AC141">
        <v>0.2537313432835821</v>
      </c>
      <c r="AD141">
        <v>0.2537313432835821</v>
      </c>
      <c r="AE141">
        <v>0.2537313432835821</v>
      </c>
      <c r="AF141">
        <v>0.2537313432835821</v>
      </c>
      <c r="AG141">
        <v>0.2537313432835821</v>
      </c>
    </row>
    <row r="142" spans="4:33" x14ac:dyDescent="0.3">
      <c r="D142">
        <f t="shared" si="385"/>
        <v>135</v>
      </c>
      <c r="E142">
        <f t="shared" si="386"/>
        <v>0.89859392249170811</v>
      </c>
      <c r="H142">
        <f t="shared" ref="H142" si="402">H139+1</f>
        <v>67</v>
      </c>
      <c r="I142">
        <f t="shared" ref="I142" si="403">J140</f>
        <v>0.12921631897083813</v>
      </c>
      <c r="J142">
        <f t="shared" ref="J142" si="404">$E$3*I142*(1-I142)</f>
        <v>0.45007784752985897</v>
      </c>
      <c r="L142">
        <v>1.35</v>
      </c>
      <c r="M142">
        <v>0.25925925925925924</v>
      </c>
      <c r="N142">
        <v>0.25925925925925924</v>
      </c>
      <c r="O142">
        <v>0.25925925925925924</v>
      </c>
      <c r="P142">
        <v>0.25925925925925924</v>
      </c>
      <c r="Q142">
        <v>0.25925925925925924</v>
      </c>
      <c r="R142">
        <v>0.25925925925925924</v>
      </c>
      <c r="S142">
        <v>0.25925925925925924</v>
      </c>
      <c r="T142">
        <v>0.25925925925925924</v>
      </c>
      <c r="U142">
        <v>0.25925925925925924</v>
      </c>
      <c r="V142">
        <v>0.25925925925925924</v>
      </c>
      <c r="W142">
        <v>0.25925925925925924</v>
      </c>
      <c r="X142">
        <v>0.25925925925925924</v>
      </c>
      <c r="Y142">
        <v>0.25925925925925924</v>
      </c>
      <c r="Z142">
        <v>0.25925925925925924</v>
      </c>
      <c r="AA142">
        <v>0.25925925925925924</v>
      </c>
      <c r="AB142">
        <v>0.25925925925925924</v>
      </c>
      <c r="AC142">
        <v>0.25925925925925924</v>
      </c>
      <c r="AD142">
        <v>0.25925925925925924</v>
      </c>
      <c r="AE142">
        <v>0.25925925925925924</v>
      </c>
      <c r="AF142">
        <v>0.25925925925925924</v>
      </c>
      <c r="AG142">
        <v>0.25925925925925924</v>
      </c>
    </row>
    <row r="143" spans="4:33" x14ac:dyDescent="0.3">
      <c r="D143">
        <f t="shared" si="385"/>
        <v>136</v>
      </c>
      <c r="E143">
        <f t="shared" si="386"/>
        <v>0.36449153981069676</v>
      </c>
      <c r="H143">
        <f t="shared" ref="H143" si="405">H141+1</f>
        <v>68</v>
      </c>
      <c r="I143">
        <f t="shared" ref="I143" si="406">J142</f>
        <v>0.45007784752985897</v>
      </c>
      <c r="J143">
        <f t="shared" ref="J143" si="407">I143</f>
        <v>0.45007784752985897</v>
      </c>
      <c r="L143">
        <v>1.36</v>
      </c>
      <c r="M143">
        <v>0.26470588235294112</v>
      </c>
      <c r="N143">
        <v>0.26470588235294112</v>
      </c>
      <c r="O143">
        <v>0.26470588235294112</v>
      </c>
      <c r="P143">
        <v>0.26470588235294112</v>
      </c>
      <c r="Q143">
        <v>0.26470588235294112</v>
      </c>
      <c r="R143">
        <v>0.26470588235294112</v>
      </c>
      <c r="S143">
        <v>0.26470588235294112</v>
      </c>
      <c r="T143">
        <v>0.26470588235294112</v>
      </c>
      <c r="U143">
        <v>0.26470588235294112</v>
      </c>
      <c r="V143">
        <v>0.26470588235294112</v>
      </c>
      <c r="W143">
        <v>0.26470588235294112</v>
      </c>
      <c r="X143">
        <v>0.26470588235294112</v>
      </c>
      <c r="Y143">
        <v>0.26470588235294112</v>
      </c>
      <c r="Z143">
        <v>0.26470588235294112</v>
      </c>
      <c r="AA143">
        <v>0.26470588235294112</v>
      </c>
      <c r="AB143">
        <v>0.26470588235294112</v>
      </c>
      <c r="AC143">
        <v>0.26470588235294112</v>
      </c>
      <c r="AD143">
        <v>0.26470588235294112</v>
      </c>
      <c r="AE143">
        <v>0.26470588235294112</v>
      </c>
      <c r="AF143">
        <v>0.26470588235294112</v>
      </c>
      <c r="AG143">
        <v>0.26470588235294112</v>
      </c>
    </row>
    <row r="144" spans="4:33" x14ac:dyDescent="0.3">
      <c r="D144">
        <f t="shared" si="385"/>
        <v>137</v>
      </c>
      <c r="E144">
        <f t="shared" si="386"/>
        <v>0.92654982886849613</v>
      </c>
      <c r="H144">
        <f t="shared" ref="H144" si="408">H141+1</f>
        <v>68</v>
      </c>
      <c r="I144">
        <f t="shared" ref="I144" si="409">J142</f>
        <v>0.45007784752985897</v>
      </c>
      <c r="J144">
        <f t="shared" ref="J144" si="410">$E$3*I144*(1-I144)</f>
        <v>0.99003111477099182</v>
      </c>
      <c r="L144">
        <v>1.37</v>
      </c>
      <c r="M144">
        <v>0.27007299270072987</v>
      </c>
      <c r="N144">
        <v>0.27007299270072987</v>
      </c>
      <c r="O144">
        <v>0.27007299270072987</v>
      </c>
      <c r="P144">
        <v>0.27007299270072987</v>
      </c>
      <c r="Q144">
        <v>0.27007299270072987</v>
      </c>
      <c r="R144">
        <v>0.27007299270072987</v>
      </c>
      <c r="S144">
        <v>0.27007299270072987</v>
      </c>
      <c r="T144">
        <v>0.27007299270072987</v>
      </c>
      <c r="U144">
        <v>0.27007299270072987</v>
      </c>
      <c r="V144">
        <v>0.27007299270072987</v>
      </c>
      <c r="W144">
        <v>0.27007299270072987</v>
      </c>
      <c r="X144">
        <v>0.27007299270072987</v>
      </c>
      <c r="Y144">
        <v>0.27007299270072987</v>
      </c>
      <c r="Z144">
        <v>0.27007299270072987</v>
      </c>
      <c r="AA144">
        <v>0.27007299270072987</v>
      </c>
      <c r="AB144">
        <v>0.27007299270072987</v>
      </c>
      <c r="AC144">
        <v>0.27007299270072987</v>
      </c>
      <c r="AD144">
        <v>0.27007299270072987</v>
      </c>
      <c r="AE144">
        <v>0.27007299270072987</v>
      </c>
      <c r="AF144">
        <v>0.27007299270072987</v>
      </c>
      <c r="AG144">
        <v>0.27007299270072987</v>
      </c>
    </row>
    <row r="145" spans="4:33" x14ac:dyDescent="0.3">
      <c r="D145">
        <f t="shared" si="385"/>
        <v>138</v>
      </c>
      <c r="E145">
        <f t="shared" si="386"/>
        <v>0.27222097396902667</v>
      </c>
      <c r="H145">
        <f t="shared" ref="H145" si="411">H143+1</f>
        <v>69</v>
      </c>
      <c r="I145">
        <f t="shared" ref="I145" si="412">J144</f>
        <v>0.99003111477099182</v>
      </c>
      <c r="J145">
        <f t="shared" ref="J145" si="413">I145</f>
        <v>0.99003111477099182</v>
      </c>
      <c r="L145">
        <v>1.38</v>
      </c>
      <c r="M145">
        <v>0.27536231884057955</v>
      </c>
      <c r="N145">
        <v>0.27536231884057955</v>
      </c>
      <c r="O145">
        <v>0.27536231884057955</v>
      </c>
      <c r="P145">
        <v>0.27536231884057955</v>
      </c>
      <c r="Q145">
        <v>0.27536231884057955</v>
      </c>
      <c r="R145">
        <v>0.27536231884057955</v>
      </c>
      <c r="S145">
        <v>0.27536231884057955</v>
      </c>
      <c r="T145">
        <v>0.27536231884057955</v>
      </c>
      <c r="U145">
        <v>0.27536231884057955</v>
      </c>
      <c r="V145">
        <v>0.27536231884057955</v>
      </c>
      <c r="W145">
        <v>0.27536231884057955</v>
      </c>
      <c r="X145">
        <v>0.27536231884057955</v>
      </c>
      <c r="Y145">
        <v>0.27536231884057955</v>
      </c>
      <c r="Z145">
        <v>0.27536231884057955</v>
      </c>
      <c r="AA145">
        <v>0.27536231884057955</v>
      </c>
      <c r="AB145">
        <v>0.27536231884057955</v>
      </c>
      <c r="AC145">
        <v>0.27536231884057955</v>
      </c>
      <c r="AD145">
        <v>0.27536231884057955</v>
      </c>
      <c r="AE145">
        <v>0.27536231884057955</v>
      </c>
      <c r="AF145">
        <v>0.27536231884057955</v>
      </c>
      <c r="AG145">
        <v>0.27536231884057955</v>
      </c>
    </row>
    <row r="146" spans="4:33" x14ac:dyDescent="0.3">
      <c r="D146">
        <f t="shared" si="385"/>
        <v>139</v>
      </c>
      <c r="E146">
        <f t="shared" si="386"/>
        <v>0.79246686120152465</v>
      </c>
      <c r="H146">
        <f t="shared" ref="H146" si="414">H143+1</f>
        <v>69</v>
      </c>
      <c r="I146">
        <f t="shared" ref="I146" si="415">J144</f>
        <v>0.99003111477099182</v>
      </c>
      <c r="J146">
        <f t="shared" ref="J146" si="416">$E$3*I146*(1-I146)</f>
        <v>3.9478026225196187E-2</v>
      </c>
      <c r="L146">
        <v>1.39</v>
      </c>
      <c r="M146">
        <v>0.28057553956834524</v>
      </c>
      <c r="N146">
        <v>0.28057553956834524</v>
      </c>
      <c r="O146">
        <v>0.28057553956834524</v>
      </c>
      <c r="P146">
        <v>0.28057553956834524</v>
      </c>
      <c r="Q146">
        <v>0.28057553956834524</v>
      </c>
      <c r="R146">
        <v>0.28057553956834524</v>
      </c>
      <c r="S146">
        <v>0.28057553956834524</v>
      </c>
      <c r="T146">
        <v>0.28057553956834524</v>
      </c>
      <c r="U146">
        <v>0.28057553956834524</v>
      </c>
      <c r="V146">
        <v>0.28057553956834524</v>
      </c>
      <c r="W146">
        <v>0.28057553956834524</v>
      </c>
      <c r="X146">
        <v>0.28057553956834524</v>
      </c>
      <c r="Y146">
        <v>0.28057553956834524</v>
      </c>
      <c r="Z146">
        <v>0.28057553956834524</v>
      </c>
      <c r="AA146">
        <v>0.28057553956834524</v>
      </c>
      <c r="AB146">
        <v>0.28057553956834524</v>
      </c>
      <c r="AC146">
        <v>0.28057553956834524</v>
      </c>
      <c r="AD146">
        <v>0.28057553956834524</v>
      </c>
      <c r="AE146">
        <v>0.28057553956834524</v>
      </c>
      <c r="AF146">
        <v>0.28057553956834524</v>
      </c>
      <c r="AG146">
        <v>0.28057553956834524</v>
      </c>
    </row>
    <row r="147" spans="4:33" x14ac:dyDescent="0.3">
      <c r="D147">
        <f t="shared" si="385"/>
        <v>140</v>
      </c>
      <c r="E147">
        <f t="shared" si="386"/>
        <v>0.6578525403957125</v>
      </c>
      <c r="H147">
        <f t="shared" ref="H147" si="417">H145+1</f>
        <v>70</v>
      </c>
      <c r="I147">
        <f t="shared" ref="I147" si="418">J146</f>
        <v>3.9478026225196187E-2</v>
      </c>
      <c r="J147">
        <f t="shared" ref="J147" si="419">I147</f>
        <v>3.9478026225196187E-2</v>
      </c>
      <c r="L147">
        <v>1.4</v>
      </c>
      <c r="M147">
        <v>0.28571428571428564</v>
      </c>
      <c r="N147">
        <v>0.28571428571428564</v>
      </c>
      <c r="O147">
        <v>0.28571428571428564</v>
      </c>
      <c r="P147">
        <v>0.28571428571428564</v>
      </c>
      <c r="Q147">
        <v>0.28571428571428564</v>
      </c>
      <c r="R147">
        <v>0.28571428571428564</v>
      </c>
      <c r="S147">
        <v>0.28571428571428564</v>
      </c>
      <c r="T147">
        <v>0.28571428571428564</v>
      </c>
      <c r="U147">
        <v>0.28571428571428564</v>
      </c>
      <c r="V147">
        <v>0.28571428571428564</v>
      </c>
      <c r="W147">
        <v>0.28571428571428564</v>
      </c>
      <c r="X147">
        <v>0.28571428571428564</v>
      </c>
      <c r="Y147">
        <v>0.28571428571428564</v>
      </c>
      <c r="Z147">
        <v>0.28571428571428564</v>
      </c>
      <c r="AA147">
        <v>0.28571428571428564</v>
      </c>
      <c r="AB147">
        <v>0.28571428571428564</v>
      </c>
      <c r="AC147">
        <v>0.28571428571428564</v>
      </c>
      <c r="AD147">
        <v>0.28571428571428564</v>
      </c>
      <c r="AE147">
        <v>0.28571428571428564</v>
      </c>
      <c r="AF147">
        <v>0.28571428571428564</v>
      </c>
      <c r="AG147">
        <v>0.28571428571428564</v>
      </c>
    </row>
    <row r="148" spans="4:33" x14ac:dyDescent="0.3">
      <c r="D148">
        <f t="shared" si="385"/>
        <v>141</v>
      </c>
      <c r="E148">
        <f t="shared" si="386"/>
        <v>0.90033030196247976</v>
      </c>
      <c r="H148">
        <f t="shared" ref="H148" si="420">H145+1</f>
        <v>70</v>
      </c>
      <c r="I148">
        <f t="shared" ref="I148" si="421">J146</f>
        <v>3.9478026225196187E-2</v>
      </c>
      <c r="J148">
        <f t="shared" ref="J148" si="422">$E$3*I148*(1-I148)</f>
        <v>0.15167804668223564</v>
      </c>
      <c r="L148">
        <v>1.41</v>
      </c>
      <c r="M148">
        <v>0.29078014184397161</v>
      </c>
      <c r="N148">
        <v>0.29078014184397161</v>
      </c>
      <c r="O148">
        <v>0.29078014184397161</v>
      </c>
      <c r="P148">
        <v>0.29078014184397161</v>
      </c>
      <c r="Q148">
        <v>0.29078014184397161</v>
      </c>
      <c r="R148">
        <v>0.29078014184397161</v>
      </c>
      <c r="S148">
        <v>0.29078014184397161</v>
      </c>
      <c r="T148">
        <v>0.29078014184397161</v>
      </c>
      <c r="U148">
        <v>0.29078014184397161</v>
      </c>
      <c r="V148">
        <v>0.29078014184397161</v>
      </c>
      <c r="W148">
        <v>0.29078014184397161</v>
      </c>
      <c r="X148">
        <v>0.29078014184397161</v>
      </c>
      <c r="Y148">
        <v>0.29078014184397161</v>
      </c>
      <c r="Z148">
        <v>0.29078014184397161</v>
      </c>
      <c r="AA148">
        <v>0.29078014184397161</v>
      </c>
      <c r="AB148">
        <v>0.29078014184397161</v>
      </c>
      <c r="AC148">
        <v>0.29078014184397161</v>
      </c>
      <c r="AD148">
        <v>0.29078014184397161</v>
      </c>
      <c r="AE148">
        <v>0.29078014184397161</v>
      </c>
      <c r="AF148">
        <v>0.29078014184397161</v>
      </c>
      <c r="AG148">
        <v>0.29078014184397161</v>
      </c>
    </row>
    <row r="149" spans="4:33" x14ac:dyDescent="0.3">
      <c r="D149">
        <f t="shared" si="385"/>
        <v>142</v>
      </c>
      <c r="E149">
        <f t="shared" si="386"/>
        <v>0.3589425973225191</v>
      </c>
      <c r="H149">
        <f t="shared" ref="H149" si="423">H147+1</f>
        <v>71</v>
      </c>
      <c r="I149">
        <f t="shared" ref="I149" si="424">J148</f>
        <v>0.15167804668223564</v>
      </c>
      <c r="J149">
        <f t="shared" ref="J149" si="425">I149</f>
        <v>0.15167804668223564</v>
      </c>
      <c r="L149">
        <v>1.42</v>
      </c>
      <c r="M149">
        <v>0.29577464788732388</v>
      </c>
      <c r="N149">
        <v>0.29577464788732388</v>
      </c>
      <c r="O149">
        <v>0.29577464788732388</v>
      </c>
      <c r="P149">
        <v>0.29577464788732388</v>
      </c>
      <c r="Q149">
        <v>0.29577464788732388</v>
      </c>
      <c r="R149">
        <v>0.29577464788732388</v>
      </c>
      <c r="S149">
        <v>0.29577464788732388</v>
      </c>
      <c r="T149">
        <v>0.29577464788732388</v>
      </c>
      <c r="U149">
        <v>0.29577464788732388</v>
      </c>
      <c r="V149">
        <v>0.29577464788732388</v>
      </c>
      <c r="W149">
        <v>0.29577464788732388</v>
      </c>
      <c r="X149">
        <v>0.29577464788732388</v>
      </c>
      <c r="Y149">
        <v>0.29577464788732388</v>
      </c>
      <c r="Z149">
        <v>0.29577464788732388</v>
      </c>
      <c r="AA149">
        <v>0.29577464788732388</v>
      </c>
      <c r="AB149">
        <v>0.29577464788732388</v>
      </c>
      <c r="AC149">
        <v>0.29577464788732388</v>
      </c>
      <c r="AD149">
        <v>0.29577464788732388</v>
      </c>
      <c r="AE149">
        <v>0.29577464788732388</v>
      </c>
      <c r="AF149">
        <v>0.29577464788732388</v>
      </c>
      <c r="AG149">
        <v>0.29577464788732388</v>
      </c>
    </row>
    <row r="150" spans="4:33" x14ac:dyDescent="0.3">
      <c r="D150">
        <f t="shared" si="385"/>
        <v>143</v>
      </c>
      <c r="E150">
        <f t="shared" si="386"/>
        <v>0.92041123659953206</v>
      </c>
      <c r="H150">
        <f t="shared" ref="H150" si="426">H147+1</f>
        <v>71</v>
      </c>
      <c r="I150">
        <f t="shared" ref="I150" si="427">J148</f>
        <v>0.15167804668223564</v>
      </c>
      <c r="J150">
        <f t="shared" ref="J150" si="428">$E$3*I150*(1-I150)</f>
        <v>0.51468726734758874</v>
      </c>
      <c r="L150">
        <v>1.43</v>
      </c>
      <c r="M150">
        <v>0.30069930069930056</v>
      </c>
      <c r="N150">
        <v>0.30069930069930056</v>
      </c>
      <c r="O150">
        <v>0.30069930069930056</v>
      </c>
      <c r="P150">
        <v>0.30069930069930056</v>
      </c>
      <c r="Q150">
        <v>0.30069930069930056</v>
      </c>
      <c r="R150">
        <v>0.30069930069930056</v>
      </c>
      <c r="S150">
        <v>0.30069930069930056</v>
      </c>
      <c r="T150">
        <v>0.30069930069930056</v>
      </c>
      <c r="U150">
        <v>0.30069930069930056</v>
      </c>
      <c r="V150">
        <v>0.30069930069930056</v>
      </c>
      <c r="W150">
        <v>0.30069930069930056</v>
      </c>
      <c r="X150">
        <v>0.30069930069930056</v>
      </c>
      <c r="Y150">
        <v>0.30069930069930056</v>
      </c>
      <c r="Z150">
        <v>0.30069930069930056</v>
      </c>
      <c r="AA150">
        <v>0.30069930069930056</v>
      </c>
      <c r="AB150">
        <v>0.30069930069930056</v>
      </c>
      <c r="AC150">
        <v>0.30069930069930056</v>
      </c>
      <c r="AD150">
        <v>0.30069930069930056</v>
      </c>
      <c r="AE150">
        <v>0.30069930069930056</v>
      </c>
      <c r="AF150">
        <v>0.30069930069930056</v>
      </c>
      <c r="AG150">
        <v>0.30069930069930056</v>
      </c>
    </row>
    <row r="151" spans="4:33" x14ac:dyDescent="0.3">
      <c r="D151">
        <f t="shared" si="385"/>
        <v>144</v>
      </c>
      <c r="E151">
        <f t="shared" si="386"/>
        <v>0.2930175685634091</v>
      </c>
      <c r="H151">
        <f t="shared" ref="H151" si="429">H149+1</f>
        <v>72</v>
      </c>
      <c r="I151">
        <f t="shared" ref="I151" si="430">J150</f>
        <v>0.51468726734758874</v>
      </c>
      <c r="J151">
        <f t="shared" ref="J151" si="431">I151</f>
        <v>0.51468726734758874</v>
      </c>
      <c r="L151">
        <v>1.44</v>
      </c>
      <c r="M151">
        <v>0.30555555555555547</v>
      </c>
      <c r="N151">
        <v>0.30555555555555547</v>
      </c>
      <c r="O151">
        <v>0.30555555555555547</v>
      </c>
      <c r="P151">
        <v>0.30555555555555547</v>
      </c>
      <c r="Q151">
        <v>0.30555555555555547</v>
      </c>
      <c r="R151">
        <v>0.30555555555555547</v>
      </c>
      <c r="S151">
        <v>0.30555555555555547</v>
      </c>
      <c r="T151">
        <v>0.30555555555555547</v>
      </c>
      <c r="U151">
        <v>0.30555555555555547</v>
      </c>
      <c r="V151">
        <v>0.30555555555555547</v>
      </c>
      <c r="W151">
        <v>0.30555555555555547</v>
      </c>
      <c r="X151">
        <v>0.30555555555555547</v>
      </c>
      <c r="Y151">
        <v>0.30555555555555547</v>
      </c>
      <c r="Z151">
        <v>0.30555555555555547</v>
      </c>
      <c r="AA151">
        <v>0.30555555555555547</v>
      </c>
      <c r="AB151">
        <v>0.30555555555555547</v>
      </c>
      <c r="AC151">
        <v>0.30555555555555547</v>
      </c>
      <c r="AD151">
        <v>0.30555555555555547</v>
      </c>
      <c r="AE151">
        <v>0.30555555555555547</v>
      </c>
      <c r="AF151">
        <v>0.30555555555555547</v>
      </c>
      <c r="AG151">
        <v>0.30555555555555547</v>
      </c>
    </row>
    <row r="152" spans="4:33" x14ac:dyDescent="0.3">
      <c r="D152">
        <f t="shared" si="385"/>
        <v>145</v>
      </c>
      <c r="E152">
        <f t="shared" si="386"/>
        <v>0.82863309230638782</v>
      </c>
      <c r="H152">
        <f t="shared" ref="H152" si="432">H149+1</f>
        <v>72</v>
      </c>
      <c r="I152">
        <f t="shared" ref="I152" si="433">J150</f>
        <v>0.51468726734758874</v>
      </c>
      <c r="J152">
        <f t="shared" ref="J152" si="434">$E$3*I152*(1-I152)</f>
        <v>0.99913713671144178</v>
      </c>
      <c r="L152">
        <v>1.45</v>
      </c>
      <c r="M152">
        <v>0.3103448275862068</v>
      </c>
      <c r="N152">
        <v>0.3103448275862068</v>
      </c>
      <c r="O152">
        <v>0.3103448275862068</v>
      </c>
      <c r="P152">
        <v>0.3103448275862068</v>
      </c>
      <c r="Q152">
        <v>0.3103448275862068</v>
      </c>
      <c r="R152">
        <v>0.3103448275862068</v>
      </c>
      <c r="S152">
        <v>0.3103448275862068</v>
      </c>
      <c r="T152">
        <v>0.3103448275862068</v>
      </c>
      <c r="U152">
        <v>0.3103448275862068</v>
      </c>
      <c r="V152">
        <v>0.3103448275862068</v>
      </c>
      <c r="W152">
        <v>0.3103448275862068</v>
      </c>
      <c r="X152">
        <v>0.3103448275862068</v>
      </c>
      <c r="Y152">
        <v>0.3103448275862068</v>
      </c>
      <c r="Z152">
        <v>0.3103448275862068</v>
      </c>
      <c r="AA152">
        <v>0.3103448275862068</v>
      </c>
      <c r="AB152">
        <v>0.3103448275862068</v>
      </c>
      <c r="AC152">
        <v>0.3103448275862068</v>
      </c>
      <c r="AD152">
        <v>0.3103448275862068</v>
      </c>
      <c r="AE152">
        <v>0.3103448275862068</v>
      </c>
      <c r="AF152">
        <v>0.3103448275862068</v>
      </c>
      <c r="AG152">
        <v>0.3103448275862068</v>
      </c>
    </row>
    <row r="153" spans="4:33" x14ac:dyDescent="0.3">
      <c r="D153">
        <f t="shared" si="385"/>
        <v>146</v>
      </c>
      <c r="E153">
        <f t="shared" si="386"/>
        <v>0.56800116256456468</v>
      </c>
      <c r="H153">
        <f t="shared" ref="H153" si="435">H151+1</f>
        <v>73</v>
      </c>
      <c r="I153">
        <f t="shared" ref="I153" si="436">J152</f>
        <v>0.99913713671144178</v>
      </c>
      <c r="J153">
        <f t="shared" ref="J153" si="437">I153</f>
        <v>0.99913713671144178</v>
      </c>
      <c r="L153">
        <v>1.46</v>
      </c>
      <c r="M153">
        <v>0.3150684931506848</v>
      </c>
      <c r="N153">
        <v>0.3150684931506848</v>
      </c>
      <c r="O153">
        <v>0.3150684931506848</v>
      </c>
      <c r="P153">
        <v>0.3150684931506848</v>
      </c>
      <c r="Q153">
        <v>0.3150684931506848</v>
      </c>
      <c r="R153">
        <v>0.3150684931506848</v>
      </c>
      <c r="S153">
        <v>0.3150684931506848</v>
      </c>
      <c r="T153">
        <v>0.3150684931506848</v>
      </c>
      <c r="U153">
        <v>0.3150684931506848</v>
      </c>
      <c r="V153">
        <v>0.3150684931506848</v>
      </c>
      <c r="W153">
        <v>0.3150684931506848</v>
      </c>
      <c r="X153">
        <v>0.3150684931506848</v>
      </c>
      <c r="Y153">
        <v>0.3150684931506848</v>
      </c>
      <c r="Z153">
        <v>0.3150684931506848</v>
      </c>
      <c r="AA153">
        <v>0.3150684931506848</v>
      </c>
      <c r="AB153">
        <v>0.3150684931506848</v>
      </c>
      <c r="AC153">
        <v>0.3150684931506848</v>
      </c>
      <c r="AD153">
        <v>0.3150684931506848</v>
      </c>
      <c r="AE153">
        <v>0.3150684931506848</v>
      </c>
      <c r="AF153">
        <v>0.3150684931506848</v>
      </c>
      <c r="AG153">
        <v>0.3150684931506848</v>
      </c>
    </row>
    <row r="154" spans="4:33" x14ac:dyDescent="0.3">
      <c r="D154">
        <f t="shared" si="385"/>
        <v>147</v>
      </c>
      <c r="E154">
        <f t="shared" si="386"/>
        <v>0.98150336755947054</v>
      </c>
      <c r="H154">
        <f t="shared" ref="H154" si="438">H151+1</f>
        <v>73</v>
      </c>
      <c r="I154">
        <f t="shared" ref="I154" si="439">J152</f>
        <v>0.99913713671144178</v>
      </c>
      <c r="J154">
        <f t="shared" ref="J154" si="440">$E$3*I154*(1-I154)</f>
        <v>3.4484750220139314E-3</v>
      </c>
      <c r="L154">
        <v>1.47</v>
      </c>
      <c r="M154">
        <v>0.31972789115646255</v>
      </c>
      <c r="N154">
        <v>0.31972789115646255</v>
      </c>
      <c r="O154">
        <v>0.31972789115646255</v>
      </c>
      <c r="P154">
        <v>0.31972789115646255</v>
      </c>
      <c r="Q154">
        <v>0.31972789115646255</v>
      </c>
      <c r="R154">
        <v>0.31972789115646255</v>
      </c>
      <c r="S154">
        <v>0.31972789115646255</v>
      </c>
      <c r="T154">
        <v>0.31972789115646255</v>
      </c>
      <c r="U154">
        <v>0.31972789115646255</v>
      </c>
      <c r="V154">
        <v>0.31972789115646255</v>
      </c>
      <c r="W154">
        <v>0.31972789115646255</v>
      </c>
      <c r="X154">
        <v>0.31972789115646255</v>
      </c>
      <c r="Y154">
        <v>0.31972789115646255</v>
      </c>
      <c r="Z154">
        <v>0.31972789115646255</v>
      </c>
      <c r="AA154">
        <v>0.31972789115646255</v>
      </c>
      <c r="AB154">
        <v>0.31972789115646255</v>
      </c>
      <c r="AC154">
        <v>0.31972789115646255</v>
      </c>
      <c r="AD154">
        <v>0.31972789115646255</v>
      </c>
      <c r="AE154">
        <v>0.31972789115646255</v>
      </c>
      <c r="AF154">
        <v>0.31972789115646255</v>
      </c>
      <c r="AG154">
        <v>0.31972789115646255</v>
      </c>
    </row>
    <row r="155" spans="4:33" x14ac:dyDescent="0.3">
      <c r="D155">
        <f t="shared" si="385"/>
        <v>148</v>
      </c>
      <c r="E155">
        <f t="shared" si="386"/>
        <v>7.2618028115557648E-2</v>
      </c>
      <c r="H155">
        <f t="shared" ref="H155" si="441">H153+1</f>
        <v>74</v>
      </c>
      <c r="I155">
        <f t="shared" ref="I155" si="442">J154</f>
        <v>3.4484750220139314E-3</v>
      </c>
      <c r="J155">
        <f t="shared" ref="J155" si="443">I155</f>
        <v>3.4484750220139314E-3</v>
      </c>
      <c r="L155">
        <v>1.48</v>
      </c>
      <c r="M155">
        <v>0.32432432432432429</v>
      </c>
      <c r="N155">
        <v>0.32432432432432429</v>
      </c>
      <c r="O155">
        <v>0.32432432432432429</v>
      </c>
      <c r="P155">
        <v>0.32432432432432429</v>
      </c>
      <c r="Q155">
        <v>0.32432432432432429</v>
      </c>
      <c r="R155">
        <v>0.32432432432432429</v>
      </c>
      <c r="S155">
        <v>0.32432432432432429</v>
      </c>
      <c r="T155">
        <v>0.32432432432432429</v>
      </c>
      <c r="U155">
        <v>0.32432432432432429</v>
      </c>
      <c r="V155">
        <v>0.32432432432432429</v>
      </c>
      <c r="W155">
        <v>0.32432432432432429</v>
      </c>
      <c r="X155">
        <v>0.32432432432432429</v>
      </c>
      <c r="Y155">
        <v>0.32432432432432429</v>
      </c>
      <c r="Z155">
        <v>0.32432432432432429</v>
      </c>
      <c r="AA155">
        <v>0.32432432432432429</v>
      </c>
      <c r="AB155">
        <v>0.32432432432432429</v>
      </c>
      <c r="AC155">
        <v>0.32432432432432429</v>
      </c>
      <c r="AD155">
        <v>0.32432432432432429</v>
      </c>
      <c r="AE155">
        <v>0.32432432432432429</v>
      </c>
      <c r="AF155">
        <v>0.32432432432432429</v>
      </c>
      <c r="AG155">
        <v>0.32432432432432429</v>
      </c>
    </row>
    <row r="156" spans="4:33" x14ac:dyDescent="0.3">
      <c r="D156">
        <f t="shared" si="385"/>
        <v>149</v>
      </c>
      <c r="E156">
        <f t="shared" si="386"/>
        <v>0.26937860043266293</v>
      </c>
      <c r="H156">
        <f t="shared" ref="H156" si="444">H153+1</f>
        <v>74</v>
      </c>
      <c r="I156">
        <f t="shared" ref="I156" si="445">J154</f>
        <v>3.4484750220139314E-3</v>
      </c>
      <c r="J156">
        <f t="shared" ref="J156" si="446">$E$3*I156*(1-I156)</f>
        <v>1.3746332168145909E-2</v>
      </c>
      <c r="L156">
        <v>1.49</v>
      </c>
      <c r="M156">
        <v>0.32885906040268453</v>
      </c>
      <c r="N156">
        <v>0.32885906040268453</v>
      </c>
      <c r="O156">
        <v>0.32885906040268453</v>
      </c>
      <c r="P156">
        <v>0.32885906040268453</v>
      </c>
      <c r="Q156">
        <v>0.32885906040268453</v>
      </c>
      <c r="R156">
        <v>0.32885906040268453</v>
      </c>
      <c r="S156">
        <v>0.32885906040268453</v>
      </c>
      <c r="T156">
        <v>0.32885906040268453</v>
      </c>
      <c r="U156">
        <v>0.32885906040268453</v>
      </c>
      <c r="V156">
        <v>0.32885906040268453</v>
      </c>
      <c r="W156">
        <v>0.32885906040268453</v>
      </c>
      <c r="X156">
        <v>0.32885906040268453</v>
      </c>
      <c r="Y156">
        <v>0.32885906040268453</v>
      </c>
      <c r="Z156">
        <v>0.32885906040268453</v>
      </c>
      <c r="AA156">
        <v>0.32885906040268453</v>
      </c>
      <c r="AB156">
        <v>0.32885906040268453</v>
      </c>
      <c r="AC156">
        <v>0.32885906040268453</v>
      </c>
      <c r="AD156">
        <v>0.32885906040268453</v>
      </c>
      <c r="AE156">
        <v>0.32885906040268453</v>
      </c>
      <c r="AF156">
        <v>0.32885906040268453</v>
      </c>
      <c r="AG156">
        <v>0.32885906040268453</v>
      </c>
    </row>
    <row r="157" spans="4:33" x14ac:dyDescent="0.3">
      <c r="D157">
        <f t="shared" si="385"/>
        <v>150</v>
      </c>
      <c r="E157">
        <f t="shared" si="386"/>
        <v>0.78725508024641067</v>
      </c>
      <c r="H157">
        <f t="shared" ref="H157" si="447">H155+1</f>
        <v>75</v>
      </c>
      <c r="I157">
        <f t="shared" ref="I157" si="448">J156</f>
        <v>1.3746332168145909E-2</v>
      </c>
      <c r="J157">
        <f t="shared" ref="J157" si="449">I157</f>
        <v>1.3746332168145909E-2</v>
      </c>
      <c r="L157">
        <v>1.5</v>
      </c>
      <c r="M157">
        <v>0.33333333333333337</v>
      </c>
      <c r="N157">
        <v>0.33333333333333331</v>
      </c>
      <c r="O157">
        <v>0.33333333333333337</v>
      </c>
      <c r="P157">
        <v>0.33333333333333331</v>
      </c>
      <c r="Q157">
        <v>0.33333333333333337</v>
      </c>
      <c r="R157">
        <v>0.33333333333333331</v>
      </c>
      <c r="S157">
        <v>0.33333333333333337</v>
      </c>
      <c r="T157">
        <v>0.33333333333333331</v>
      </c>
      <c r="U157">
        <v>0.33333333333333337</v>
      </c>
      <c r="V157">
        <v>0.33333333333333331</v>
      </c>
      <c r="W157">
        <v>0.33333333333333337</v>
      </c>
      <c r="X157">
        <v>0.33333333333333331</v>
      </c>
      <c r="Y157">
        <v>0.33333333333333337</v>
      </c>
      <c r="Z157">
        <v>0.33333333333333331</v>
      </c>
      <c r="AA157">
        <v>0.33333333333333337</v>
      </c>
      <c r="AB157">
        <v>0.33333333333333331</v>
      </c>
      <c r="AC157">
        <v>0.33333333333333337</v>
      </c>
      <c r="AD157">
        <v>0.33333333333333331</v>
      </c>
      <c r="AE157">
        <v>0.33333333333333337</v>
      </c>
      <c r="AF157">
        <v>0.33333333333333331</v>
      </c>
      <c r="AG157">
        <v>0.33333333333333337</v>
      </c>
    </row>
    <row r="158" spans="4:33" x14ac:dyDescent="0.3">
      <c r="D158">
        <f t="shared" si="385"/>
        <v>151</v>
      </c>
      <c r="E158">
        <f t="shared" si="386"/>
        <v>0.66993807549051265</v>
      </c>
      <c r="H158">
        <f t="shared" ref="H158" si="450">H155+1</f>
        <v>75</v>
      </c>
      <c r="I158">
        <f t="shared" ref="I158" si="451">J156</f>
        <v>1.3746332168145909E-2</v>
      </c>
      <c r="J158">
        <f t="shared" ref="J158" si="452">$E$3*I158*(1-I158)</f>
        <v>5.4229482080275622E-2</v>
      </c>
      <c r="L158">
        <v>1.51</v>
      </c>
      <c r="M158">
        <v>0.33774834437086088</v>
      </c>
      <c r="N158">
        <v>0.33774834437086088</v>
      </c>
      <c r="O158">
        <v>0.33774834437086088</v>
      </c>
      <c r="P158">
        <v>0.33774834437086088</v>
      </c>
      <c r="Q158">
        <v>0.33774834437086088</v>
      </c>
      <c r="R158">
        <v>0.33774834437086088</v>
      </c>
      <c r="S158">
        <v>0.33774834437086088</v>
      </c>
      <c r="T158">
        <v>0.33774834437086088</v>
      </c>
      <c r="U158">
        <v>0.33774834437086088</v>
      </c>
      <c r="V158">
        <v>0.33774834437086088</v>
      </c>
      <c r="W158">
        <v>0.33774834437086088</v>
      </c>
      <c r="X158">
        <v>0.33774834437086088</v>
      </c>
      <c r="Y158">
        <v>0.33774834437086088</v>
      </c>
      <c r="Z158">
        <v>0.33774834437086088</v>
      </c>
      <c r="AA158">
        <v>0.33774834437086088</v>
      </c>
      <c r="AB158">
        <v>0.33774834437086088</v>
      </c>
      <c r="AC158">
        <v>0.33774834437086088</v>
      </c>
      <c r="AD158">
        <v>0.33774834437086088</v>
      </c>
      <c r="AE158">
        <v>0.33774834437086088</v>
      </c>
      <c r="AF158">
        <v>0.33774834437086088</v>
      </c>
      <c r="AG158">
        <v>0.33774834437086088</v>
      </c>
    </row>
    <row r="159" spans="4:33" x14ac:dyDescent="0.3">
      <c r="D159">
        <f t="shared" si="385"/>
        <v>152</v>
      </c>
      <c r="E159">
        <f t="shared" si="386"/>
        <v>0.88448420199432332</v>
      </c>
      <c r="H159">
        <f t="shared" ref="H159" si="453">H157+1</f>
        <v>76</v>
      </c>
      <c r="I159">
        <f t="shared" ref="I159" si="454">J158</f>
        <v>5.4229482080275622E-2</v>
      </c>
      <c r="J159">
        <f t="shared" ref="J159" si="455">I159</f>
        <v>5.4229482080275622E-2</v>
      </c>
      <c r="L159">
        <v>1.52</v>
      </c>
      <c r="M159">
        <v>0.34210526315789469</v>
      </c>
      <c r="N159">
        <v>0.34210526315789469</v>
      </c>
      <c r="O159">
        <v>0.34210526315789469</v>
      </c>
      <c r="P159">
        <v>0.34210526315789469</v>
      </c>
      <c r="Q159">
        <v>0.34210526315789469</v>
      </c>
      <c r="R159">
        <v>0.34210526315789469</v>
      </c>
      <c r="S159">
        <v>0.34210526315789469</v>
      </c>
      <c r="T159">
        <v>0.34210526315789469</v>
      </c>
      <c r="U159">
        <v>0.34210526315789469</v>
      </c>
      <c r="V159">
        <v>0.34210526315789469</v>
      </c>
      <c r="W159">
        <v>0.34210526315789469</v>
      </c>
      <c r="X159">
        <v>0.34210526315789469</v>
      </c>
      <c r="Y159">
        <v>0.34210526315789469</v>
      </c>
      <c r="Z159">
        <v>0.34210526315789469</v>
      </c>
      <c r="AA159">
        <v>0.34210526315789469</v>
      </c>
      <c r="AB159">
        <v>0.34210526315789469</v>
      </c>
      <c r="AC159">
        <v>0.34210526315789469</v>
      </c>
      <c r="AD159">
        <v>0.34210526315789469</v>
      </c>
      <c r="AE159">
        <v>0.34210526315789469</v>
      </c>
      <c r="AF159">
        <v>0.34210526315789469</v>
      </c>
      <c r="AG159">
        <v>0.34210526315789469</v>
      </c>
    </row>
    <row r="160" spans="4:33" x14ac:dyDescent="0.3">
      <c r="D160">
        <f t="shared" si="385"/>
        <v>153</v>
      </c>
      <c r="E160">
        <f t="shared" si="386"/>
        <v>0.40868759366715357</v>
      </c>
      <c r="H160">
        <f t="shared" ref="H160" si="456">H157+1</f>
        <v>76</v>
      </c>
      <c r="I160">
        <f t="shared" ref="I160" si="457">J158</f>
        <v>5.4229482080275622E-2</v>
      </c>
      <c r="J160">
        <f t="shared" ref="J160" si="458">$E$3*I160*(1-I160)</f>
        <v>0.20515458141432275</v>
      </c>
      <c r="L160">
        <v>1.53</v>
      </c>
      <c r="M160">
        <v>0.34640522875816993</v>
      </c>
      <c r="N160">
        <v>0.34640522875816998</v>
      </c>
      <c r="O160">
        <v>0.34640522875816993</v>
      </c>
      <c r="P160">
        <v>0.34640522875816998</v>
      </c>
      <c r="Q160">
        <v>0.34640522875816993</v>
      </c>
      <c r="R160">
        <v>0.34640522875816998</v>
      </c>
      <c r="S160">
        <v>0.34640522875816993</v>
      </c>
      <c r="T160">
        <v>0.34640522875816998</v>
      </c>
      <c r="U160">
        <v>0.34640522875816993</v>
      </c>
      <c r="V160">
        <v>0.34640522875816998</v>
      </c>
      <c r="W160">
        <v>0.34640522875816993</v>
      </c>
      <c r="X160">
        <v>0.34640522875816998</v>
      </c>
      <c r="Y160">
        <v>0.34640522875816993</v>
      </c>
      <c r="Z160">
        <v>0.34640522875816998</v>
      </c>
      <c r="AA160">
        <v>0.34640522875816993</v>
      </c>
      <c r="AB160">
        <v>0.34640522875816998</v>
      </c>
      <c r="AC160">
        <v>0.34640522875816993</v>
      </c>
      <c r="AD160">
        <v>0.34640522875816998</v>
      </c>
      <c r="AE160">
        <v>0.34640522875816993</v>
      </c>
      <c r="AF160">
        <v>0.34640522875816998</v>
      </c>
      <c r="AG160">
        <v>0.34640522875816993</v>
      </c>
    </row>
    <row r="161" spans="4:33" x14ac:dyDescent="0.3">
      <c r="D161">
        <f t="shared" si="385"/>
        <v>154</v>
      </c>
      <c r="E161">
        <f t="shared" si="386"/>
        <v>0.96664817779882062</v>
      </c>
      <c r="H161">
        <f t="shared" ref="H161" si="459">H159+1</f>
        <v>77</v>
      </c>
      <c r="I161">
        <f t="shared" ref="I161" si="460">J160</f>
        <v>0.20515458141432275</v>
      </c>
      <c r="J161">
        <f t="shared" ref="J161" si="461">I161</f>
        <v>0.20515458141432275</v>
      </c>
      <c r="L161">
        <v>1.54</v>
      </c>
      <c r="M161">
        <v>0.35064935064935066</v>
      </c>
      <c r="N161">
        <v>0.35064935064935066</v>
      </c>
      <c r="O161">
        <v>0.35064935064935066</v>
      </c>
      <c r="P161">
        <v>0.35064935064935066</v>
      </c>
      <c r="Q161">
        <v>0.35064935064935066</v>
      </c>
      <c r="R161">
        <v>0.35064935064935066</v>
      </c>
      <c r="S161">
        <v>0.35064935064935066</v>
      </c>
      <c r="T161">
        <v>0.35064935064935066</v>
      </c>
      <c r="U161">
        <v>0.35064935064935066</v>
      </c>
      <c r="V161">
        <v>0.35064935064935066</v>
      </c>
      <c r="W161">
        <v>0.35064935064935066</v>
      </c>
      <c r="X161">
        <v>0.35064935064935066</v>
      </c>
      <c r="Y161">
        <v>0.35064935064935066</v>
      </c>
      <c r="Z161">
        <v>0.35064935064935066</v>
      </c>
      <c r="AA161">
        <v>0.35064935064935066</v>
      </c>
      <c r="AB161">
        <v>0.35064935064935066</v>
      </c>
      <c r="AC161">
        <v>0.35064935064935066</v>
      </c>
      <c r="AD161">
        <v>0.35064935064935066</v>
      </c>
      <c r="AE161">
        <v>0.35064935064935066</v>
      </c>
      <c r="AF161">
        <v>0.35064935064935066</v>
      </c>
      <c r="AG161">
        <v>0.35064935064935066</v>
      </c>
    </row>
    <row r="162" spans="4:33" x14ac:dyDescent="0.3">
      <c r="D162">
        <f t="shared" si="385"/>
        <v>155</v>
      </c>
      <c r="E162">
        <f t="shared" si="386"/>
        <v>0.1289579126281612</v>
      </c>
      <c r="H162">
        <f t="shared" ref="H162" si="462">H159+1</f>
        <v>77</v>
      </c>
      <c r="I162">
        <f t="shared" ref="I162" si="463">J160</f>
        <v>0.20515458141432275</v>
      </c>
      <c r="J162">
        <f t="shared" ref="J162" si="464">$E$3*I162*(1-I162)</f>
        <v>0.65226471655614704</v>
      </c>
      <c r="L162">
        <v>1.55</v>
      </c>
      <c r="M162">
        <v>0.35483870967741937</v>
      </c>
      <c r="N162">
        <v>0.35483870967741937</v>
      </c>
      <c r="O162">
        <v>0.35483870967741937</v>
      </c>
      <c r="P162">
        <v>0.35483870967741937</v>
      </c>
      <c r="Q162">
        <v>0.35483870967741937</v>
      </c>
      <c r="R162">
        <v>0.35483870967741937</v>
      </c>
      <c r="S162">
        <v>0.35483870967741937</v>
      </c>
      <c r="T162">
        <v>0.35483870967741937</v>
      </c>
      <c r="U162">
        <v>0.35483870967741937</v>
      </c>
      <c r="V162">
        <v>0.35483870967741937</v>
      </c>
      <c r="W162">
        <v>0.35483870967741937</v>
      </c>
      <c r="X162">
        <v>0.35483870967741937</v>
      </c>
      <c r="Y162">
        <v>0.35483870967741937</v>
      </c>
      <c r="Z162">
        <v>0.35483870967741937</v>
      </c>
      <c r="AA162">
        <v>0.35483870967741937</v>
      </c>
      <c r="AB162">
        <v>0.35483870967741937</v>
      </c>
      <c r="AC162">
        <v>0.35483870967741937</v>
      </c>
      <c r="AD162">
        <v>0.35483870967741937</v>
      </c>
      <c r="AE162">
        <v>0.35483870967741937</v>
      </c>
      <c r="AF162">
        <v>0.35483870967741937</v>
      </c>
      <c r="AG162">
        <v>0.35483870967741937</v>
      </c>
    </row>
    <row r="163" spans="4:33" x14ac:dyDescent="0.3">
      <c r="D163">
        <f t="shared" si="385"/>
        <v>156</v>
      </c>
      <c r="E163">
        <f t="shared" si="386"/>
        <v>0.44931107759499495</v>
      </c>
      <c r="H163">
        <f t="shared" ref="H163" si="465">H161+1</f>
        <v>78</v>
      </c>
      <c r="I163">
        <f t="shared" ref="I163" si="466">J162</f>
        <v>0.65226471655614704</v>
      </c>
      <c r="J163">
        <f t="shared" ref="J163" si="467">I163</f>
        <v>0.65226471655614704</v>
      </c>
      <c r="L163">
        <v>1.56</v>
      </c>
      <c r="M163">
        <v>0.35897435897435898</v>
      </c>
      <c r="N163">
        <v>0.35897435897435898</v>
      </c>
      <c r="O163">
        <v>0.35897435897435898</v>
      </c>
      <c r="P163">
        <v>0.35897435897435898</v>
      </c>
      <c r="Q163">
        <v>0.35897435897435898</v>
      </c>
      <c r="R163">
        <v>0.35897435897435898</v>
      </c>
      <c r="S163">
        <v>0.35897435897435898</v>
      </c>
      <c r="T163">
        <v>0.35897435897435898</v>
      </c>
      <c r="U163">
        <v>0.35897435897435898</v>
      </c>
      <c r="V163">
        <v>0.35897435897435898</v>
      </c>
      <c r="W163">
        <v>0.35897435897435898</v>
      </c>
      <c r="X163">
        <v>0.35897435897435898</v>
      </c>
      <c r="Y163">
        <v>0.35897435897435898</v>
      </c>
      <c r="Z163">
        <v>0.35897435897435898</v>
      </c>
      <c r="AA163">
        <v>0.35897435897435898</v>
      </c>
      <c r="AB163">
        <v>0.35897435897435898</v>
      </c>
      <c r="AC163">
        <v>0.35897435897435898</v>
      </c>
      <c r="AD163">
        <v>0.35897435897435898</v>
      </c>
      <c r="AE163">
        <v>0.35897435897435898</v>
      </c>
      <c r="AF163">
        <v>0.35897435897435898</v>
      </c>
      <c r="AG163">
        <v>0.35897435897435898</v>
      </c>
    </row>
    <row r="164" spans="4:33" x14ac:dyDescent="0.3">
      <c r="D164">
        <f t="shared" si="385"/>
        <v>157</v>
      </c>
      <c r="E164">
        <f t="shared" si="386"/>
        <v>0.98972253258167764</v>
      </c>
      <c r="H164">
        <f t="shared" ref="H164" si="468">H161+1</f>
        <v>78</v>
      </c>
      <c r="I164">
        <f t="shared" ref="I164" si="469">J162</f>
        <v>0.65226471655614704</v>
      </c>
      <c r="J164">
        <f t="shared" ref="J164" si="470">$E$3*I164*(1-I164)</f>
        <v>0.90726182436830483</v>
      </c>
      <c r="L164">
        <v>1.57</v>
      </c>
      <c r="M164">
        <v>0.36305732484076436</v>
      </c>
      <c r="N164">
        <v>0.36305732484076436</v>
      </c>
      <c r="O164">
        <v>0.36305732484076436</v>
      </c>
      <c r="P164">
        <v>0.36305732484076436</v>
      </c>
      <c r="Q164">
        <v>0.36305732484076436</v>
      </c>
      <c r="R164">
        <v>0.36305732484076436</v>
      </c>
      <c r="S164">
        <v>0.36305732484076436</v>
      </c>
      <c r="T164">
        <v>0.36305732484076436</v>
      </c>
      <c r="U164">
        <v>0.36305732484076436</v>
      </c>
      <c r="V164">
        <v>0.36305732484076436</v>
      </c>
      <c r="W164">
        <v>0.36305732484076436</v>
      </c>
      <c r="X164">
        <v>0.36305732484076436</v>
      </c>
      <c r="Y164">
        <v>0.36305732484076436</v>
      </c>
      <c r="Z164">
        <v>0.36305732484076436</v>
      </c>
      <c r="AA164">
        <v>0.36305732484076436</v>
      </c>
      <c r="AB164">
        <v>0.36305732484076436</v>
      </c>
      <c r="AC164">
        <v>0.36305732484076436</v>
      </c>
      <c r="AD164">
        <v>0.36305732484076436</v>
      </c>
      <c r="AE164">
        <v>0.36305732484076436</v>
      </c>
      <c r="AF164">
        <v>0.36305732484076436</v>
      </c>
      <c r="AG164">
        <v>0.36305732484076436</v>
      </c>
    </row>
    <row r="165" spans="4:33" x14ac:dyDescent="0.3">
      <c r="D165">
        <f t="shared" si="385"/>
        <v>158</v>
      </c>
      <c r="E165">
        <f t="shared" si="386"/>
        <v>4.0687364327150734E-2</v>
      </c>
      <c r="H165">
        <f t="shared" ref="H165" si="471">H163+1</f>
        <v>79</v>
      </c>
      <c r="I165">
        <f t="shared" ref="I165" si="472">J164</f>
        <v>0.90726182436830483</v>
      </c>
      <c r="J165">
        <f t="shared" ref="J165" si="473">I165</f>
        <v>0.90726182436830483</v>
      </c>
      <c r="L165">
        <v>1.58</v>
      </c>
      <c r="M165">
        <v>0.36708860759493678</v>
      </c>
      <c r="N165">
        <v>0.36708860759493678</v>
      </c>
      <c r="O165">
        <v>0.36708860759493678</v>
      </c>
      <c r="P165">
        <v>0.36708860759493678</v>
      </c>
      <c r="Q165">
        <v>0.36708860759493678</v>
      </c>
      <c r="R165">
        <v>0.36708860759493678</v>
      </c>
      <c r="S165">
        <v>0.36708860759493678</v>
      </c>
      <c r="T165">
        <v>0.36708860759493678</v>
      </c>
      <c r="U165">
        <v>0.36708860759493678</v>
      </c>
      <c r="V165">
        <v>0.36708860759493678</v>
      </c>
      <c r="W165">
        <v>0.36708860759493678</v>
      </c>
      <c r="X165">
        <v>0.36708860759493678</v>
      </c>
      <c r="Y165">
        <v>0.36708860759493678</v>
      </c>
      <c r="Z165">
        <v>0.36708860759493678</v>
      </c>
      <c r="AA165">
        <v>0.36708860759493678</v>
      </c>
      <c r="AB165">
        <v>0.36708860759493678</v>
      </c>
      <c r="AC165">
        <v>0.36708860759493678</v>
      </c>
      <c r="AD165">
        <v>0.36708860759493678</v>
      </c>
      <c r="AE165">
        <v>0.36708860759493678</v>
      </c>
      <c r="AF165">
        <v>0.36708860759493678</v>
      </c>
      <c r="AG165">
        <v>0.36708860759493678</v>
      </c>
    </row>
    <row r="166" spans="4:33" x14ac:dyDescent="0.3">
      <c r="D166">
        <f t="shared" si="385"/>
        <v>159</v>
      </c>
      <c r="E166">
        <f t="shared" si="386"/>
        <v>0.15612761084504176</v>
      </c>
      <c r="H166">
        <f t="shared" ref="H166" si="474">H163+1</f>
        <v>79</v>
      </c>
      <c r="I166">
        <f t="shared" ref="I166" si="475">J164</f>
        <v>0.90726182436830483</v>
      </c>
      <c r="J166">
        <f t="shared" ref="J166" si="476">$E$3*I166*(1-I166)</f>
        <v>0.33655122564880013</v>
      </c>
      <c r="L166">
        <v>1.59</v>
      </c>
      <c r="M166">
        <v>0.37106918238993714</v>
      </c>
      <c r="N166">
        <v>0.37106918238993714</v>
      </c>
      <c r="O166">
        <v>0.37106918238993714</v>
      </c>
      <c r="P166">
        <v>0.37106918238993714</v>
      </c>
      <c r="Q166">
        <v>0.37106918238993714</v>
      </c>
      <c r="R166">
        <v>0.37106918238993714</v>
      </c>
      <c r="S166">
        <v>0.37106918238993714</v>
      </c>
      <c r="T166">
        <v>0.37106918238993714</v>
      </c>
      <c r="U166">
        <v>0.37106918238993714</v>
      </c>
      <c r="V166">
        <v>0.37106918238993714</v>
      </c>
      <c r="W166">
        <v>0.37106918238993714</v>
      </c>
      <c r="X166">
        <v>0.37106918238993714</v>
      </c>
      <c r="Y166">
        <v>0.37106918238993714</v>
      </c>
      <c r="Z166">
        <v>0.37106918238993714</v>
      </c>
      <c r="AA166">
        <v>0.37106918238993714</v>
      </c>
      <c r="AB166">
        <v>0.37106918238993714</v>
      </c>
      <c r="AC166">
        <v>0.37106918238993714</v>
      </c>
      <c r="AD166">
        <v>0.37106918238993714</v>
      </c>
      <c r="AE166">
        <v>0.37106918238993714</v>
      </c>
      <c r="AF166">
        <v>0.37106918238993714</v>
      </c>
      <c r="AG166">
        <v>0.37106918238993714</v>
      </c>
    </row>
    <row r="167" spans="4:33" x14ac:dyDescent="0.3">
      <c r="D167">
        <f t="shared" si="385"/>
        <v>160</v>
      </c>
      <c r="E167">
        <f t="shared" si="386"/>
        <v>0.52700711990744387</v>
      </c>
      <c r="H167">
        <f t="shared" ref="H167" si="477">H165+1</f>
        <v>80</v>
      </c>
      <c r="I167">
        <f t="shared" ref="I167" si="478">J166</f>
        <v>0.33655122564880013</v>
      </c>
      <c r="J167">
        <f t="shared" ref="J167" si="479">I167</f>
        <v>0.33655122564880013</v>
      </c>
      <c r="L167">
        <v>1.6</v>
      </c>
      <c r="M167">
        <v>0.37500000000000006</v>
      </c>
      <c r="N167">
        <v>0.37500000000000006</v>
      </c>
      <c r="O167">
        <v>0.37500000000000006</v>
      </c>
      <c r="P167">
        <v>0.37500000000000006</v>
      </c>
      <c r="Q167">
        <v>0.37500000000000006</v>
      </c>
      <c r="R167">
        <v>0.37500000000000006</v>
      </c>
      <c r="S167">
        <v>0.37500000000000006</v>
      </c>
      <c r="T167">
        <v>0.37500000000000006</v>
      </c>
      <c r="U167">
        <v>0.37500000000000006</v>
      </c>
      <c r="V167">
        <v>0.37500000000000006</v>
      </c>
      <c r="W167">
        <v>0.37500000000000006</v>
      </c>
      <c r="X167">
        <v>0.37500000000000006</v>
      </c>
      <c r="Y167">
        <v>0.37500000000000006</v>
      </c>
      <c r="Z167">
        <v>0.37500000000000006</v>
      </c>
      <c r="AA167">
        <v>0.37500000000000006</v>
      </c>
      <c r="AB167">
        <v>0.37500000000000006</v>
      </c>
      <c r="AC167">
        <v>0.37500000000000006</v>
      </c>
      <c r="AD167">
        <v>0.37500000000000006</v>
      </c>
      <c r="AE167">
        <v>0.37500000000000006</v>
      </c>
      <c r="AF167">
        <v>0.37500000000000006</v>
      </c>
      <c r="AG167">
        <v>0.37500000000000006</v>
      </c>
    </row>
    <row r="168" spans="4:33" x14ac:dyDescent="0.3">
      <c r="D168">
        <f t="shared" si="385"/>
        <v>161</v>
      </c>
      <c r="E168">
        <f t="shared" si="386"/>
        <v>0.99708246189721983</v>
      </c>
      <c r="H168">
        <f t="shared" ref="H168" si="480">H165+1</f>
        <v>80</v>
      </c>
      <c r="I168">
        <f t="shared" ref="I168" si="481">J166</f>
        <v>0.33655122564880013</v>
      </c>
      <c r="J168">
        <f t="shared" ref="J168" si="482">$E$3*I168*(1-I168)</f>
        <v>0.89313799265236216</v>
      </c>
      <c r="L168">
        <v>1.61</v>
      </c>
      <c r="M168">
        <v>0.3788819875776398</v>
      </c>
      <c r="N168">
        <v>0.3788819875776398</v>
      </c>
      <c r="O168">
        <v>0.3788819875776398</v>
      </c>
      <c r="P168">
        <v>0.3788819875776398</v>
      </c>
      <c r="Q168">
        <v>0.3788819875776398</v>
      </c>
      <c r="R168">
        <v>0.3788819875776398</v>
      </c>
      <c r="S168">
        <v>0.3788819875776398</v>
      </c>
      <c r="T168">
        <v>0.3788819875776398</v>
      </c>
      <c r="U168">
        <v>0.3788819875776398</v>
      </c>
      <c r="V168">
        <v>0.3788819875776398</v>
      </c>
      <c r="W168">
        <v>0.3788819875776398</v>
      </c>
      <c r="X168">
        <v>0.3788819875776398</v>
      </c>
      <c r="Y168">
        <v>0.3788819875776398</v>
      </c>
      <c r="Z168">
        <v>0.3788819875776398</v>
      </c>
      <c r="AA168">
        <v>0.3788819875776398</v>
      </c>
      <c r="AB168">
        <v>0.3788819875776398</v>
      </c>
      <c r="AC168">
        <v>0.3788819875776398</v>
      </c>
      <c r="AD168">
        <v>0.3788819875776398</v>
      </c>
      <c r="AE168">
        <v>0.3788819875776398</v>
      </c>
      <c r="AF168">
        <v>0.3788819875776398</v>
      </c>
      <c r="AG168">
        <v>0.3788819875776398</v>
      </c>
    </row>
    <row r="169" spans="4:33" x14ac:dyDescent="0.3">
      <c r="D169">
        <f t="shared" si="385"/>
        <v>162</v>
      </c>
      <c r="E169">
        <f t="shared" si="386"/>
        <v>1.1636104296795987E-2</v>
      </c>
      <c r="H169">
        <f t="shared" ref="H169" si="483">H167+1</f>
        <v>81</v>
      </c>
      <c r="I169">
        <f t="shared" ref="I169" si="484">J168</f>
        <v>0.89313799265236216</v>
      </c>
      <c r="J169">
        <f t="shared" ref="J169" si="485">I169</f>
        <v>0.89313799265236216</v>
      </c>
      <c r="L169">
        <v>1.62</v>
      </c>
      <c r="M169">
        <v>0.38271604938271608</v>
      </c>
      <c r="N169">
        <v>0.38271604938271608</v>
      </c>
      <c r="O169">
        <v>0.38271604938271608</v>
      </c>
      <c r="P169">
        <v>0.38271604938271608</v>
      </c>
      <c r="Q169">
        <v>0.38271604938271608</v>
      </c>
      <c r="R169">
        <v>0.38271604938271608</v>
      </c>
      <c r="S169">
        <v>0.38271604938271608</v>
      </c>
      <c r="T169">
        <v>0.38271604938271608</v>
      </c>
      <c r="U169">
        <v>0.38271604938271608</v>
      </c>
      <c r="V169">
        <v>0.38271604938271608</v>
      </c>
      <c r="W169">
        <v>0.38271604938271608</v>
      </c>
      <c r="X169">
        <v>0.38271604938271608</v>
      </c>
      <c r="Y169">
        <v>0.38271604938271608</v>
      </c>
      <c r="Z169">
        <v>0.38271604938271608</v>
      </c>
      <c r="AA169">
        <v>0.38271604938271608</v>
      </c>
      <c r="AB169">
        <v>0.38271604938271608</v>
      </c>
      <c r="AC169">
        <v>0.38271604938271608</v>
      </c>
      <c r="AD169">
        <v>0.38271604938271608</v>
      </c>
      <c r="AE169">
        <v>0.38271604938271608</v>
      </c>
      <c r="AF169">
        <v>0.38271604938271608</v>
      </c>
      <c r="AG169">
        <v>0.38271604938271608</v>
      </c>
    </row>
    <row r="170" spans="4:33" x14ac:dyDescent="0.3">
      <c r="D170">
        <f t="shared" si="385"/>
        <v>163</v>
      </c>
      <c r="E170">
        <f t="shared" si="386"/>
        <v>4.6002821494360295E-2</v>
      </c>
      <c r="H170">
        <f t="shared" ref="H170" si="486">H167+1</f>
        <v>81</v>
      </c>
      <c r="I170">
        <f t="shared" ref="I170" si="487">J168</f>
        <v>0.89313799265236216</v>
      </c>
      <c r="J170">
        <f t="shared" ref="J170" si="488">$E$3*I170*(1-I170)</f>
        <v>0.38177007493308496</v>
      </c>
      <c r="L170">
        <v>1.63</v>
      </c>
      <c r="M170">
        <v>0.38650306748466251</v>
      </c>
      <c r="N170">
        <v>0.38650306748466251</v>
      </c>
      <c r="O170">
        <v>0.38650306748466251</v>
      </c>
      <c r="P170">
        <v>0.38650306748466251</v>
      </c>
      <c r="Q170">
        <v>0.38650306748466251</v>
      </c>
      <c r="R170">
        <v>0.38650306748466251</v>
      </c>
      <c r="S170">
        <v>0.38650306748466251</v>
      </c>
      <c r="T170">
        <v>0.38650306748466251</v>
      </c>
      <c r="U170">
        <v>0.38650306748466251</v>
      </c>
      <c r="V170">
        <v>0.38650306748466251</v>
      </c>
      <c r="W170">
        <v>0.38650306748466251</v>
      </c>
      <c r="X170">
        <v>0.38650306748466251</v>
      </c>
      <c r="Y170">
        <v>0.38650306748466251</v>
      </c>
      <c r="Z170">
        <v>0.38650306748466251</v>
      </c>
      <c r="AA170">
        <v>0.38650306748466251</v>
      </c>
      <c r="AB170">
        <v>0.38650306748466251</v>
      </c>
      <c r="AC170">
        <v>0.38650306748466251</v>
      </c>
      <c r="AD170">
        <v>0.38650306748466251</v>
      </c>
      <c r="AE170">
        <v>0.38650306748466251</v>
      </c>
      <c r="AF170">
        <v>0.38650306748466251</v>
      </c>
      <c r="AG170">
        <v>0.38650306748466251</v>
      </c>
    </row>
    <row r="171" spans="4:33" x14ac:dyDescent="0.3">
      <c r="D171">
        <f t="shared" si="385"/>
        <v>164</v>
      </c>
      <c r="E171">
        <f t="shared" si="386"/>
        <v>0.17554624763567328</v>
      </c>
      <c r="H171">
        <f t="shared" ref="H171" si="489">H169+1</f>
        <v>82</v>
      </c>
      <c r="I171">
        <f t="shared" ref="I171" si="490">J170</f>
        <v>0.38177007493308496</v>
      </c>
      <c r="J171">
        <f t="shared" ref="J171" si="491">I171</f>
        <v>0.38177007493308496</v>
      </c>
      <c r="L171">
        <v>1.64</v>
      </c>
      <c r="M171">
        <v>0.39024390243902424</v>
      </c>
      <c r="N171">
        <v>0.39024390243902424</v>
      </c>
      <c r="O171">
        <v>0.39024390243902424</v>
      </c>
      <c r="P171">
        <v>0.39024390243902424</v>
      </c>
      <c r="Q171">
        <v>0.39024390243902424</v>
      </c>
      <c r="R171">
        <v>0.39024390243902424</v>
      </c>
      <c r="S171">
        <v>0.39024390243902424</v>
      </c>
      <c r="T171">
        <v>0.39024390243902424</v>
      </c>
      <c r="U171">
        <v>0.39024390243902424</v>
      </c>
      <c r="V171">
        <v>0.39024390243902424</v>
      </c>
      <c r="W171">
        <v>0.39024390243902424</v>
      </c>
      <c r="X171">
        <v>0.39024390243902424</v>
      </c>
      <c r="Y171">
        <v>0.39024390243902424</v>
      </c>
      <c r="Z171">
        <v>0.39024390243902424</v>
      </c>
      <c r="AA171">
        <v>0.39024390243902424</v>
      </c>
      <c r="AB171">
        <v>0.39024390243902424</v>
      </c>
      <c r="AC171">
        <v>0.39024390243902424</v>
      </c>
      <c r="AD171">
        <v>0.39024390243902424</v>
      </c>
      <c r="AE171">
        <v>0.39024390243902424</v>
      </c>
      <c r="AF171">
        <v>0.39024390243902424</v>
      </c>
      <c r="AG171">
        <v>0.39024390243902424</v>
      </c>
    </row>
    <row r="172" spans="4:33" x14ac:dyDescent="0.3">
      <c r="D172">
        <f t="shared" si="385"/>
        <v>165</v>
      </c>
      <c r="E172">
        <f t="shared" si="386"/>
        <v>0.57891905030683266</v>
      </c>
      <c r="H172">
        <f t="shared" ref="H172" si="492">H169+1</f>
        <v>82</v>
      </c>
      <c r="I172">
        <f t="shared" ref="I172" si="493">J170</f>
        <v>0.38177007493308496</v>
      </c>
      <c r="J172">
        <f t="shared" ref="J172" si="494">$E$3*I172*(1-I172)</f>
        <v>0.94408673927468656</v>
      </c>
      <c r="L172">
        <v>1.65</v>
      </c>
      <c r="M172">
        <v>0.39393939393939392</v>
      </c>
      <c r="N172">
        <v>0.39393939393939392</v>
      </c>
      <c r="O172">
        <v>0.39393939393939392</v>
      </c>
      <c r="P172">
        <v>0.39393939393939392</v>
      </c>
      <c r="Q172">
        <v>0.39393939393939392</v>
      </c>
      <c r="R172">
        <v>0.39393939393939392</v>
      </c>
      <c r="S172">
        <v>0.39393939393939392</v>
      </c>
      <c r="T172">
        <v>0.39393939393939392</v>
      </c>
      <c r="U172">
        <v>0.39393939393939392</v>
      </c>
      <c r="V172">
        <v>0.39393939393939392</v>
      </c>
      <c r="W172">
        <v>0.39393939393939392</v>
      </c>
      <c r="X172">
        <v>0.39393939393939392</v>
      </c>
      <c r="Y172">
        <v>0.39393939393939392</v>
      </c>
      <c r="Z172">
        <v>0.39393939393939392</v>
      </c>
      <c r="AA172">
        <v>0.39393939393939392</v>
      </c>
      <c r="AB172">
        <v>0.39393939393939392</v>
      </c>
      <c r="AC172">
        <v>0.39393939393939392</v>
      </c>
      <c r="AD172">
        <v>0.39393939393939392</v>
      </c>
      <c r="AE172">
        <v>0.39393939393939392</v>
      </c>
      <c r="AF172">
        <v>0.39393939393939392</v>
      </c>
      <c r="AG172">
        <v>0.39393939393939392</v>
      </c>
    </row>
    <row r="173" spans="4:33" x14ac:dyDescent="0.3">
      <c r="D173">
        <f t="shared" si="385"/>
        <v>166</v>
      </c>
      <c r="E173">
        <f t="shared" si="386"/>
        <v>0.97508713399467051</v>
      </c>
      <c r="H173">
        <f t="shared" ref="H173" si="495">H171+1</f>
        <v>83</v>
      </c>
      <c r="I173">
        <f t="shared" ref="I173" si="496">J172</f>
        <v>0.94408673927468656</v>
      </c>
      <c r="J173">
        <f t="shared" ref="J173" si="497">I173</f>
        <v>0.94408673927468656</v>
      </c>
      <c r="L173">
        <v>1.66</v>
      </c>
      <c r="M173">
        <v>0.39759036144578302</v>
      </c>
      <c r="N173">
        <v>0.39759036144578314</v>
      </c>
      <c r="O173">
        <v>0.39759036144578302</v>
      </c>
      <c r="P173">
        <v>0.39759036144578314</v>
      </c>
      <c r="Q173">
        <v>0.39759036144578302</v>
      </c>
      <c r="R173">
        <v>0.39759036144578314</v>
      </c>
      <c r="S173">
        <v>0.39759036144578302</v>
      </c>
      <c r="T173">
        <v>0.39759036144578314</v>
      </c>
      <c r="U173">
        <v>0.39759036144578302</v>
      </c>
      <c r="V173">
        <v>0.39759036144578314</v>
      </c>
      <c r="W173">
        <v>0.39759036144578302</v>
      </c>
      <c r="X173">
        <v>0.39759036144578314</v>
      </c>
      <c r="Y173">
        <v>0.39759036144578302</v>
      </c>
      <c r="Z173">
        <v>0.39759036144578314</v>
      </c>
      <c r="AA173">
        <v>0.39759036144578302</v>
      </c>
      <c r="AB173">
        <v>0.39759036144578314</v>
      </c>
      <c r="AC173">
        <v>0.39759036144578302</v>
      </c>
      <c r="AD173">
        <v>0.39759036144578314</v>
      </c>
      <c r="AE173">
        <v>0.39759036144578302</v>
      </c>
      <c r="AF173">
        <v>0.39759036144578314</v>
      </c>
      <c r="AG173">
        <v>0.39759036144578302</v>
      </c>
    </row>
    <row r="174" spans="4:33" x14ac:dyDescent="0.3">
      <c r="D174">
        <f t="shared" si="385"/>
        <v>167</v>
      </c>
      <c r="E174">
        <f t="shared" si="386"/>
        <v>9.7168860450919964E-2</v>
      </c>
      <c r="H174">
        <f t="shared" ref="H174" si="498">H171+1</f>
        <v>83</v>
      </c>
      <c r="I174">
        <f t="shared" ref="I174" si="499">J172</f>
        <v>0.94408673927468656</v>
      </c>
      <c r="J174">
        <f t="shared" ref="J174" si="500">$E$3*I174*(1-I174)</f>
        <v>0.21114787200150625</v>
      </c>
      <c r="L174">
        <v>1.67</v>
      </c>
      <c r="M174">
        <v>0.40119760479041916</v>
      </c>
      <c r="N174">
        <v>0.40119760479041916</v>
      </c>
      <c r="O174">
        <v>0.40119760479041916</v>
      </c>
      <c r="P174">
        <v>0.40119760479041916</v>
      </c>
      <c r="Q174">
        <v>0.40119760479041916</v>
      </c>
      <c r="R174">
        <v>0.40119760479041916</v>
      </c>
      <c r="S174">
        <v>0.40119760479041916</v>
      </c>
      <c r="T174">
        <v>0.40119760479041916</v>
      </c>
      <c r="U174">
        <v>0.40119760479041916</v>
      </c>
      <c r="V174">
        <v>0.40119760479041916</v>
      </c>
      <c r="W174">
        <v>0.40119760479041916</v>
      </c>
      <c r="X174">
        <v>0.40119760479041916</v>
      </c>
      <c r="Y174">
        <v>0.40119760479041916</v>
      </c>
      <c r="Z174">
        <v>0.40119760479041916</v>
      </c>
      <c r="AA174">
        <v>0.40119760479041916</v>
      </c>
      <c r="AB174">
        <v>0.40119760479041916</v>
      </c>
      <c r="AC174">
        <v>0.40119760479041916</v>
      </c>
      <c r="AD174">
        <v>0.40119760479041916</v>
      </c>
      <c r="AE174">
        <v>0.40119760479041916</v>
      </c>
      <c r="AF174">
        <v>0.40119760479041916</v>
      </c>
      <c r="AG174">
        <v>0.40119760479041916</v>
      </c>
    </row>
    <row r="175" spans="4:33" x14ac:dyDescent="0.3">
      <c r="D175">
        <f t="shared" si="385"/>
        <v>168</v>
      </c>
      <c r="E175">
        <f t="shared" si="386"/>
        <v>0.35090829203835844</v>
      </c>
      <c r="H175">
        <f t="shared" ref="H175" si="501">H173+1</f>
        <v>84</v>
      </c>
      <c r="I175">
        <f t="shared" ref="I175" si="502">J174</f>
        <v>0.21114787200150625</v>
      </c>
      <c r="J175">
        <f t="shared" ref="J175" si="503">I175</f>
        <v>0.21114787200150625</v>
      </c>
      <c r="L175">
        <v>1.68</v>
      </c>
      <c r="M175">
        <v>0.40476190476190471</v>
      </c>
      <c r="N175">
        <v>0.40476190476190482</v>
      </c>
      <c r="O175">
        <v>0.40476190476190471</v>
      </c>
      <c r="P175">
        <v>0.40476190476190482</v>
      </c>
      <c r="Q175">
        <v>0.40476190476190471</v>
      </c>
      <c r="R175">
        <v>0.40476190476190482</v>
      </c>
      <c r="S175">
        <v>0.40476190476190471</v>
      </c>
      <c r="T175">
        <v>0.40476190476190482</v>
      </c>
      <c r="U175">
        <v>0.40476190476190471</v>
      </c>
      <c r="V175">
        <v>0.40476190476190482</v>
      </c>
      <c r="W175">
        <v>0.40476190476190471</v>
      </c>
      <c r="X175">
        <v>0.40476190476190482</v>
      </c>
      <c r="Y175">
        <v>0.40476190476190471</v>
      </c>
      <c r="Z175">
        <v>0.40476190476190482</v>
      </c>
      <c r="AA175">
        <v>0.40476190476190471</v>
      </c>
      <c r="AB175">
        <v>0.40476190476190482</v>
      </c>
      <c r="AC175">
        <v>0.40476190476190471</v>
      </c>
      <c r="AD175">
        <v>0.40476190476190482</v>
      </c>
      <c r="AE175">
        <v>0.40476190476190471</v>
      </c>
      <c r="AF175">
        <v>0.40476190476190482</v>
      </c>
      <c r="AG175">
        <v>0.40476190476190471</v>
      </c>
    </row>
    <row r="176" spans="4:33" x14ac:dyDescent="0.3">
      <c r="D176">
        <f t="shared" si="385"/>
        <v>169</v>
      </c>
      <c r="E176">
        <f t="shared" si="386"/>
        <v>0.91108665046832238</v>
      </c>
      <c r="H176">
        <f t="shared" ref="H176" si="504">H173+1</f>
        <v>84</v>
      </c>
      <c r="I176">
        <f t="shared" ref="I176" si="505">J174</f>
        <v>0.21114787200150625</v>
      </c>
      <c r="J176">
        <f t="shared" ref="J176" si="506">$E$3*I176*(1-I176)</f>
        <v>0.66625779260296714</v>
      </c>
      <c r="L176">
        <v>1.69</v>
      </c>
      <c r="M176">
        <v>0.40828402366863903</v>
      </c>
      <c r="N176">
        <v>0.40828402366863903</v>
      </c>
      <c r="O176">
        <v>0.40828402366863903</v>
      </c>
      <c r="P176">
        <v>0.40828402366863903</v>
      </c>
      <c r="Q176">
        <v>0.40828402366863903</v>
      </c>
      <c r="R176">
        <v>0.40828402366863903</v>
      </c>
      <c r="S176">
        <v>0.40828402366863903</v>
      </c>
      <c r="T176">
        <v>0.40828402366863903</v>
      </c>
      <c r="U176">
        <v>0.40828402366863903</v>
      </c>
      <c r="V176">
        <v>0.40828402366863903</v>
      </c>
      <c r="W176">
        <v>0.40828402366863903</v>
      </c>
      <c r="X176">
        <v>0.40828402366863903</v>
      </c>
      <c r="Y176">
        <v>0.40828402366863903</v>
      </c>
      <c r="Z176">
        <v>0.40828402366863903</v>
      </c>
      <c r="AA176">
        <v>0.40828402366863903</v>
      </c>
      <c r="AB176">
        <v>0.40828402366863903</v>
      </c>
      <c r="AC176">
        <v>0.40828402366863903</v>
      </c>
      <c r="AD176">
        <v>0.40828402366863903</v>
      </c>
      <c r="AE176">
        <v>0.40828402366863903</v>
      </c>
      <c r="AF176">
        <v>0.40828402366863903</v>
      </c>
      <c r="AG176">
        <v>0.40828402366863903</v>
      </c>
    </row>
    <row r="177" spans="4:33" x14ac:dyDescent="0.3">
      <c r="D177">
        <f t="shared" si="385"/>
        <v>170</v>
      </c>
      <c r="E177">
        <f t="shared" si="386"/>
        <v>0.32403106322694136</v>
      </c>
      <c r="H177">
        <f t="shared" ref="H177" si="507">H175+1</f>
        <v>85</v>
      </c>
      <c r="I177">
        <f t="shared" ref="I177" si="508">J176</f>
        <v>0.66625779260296714</v>
      </c>
      <c r="J177">
        <f t="shared" ref="J177" si="509">I177</f>
        <v>0.66625779260296714</v>
      </c>
      <c r="L177">
        <v>1.7</v>
      </c>
      <c r="M177">
        <v>0.41176470588235292</v>
      </c>
      <c r="N177">
        <v>0.41176470588235292</v>
      </c>
      <c r="O177">
        <v>0.41176470588235292</v>
      </c>
      <c r="P177">
        <v>0.41176470588235292</v>
      </c>
      <c r="Q177">
        <v>0.41176470588235292</v>
      </c>
      <c r="R177">
        <v>0.41176470588235292</v>
      </c>
      <c r="S177">
        <v>0.41176470588235292</v>
      </c>
      <c r="T177">
        <v>0.41176470588235292</v>
      </c>
      <c r="U177">
        <v>0.41176470588235292</v>
      </c>
      <c r="V177">
        <v>0.41176470588235292</v>
      </c>
      <c r="W177">
        <v>0.41176470588235292</v>
      </c>
      <c r="X177">
        <v>0.41176470588235292</v>
      </c>
      <c r="Y177">
        <v>0.41176470588235292</v>
      </c>
      <c r="Z177">
        <v>0.41176470588235292</v>
      </c>
      <c r="AA177">
        <v>0.41176470588235292</v>
      </c>
      <c r="AB177">
        <v>0.41176470588235292</v>
      </c>
      <c r="AC177">
        <v>0.41176470588235292</v>
      </c>
      <c r="AD177">
        <v>0.41176470588235292</v>
      </c>
      <c r="AE177">
        <v>0.41176470588235292</v>
      </c>
      <c r="AF177">
        <v>0.41176470588235292</v>
      </c>
      <c r="AG177">
        <v>0.41176470588235292</v>
      </c>
    </row>
    <row r="178" spans="4:33" x14ac:dyDescent="0.3">
      <c r="D178">
        <f t="shared" si="385"/>
        <v>171</v>
      </c>
      <c r="E178">
        <f t="shared" si="386"/>
        <v>0.87613973316383709</v>
      </c>
      <c r="H178">
        <f t="shared" ref="H178" si="510">H175+1</f>
        <v>85</v>
      </c>
      <c r="I178">
        <f t="shared" ref="I178" si="511">J176</f>
        <v>0.66625779260296714</v>
      </c>
      <c r="J178">
        <f t="shared" ref="J178" si="512">$E$3*I178*(1-I178)</f>
        <v>0.88943338559515506</v>
      </c>
      <c r="L178">
        <v>1.71</v>
      </c>
      <c r="M178">
        <v>0.41520467836257308</v>
      </c>
      <c r="N178">
        <v>0.41520467836257308</v>
      </c>
      <c r="O178">
        <v>0.41520467836257308</v>
      </c>
      <c r="P178">
        <v>0.41520467836257308</v>
      </c>
      <c r="Q178">
        <v>0.41520467836257308</v>
      </c>
      <c r="R178">
        <v>0.41520467836257308</v>
      </c>
      <c r="S178">
        <v>0.41520467836257308</v>
      </c>
      <c r="T178">
        <v>0.41520467836257308</v>
      </c>
      <c r="U178">
        <v>0.41520467836257308</v>
      </c>
      <c r="V178">
        <v>0.41520467836257308</v>
      </c>
      <c r="W178">
        <v>0.41520467836257308</v>
      </c>
      <c r="X178">
        <v>0.41520467836257308</v>
      </c>
      <c r="Y178">
        <v>0.41520467836257308</v>
      </c>
      <c r="Z178">
        <v>0.41520467836257308</v>
      </c>
      <c r="AA178">
        <v>0.41520467836257308</v>
      </c>
      <c r="AB178">
        <v>0.41520467836257308</v>
      </c>
      <c r="AC178">
        <v>0.41520467836257308</v>
      </c>
      <c r="AD178">
        <v>0.41520467836257308</v>
      </c>
      <c r="AE178">
        <v>0.41520467836257308</v>
      </c>
      <c r="AF178">
        <v>0.41520467836257308</v>
      </c>
      <c r="AG178">
        <v>0.41520467836257308</v>
      </c>
    </row>
    <row r="179" spans="4:33" x14ac:dyDescent="0.3">
      <c r="D179">
        <f t="shared" si="385"/>
        <v>172</v>
      </c>
      <c r="E179">
        <f t="shared" si="386"/>
        <v>0.43407560454174976</v>
      </c>
      <c r="H179">
        <f t="shared" ref="H179" si="513">H177+1</f>
        <v>86</v>
      </c>
      <c r="I179">
        <f t="shared" ref="I179" si="514">J178</f>
        <v>0.88943338559515506</v>
      </c>
      <c r="J179">
        <f t="shared" ref="J179" si="515">I179</f>
        <v>0.88943338559515506</v>
      </c>
      <c r="L179">
        <v>1.72</v>
      </c>
      <c r="M179">
        <v>0.41860465116279061</v>
      </c>
      <c r="N179">
        <v>0.41860465116279072</v>
      </c>
      <c r="O179">
        <v>0.41860465116279061</v>
      </c>
      <c r="P179">
        <v>0.41860465116279072</v>
      </c>
      <c r="Q179">
        <v>0.41860465116279061</v>
      </c>
      <c r="R179">
        <v>0.41860465116279072</v>
      </c>
      <c r="S179">
        <v>0.41860465116279061</v>
      </c>
      <c r="T179">
        <v>0.41860465116279072</v>
      </c>
      <c r="U179">
        <v>0.41860465116279061</v>
      </c>
      <c r="V179">
        <v>0.41860465116279072</v>
      </c>
      <c r="W179">
        <v>0.41860465116279061</v>
      </c>
      <c r="X179">
        <v>0.41860465116279072</v>
      </c>
      <c r="Y179">
        <v>0.41860465116279061</v>
      </c>
      <c r="Z179">
        <v>0.41860465116279072</v>
      </c>
      <c r="AA179">
        <v>0.41860465116279061</v>
      </c>
      <c r="AB179">
        <v>0.41860465116279072</v>
      </c>
      <c r="AC179">
        <v>0.41860465116279061</v>
      </c>
      <c r="AD179">
        <v>0.41860465116279072</v>
      </c>
      <c r="AE179">
        <v>0.41860465116279061</v>
      </c>
      <c r="AF179">
        <v>0.41860465116279072</v>
      </c>
      <c r="AG179">
        <v>0.41860465116279061</v>
      </c>
    </row>
    <row r="180" spans="4:33" x14ac:dyDescent="0.3">
      <c r="D180">
        <f t="shared" si="385"/>
        <v>173</v>
      </c>
      <c r="E180">
        <f t="shared" si="386"/>
        <v>0.98261589633385693</v>
      </c>
      <c r="H180">
        <f t="shared" ref="H180" si="516">H177+1</f>
        <v>86</v>
      </c>
      <c r="I180">
        <f t="shared" ref="I180" si="517">J178</f>
        <v>0.88943338559515506</v>
      </c>
      <c r="J180">
        <f t="shared" ref="J180" si="518">$E$3*I180*(1-I180)</f>
        <v>0.39336655273558113</v>
      </c>
      <c r="L180">
        <v>1.73</v>
      </c>
      <c r="M180">
        <v>0.4219653179190751</v>
      </c>
      <c r="N180">
        <v>0.4219653179190751</v>
      </c>
      <c r="O180">
        <v>0.4219653179190751</v>
      </c>
      <c r="P180">
        <v>0.4219653179190751</v>
      </c>
      <c r="Q180">
        <v>0.4219653179190751</v>
      </c>
      <c r="R180">
        <v>0.4219653179190751</v>
      </c>
      <c r="S180">
        <v>0.4219653179190751</v>
      </c>
      <c r="T180">
        <v>0.4219653179190751</v>
      </c>
      <c r="U180">
        <v>0.4219653179190751</v>
      </c>
      <c r="V180">
        <v>0.4219653179190751</v>
      </c>
      <c r="W180">
        <v>0.4219653179190751</v>
      </c>
      <c r="X180">
        <v>0.4219653179190751</v>
      </c>
      <c r="Y180">
        <v>0.4219653179190751</v>
      </c>
      <c r="Z180">
        <v>0.4219653179190751</v>
      </c>
      <c r="AA180">
        <v>0.4219653179190751</v>
      </c>
      <c r="AB180">
        <v>0.4219653179190751</v>
      </c>
      <c r="AC180">
        <v>0.4219653179190751</v>
      </c>
      <c r="AD180">
        <v>0.4219653179190751</v>
      </c>
      <c r="AE180">
        <v>0.4219653179190751</v>
      </c>
      <c r="AF180">
        <v>0.4219653179190751</v>
      </c>
      <c r="AG180">
        <v>0.4219653179190751</v>
      </c>
    </row>
    <row r="181" spans="4:33" x14ac:dyDescent="0.3">
      <c r="D181">
        <f t="shared" si="385"/>
        <v>174</v>
      </c>
      <c r="E181">
        <f t="shared" si="386"/>
        <v>6.8327586423471448E-2</v>
      </c>
      <c r="H181">
        <f t="shared" ref="H181" si="519">H179+1</f>
        <v>87</v>
      </c>
      <c r="I181">
        <f t="shared" ref="I181" si="520">J180</f>
        <v>0.39336655273558113</v>
      </c>
      <c r="J181">
        <f t="shared" ref="J181" si="521">I181</f>
        <v>0.39336655273558113</v>
      </c>
      <c r="L181">
        <v>1.74</v>
      </c>
      <c r="M181">
        <v>0.42528735632183906</v>
      </c>
      <c r="N181">
        <v>0.42528735632183906</v>
      </c>
      <c r="O181">
        <v>0.42528735632183906</v>
      </c>
      <c r="P181">
        <v>0.42528735632183906</v>
      </c>
      <c r="Q181">
        <v>0.42528735632183906</v>
      </c>
      <c r="R181">
        <v>0.42528735632183906</v>
      </c>
      <c r="S181">
        <v>0.42528735632183906</v>
      </c>
      <c r="T181">
        <v>0.42528735632183906</v>
      </c>
      <c r="U181">
        <v>0.42528735632183906</v>
      </c>
      <c r="V181">
        <v>0.42528735632183906</v>
      </c>
      <c r="W181">
        <v>0.42528735632183906</v>
      </c>
      <c r="X181">
        <v>0.42528735632183906</v>
      </c>
      <c r="Y181">
        <v>0.42528735632183906</v>
      </c>
      <c r="Z181">
        <v>0.42528735632183906</v>
      </c>
      <c r="AA181">
        <v>0.42528735632183906</v>
      </c>
      <c r="AB181">
        <v>0.42528735632183906</v>
      </c>
      <c r="AC181">
        <v>0.42528735632183906</v>
      </c>
      <c r="AD181">
        <v>0.42528735632183906</v>
      </c>
      <c r="AE181">
        <v>0.42528735632183906</v>
      </c>
      <c r="AF181">
        <v>0.42528735632183906</v>
      </c>
      <c r="AG181">
        <v>0.42528735632183906</v>
      </c>
    </row>
    <row r="182" spans="4:33" x14ac:dyDescent="0.3">
      <c r="D182">
        <f t="shared" si="385"/>
        <v>175</v>
      </c>
      <c r="E182">
        <f t="shared" si="386"/>
        <v>0.25463570942805797</v>
      </c>
      <c r="H182">
        <f t="shared" ref="H182" si="522">H179+1</f>
        <v>87</v>
      </c>
      <c r="I182">
        <f t="shared" ref="I182" si="523">J180</f>
        <v>0.39336655273558113</v>
      </c>
      <c r="J182">
        <f t="shared" ref="J182" si="524">$E$3*I182*(1-I182)</f>
        <v>0.95451723169802549</v>
      </c>
      <c r="L182">
        <v>1.75</v>
      </c>
      <c r="M182">
        <v>0.42857142857142855</v>
      </c>
      <c r="N182">
        <v>0.42857142857142855</v>
      </c>
      <c r="O182">
        <v>0.42857142857142855</v>
      </c>
      <c r="P182">
        <v>0.42857142857142855</v>
      </c>
      <c r="Q182">
        <v>0.42857142857142855</v>
      </c>
      <c r="R182">
        <v>0.42857142857142855</v>
      </c>
      <c r="S182">
        <v>0.42857142857142855</v>
      </c>
      <c r="T182">
        <v>0.42857142857142855</v>
      </c>
      <c r="U182">
        <v>0.42857142857142855</v>
      </c>
      <c r="V182">
        <v>0.42857142857142855</v>
      </c>
      <c r="W182">
        <v>0.42857142857142855</v>
      </c>
      <c r="X182">
        <v>0.42857142857142855</v>
      </c>
      <c r="Y182">
        <v>0.42857142857142855</v>
      </c>
      <c r="Z182">
        <v>0.42857142857142855</v>
      </c>
      <c r="AA182">
        <v>0.42857142857142855</v>
      </c>
      <c r="AB182">
        <v>0.42857142857142855</v>
      </c>
      <c r="AC182">
        <v>0.42857142857142855</v>
      </c>
      <c r="AD182">
        <v>0.42857142857142855</v>
      </c>
      <c r="AE182">
        <v>0.42857142857142855</v>
      </c>
      <c r="AF182">
        <v>0.42857142857142855</v>
      </c>
      <c r="AG182">
        <v>0.42857142857142855</v>
      </c>
    </row>
    <row r="183" spans="4:33" x14ac:dyDescent="0.3">
      <c r="D183">
        <f t="shared" si="385"/>
        <v>176</v>
      </c>
      <c r="E183">
        <f t="shared" si="386"/>
        <v>0.75918545964851036</v>
      </c>
      <c r="H183">
        <f t="shared" ref="H183" si="525">H181+1</f>
        <v>88</v>
      </c>
      <c r="I183">
        <f t="shared" ref="I183" si="526">J182</f>
        <v>0.95451723169802549</v>
      </c>
      <c r="J183">
        <f t="shared" ref="J183" si="527">I183</f>
        <v>0.95451723169802549</v>
      </c>
      <c r="L183">
        <v>1.76</v>
      </c>
      <c r="M183">
        <v>0.43181818181818177</v>
      </c>
      <c r="N183">
        <v>0.43181818181818182</v>
      </c>
      <c r="O183">
        <v>0.43181818181818177</v>
      </c>
      <c r="P183">
        <v>0.43181818181818182</v>
      </c>
      <c r="Q183">
        <v>0.43181818181818177</v>
      </c>
      <c r="R183">
        <v>0.43181818181818182</v>
      </c>
      <c r="S183">
        <v>0.43181818181818177</v>
      </c>
      <c r="T183">
        <v>0.43181818181818182</v>
      </c>
      <c r="U183">
        <v>0.43181818181818177</v>
      </c>
      <c r="V183">
        <v>0.43181818181818182</v>
      </c>
      <c r="W183">
        <v>0.43181818181818177</v>
      </c>
      <c r="X183">
        <v>0.43181818181818182</v>
      </c>
      <c r="Y183">
        <v>0.43181818181818177</v>
      </c>
      <c r="Z183">
        <v>0.43181818181818182</v>
      </c>
      <c r="AA183">
        <v>0.43181818181818177</v>
      </c>
      <c r="AB183">
        <v>0.43181818181818182</v>
      </c>
      <c r="AC183">
        <v>0.43181818181818177</v>
      </c>
      <c r="AD183">
        <v>0.43181818181818182</v>
      </c>
      <c r="AE183">
        <v>0.43181818181818177</v>
      </c>
      <c r="AF183">
        <v>0.43181818181818182</v>
      </c>
      <c r="AG183">
        <v>0.43181818181818177</v>
      </c>
    </row>
    <row r="184" spans="4:33" x14ac:dyDescent="0.3">
      <c r="D184">
        <f t="shared" si="385"/>
        <v>177</v>
      </c>
      <c r="E184">
        <f t="shared" si="386"/>
        <v>0.7312915900271616</v>
      </c>
      <c r="H184">
        <f t="shared" ref="H184" si="528">H181+1</f>
        <v>88</v>
      </c>
      <c r="I184">
        <f t="shared" ref="I184" si="529">J182</f>
        <v>0.95451723169802549</v>
      </c>
      <c r="J184">
        <f t="shared" ref="J184" si="530">$E$3*I184*(1-I184)</f>
        <v>0.17365634435825364</v>
      </c>
      <c r="L184">
        <v>1.77</v>
      </c>
      <c r="M184">
        <v>0.43502824858757061</v>
      </c>
      <c r="N184">
        <v>0.43502824858757067</v>
      </c>
      <c r="O184">
        <v>0.43502824858757061</v>
      </c>
      <c r="P184">
        <v>0.43502824858757067</v>
      </c>
      <c r="Q184">
        <v>0.43502824858757061</v>
      </c>
      <c r="R184">
        <v>0.43502824858757067</v>
      </c>
      <c r="S184">
        <v>0.43502824858757061</v>
      </c>
      <c r="T184">
        <v>0.43502824858757067</v>
      </c>
      <c r="U184">
        <v>0.43502824858757061</v>
      </c>
      <c r="V184">
        <v>0.43502824858757067</v>
      </c>
      <c r="W184">
        <v>0.43502824858757061</v>
      </c>
      <c r="X184">
        <v>0.43502824858757067</v>
      </c>
      <c r="Y184">
        <v>0.43502824858757061</v>
      </c>
      <c r="Z184">
        <v>0.43502824858757067</v>
      </c>
      <c r="AA184">
        <v>0.43502824858757061</v>
      </c>
      <c r="AB184">
        <v>0.43502824858757067</v>
      </c>
      <c r="AC184">
        <v>0.43502824858757061</v>
      </c>
      <c r="AD184">
        <v>0.43502824858757067</v>
      </c>
      <c r="AE184">
        <v>0.43502824858757061</v>
      </c>
      <c r="AF184">
        <v>0.43502824858757067</v>
      </c>
      <c r="AG184">
        <v>0.43502824858757061</v>
      </c>
    </row>
    <row r="185" spans="4:33" x14ac:dyDescent="0.3">
      <c r="D185">
        <f t="shared" si="385"/>
        <v>178</v>
      </c>
      <c r="E185">
        <f t="shared" si="386"/>
        <v>0.78601680153082965</v>
      </c>
      <c r="H185">
        <f t="shared" ref="H185" si="531">H183+1</f>
        <v>89</v>
      </c>
      <c r="I185">
        <f t="shared" ref="I185" si="532">J184</f>
        <v>0.17365634435825364</v>
      </c>
      <c r="J185">
        <f t="shared" ref="J185" si="533">I185</f>
        <v>0.17365634435825364</v>
      </c>
      <c r="L185">
        <v>1.78</v>
      </c>
      <c r="M185">
        <v>0.4382022471910112</v>
      </c>
      <c r="N185">
        <v>0.4382022471910112</v>
      </c>
      <c r="O185">
        <v>0.4382022471910112</v>
      </c>
      <c r="P185">
        <v>0.4382022471910112</v>
      </c>
      <c r="Q185">
        <v>0.4382022471910112</v>
      </c>
      <c r="R185">
        <v>0.4382022471910112</v>
      </c>
      <c r="S185">
        <v>0.4382022471910112</v>
      </c>
      <c r="T185">
        <v>0.4382022471910112</v>
      </c>
      <c r="U185">
        <v>0.4382022471910112</v>
      </c>
      <c r="V185">
        <v>0.4382022471910112</v>
      </c>
      <c r="W185">
        <v>0.4382022471910112</v>
      </c>
      <c r="X185">
        <v>0.4382022471910112</v>
      </c>
      <c r="Y185">
        <v>0.4382022471910112</v>
      </c>
      <c r="Z185">
        <v>0.4382022471910112</v>
      </c>
      <c r="AA185">
        <v>0.4382022471910112</v>
      </c>
      <c r="AB185">
        <v>0.4382022471910112</v>
      </c>
      <c r="AC185">
        <v>0.4382022471910112</v>
      </c>
      <c r="AD185">
        <v>0.4382022471910112</v>
      </c>
      <c r="AE185">
        <v>0.4382022471910112</v>
      </c>
      <c r="AF185">
        <v>0.4382022471910112</v>
      </c>
      <c r="AG185">
        <v>0.4382022471910112</v>
      </c>
    </row>
    <row r="186" spans="4:33" x14ac:dyDescent="0.3">
      <c r="D186">
        <f t="shared" si="385"/>
        <v>179</v>
      </c>
      <c r="E186">
        <f t="shared" si="386"/>
        <v>0.672777556968296</v>
      </c>
      <c r="H186">
        <f t="shared" ref="H186" si="534">H183+1</f>
        <v>89</v>
      </c>
      <c r="I186">
        <f t="shared" ref="I186" si="535">J184</f>
        <v>0.17365634435825364</v>
      </c>
      <c r="J186">
        <f t="shared" ref="J186" si="536">$E$3*I186*(1-I186)</f>
        <v>0.57399927368952508</v>
      </c>
      <c r="L186">
        <v>1.79</v>
      </c>
      <c r="M186">
        <v>0.44134078212290501</v>
      </c>
      <c r="N186">
        <v>0.44134078212290506</v>
      </c>
      <c r="O186">
        <v>0.44134078212290501</v>
      </c>
      <c r="P186">
        <v>0.44134078212290506</v>
      </c>
      <c r="Q186">
        <v>0.44134078212290501</v>
      </c>
      <c r="R186">
        <v>0.44134078212290506</v>
      </c>
      <c r="S186">
        <v>0.44134078212290501</v>
      </c>
      <c r="T186">
        <v>0.44134078212290506</v>
      </c>
      <c r="U186">
        <v>0.44134078212290501</v>
      </c>
      <c r="V186">
        <v>0.44134078212290506</v>
      </c>
      <c r="W186">
        <v>0.44134078212290501</v>
      </c>
      <c r="X186">
        <v>0.44134078212290506</v>
      </c>
      <c r="Y186">
        <v>0.44134078212290501</v>
      </c>
      <c r="Z186">
        <v>0.44134078212290506</v>
      </c>
      <c r="AA186">
        <v>0.44134078212290501</v>
      </c>
      <c r="AB186">
        <v>0.44134078212290506</v>
      </c>
      <c r="AC186">
        <v>0.44134078212290501</v>
      </c>
      <c r="AD186">
        <v>0.44134078212290506</v>
      </c>
      <c r="AE186">
        <v>0.44134078212290501</v>
      </c>
      <c r="AF186">
        <v>0.44134078212290506</v>
      </c>
      <c r="AG186">
        <v>0.44134078212290501</v>
      </c>
    </row>
    <row r="187" spans="4:33" x14ac:dyDescent="0.3">
      <c r="D187">
        <f t="shared" si="385"/>
        <v>180</v>
      </c>
      <c r="E187">
        <f t="shared" si="386"/>
        <v>0.8805916632322689</v>
      </c>
      <c r="H187">
        <f t="shared" ref="H187" si="537">H185+1</f>
        <v>90</v>
      </c>
      <c r="I187">
        <f t="shared" ref="I187" si="538">J186</f>
        <v>0.57399927368952508</v>
      </c>
      <c r="J187">
        <f t="shared" ref="J187" si="539">I187</f>
        <v>0.57399927368952508</v>
      </c>
      <c r="L187">
        <v>1.8</v>
      </c>
      <c r="M187">
        <v>0.44444444444444448</v>
      </c>
      <c r="N187">
        <v>0.44444444444444448</v>
      </c>
      <c r="O187">
        <v>0.44444444444444448</v>
      </c>
      <c r="P187">
        <v>0.44444444444444448</v>
      </c>
      <c r="Q187">
        <v>0.44444444444444448</v>
      </c>
      <c r="R187">
        <v>0.44444444444444448</v>
      </c>
      <c r="S187">
        <v>0.44444444444444448</v>
      </c>
      <c r="T187">
        <v>0.44444444444444448</v>
      </c>
      <c r="U187">
        <v>0.44444444444444448</v>
      </c>
      <c r="V187">
        <v>0.44444444444444448</v>
      </c>
      <c r="W187">
        <v>0.44444444444444448</v>
      </c>
      <c r="X187">
        <v>0.44444444444444448</v>
      </c>
      <c r="Y187">
        <v>0.44444444444444448</v>
      </c>
      <c r="Z187">
        <v>0.44444444444444448</v>
      </c>
      <c r="AA187">
        <v>0.44444444444444448</v>
      </c>
      <c r="AB187">
        <v>0.44444444444444448</v>
      </c>
      <c r="AC187">
        <v>0.44444444444444448</v>
      </c>
      <c r="AD187">
        <v>0.44444444444444448</v>
      </c>
      <c r="AE187">
        <v>0.44444444444444448</v>
      </c>
      <c r="AF187">
        <v>0.44444444444444448</v>
      </c>
      <c r="AG187">
        <v>0.44444444444444448</v>
      </c>
    </row>
    <row r="188" spans="4:33" x14ac:dyDescent="0.3">
      <c r="D188">
        <f t="shared" si="385"/>
        <v>181</v>
      </c>
      <c r="E188">
        <f t="shared" si="386"/>
        <v>0.42059994351238089</v>
      </c>
      <c r="H188">
        <f t="shared" ref="H188" si="540">H185+1</f>
        <v>90</v>
      </c>
      <c r="I188">
        <f t="shared" ref="I188" si="541">J186</f>
        <v>0.57399927368952508</v>
      </c>
      <c r="J188">
        <f t="shared" ref="J188" si="542">$E$3*I188*(1-I188)</f>
        <v>0.97809642997369106</v>
      </c>
      <c r="L188">
        <v>1.81</v>
      </c>
      <c r="M188">
        <v>0.4475138121546961</v>
      </c>
      <c r="N188">
        <v>0.4475138121546961</v>
      </c>
      <c r="O188">
        <v>0.4475138121546961</v>
      </c>
      <c r="P188">
        <v>0.4475138121546961</v>
      </c>
      <c r="Q188">
        <v>0.4475138121546961</v>
      </c>
      <c r="R188">
        <v>0.4475138121546961</v>
      </c>
      <c r="S188">
        <v>0.4475138121546961</v>
      </c>
      <c r="T188">
        <v>0.4475138121546961</v>
      </c>
      <c r="U188">
        <v>0.4475138121546961</v>
      </c>
      <c r="V188">
        <v>0.4475138121546961</v>
      </c>
      <c r="W188">
        <v>0.4475138121546961</v>
      </c>
      <c r="X188">
        <v>0.4475138121546961</v>
      </c>
      <c r="Y188">
        <v>0.4475138121546961</v>
      </c>
      <c r="Z188">
        <v>0.4475138121546961</v>
      </c>
      <c r="AA188">
        <v>0.4475138121546961</v>
      </c>
      <c r="AB188">
        <v>0.4475138121546961</v>
      </c>
      <c r="AC188">
        <v>0.4475138121546961</v>
      </c>
      <c r="AD188">
        <v>0.4475138121546961</v>
      </c>
      <c r="AE188">
        <v>0.4475138121546961</v>
      </c>
      <c r="AF188">
        <v>0.4475138121546961</v>
      </c>
      <c r="AG188">
        <v>0.4475138121546961</v>
      </c>
    </row>
    <row r="189" spans="4:33" x14ac:dyDescent="0.3">
      <c r="D189">
        <f t="shared" si="385"/>
        <v>182</v>
      </c>
      <c r="E189">
        <f t="shared" si="386"/>
        <v>0.97478252411905164</v>
      </c>
      <c r="H189">
        <f t="shared" ref="H189" si="543">H187+1</f>
        <v>91</v>
      </c>
      <c r="I189">
        <f t="shared" ref="I189" si="544">J188</f>
        <v>0.97809642997369106</v>
      </c>
      <c r="J189">
        <f t="shared" ref="J189" si="545">I189</f>
        <v>0.97809642997369106</v>
      </c>
      <c r="L189">
        <v>1.82</v>
      </c>
      <c r="M189">
        <v>0.45054945054945061</v>
      </c>
      <c r="N189">
        <v>0.45054945054945061</v>
      </c>
      <c r="O189">
        <v>0.45054945054945061</v>
      </c>
      <c r="P189">
        <v>0.45054945054945061</v>
      </c>
      <c r="Q189">
        <v>0.45054945054945061</v>
      </c>
      <c r="R189">
        <v>0.45054945054945061</v>
      </c>
      <c r="S189">
        <v>0.45054945054945061</v>
      </c>
      <c r="T189">
        <v>0.45054945054945061</v>
      </c>
      <c r="U189">
        <v>0.45054945054945061</v>
      </c>
      <c r="V189">
        <v>0.45054945054945061</v>
      </c>
      <c r="W189">
        <v>0.45054945054945061</v>
      </c>
      <c r="X189">
        <v>0.45054945054945061</v>
      </c>
      <c r="Y189">
        <v>0.45054945054945061</v>
      </c>
      <c r="Z189">
        <v>0.45054945054945061</v>
      </c>
      <c r="AA189">
        <v>0.45054945054945061</v>
      </c>
      <c r="AB189">
        <v>0.45054945054945061</v>
      </c>
      <c r="AC189">
        <v>0.45054945054945061</v>
      </c>
      <c r="AD189">
        <v>0.45054945054945061</v>
      </c>
      <c r="AE189">
        <v>0.45054945054945061</v>
      </c>
      <c r="AF189">
        <v>0.45054945054945061</v>
      </c>
      <c r="AG189">
        <v>0.45054945054945061</v>
      </c>
    </row>
    <row r="190" spans="4:33" x14ac:dyDescent="0.3">
      <c r="D190">
        <f t="shared" si="385"/>
        <v>183</v>
      </c>
      <c r="E190">
        <f t="shared" si="386"/>
        <v>9.8326219164568587E-2</v>
      </c>
      <c r="H190">
        <f t="shared" ref="H190" si="546">H187+1</f>
        <v>91</v>
      </c>
      <c r="I190">
        <f t="shared" ref="I190" si="547">J188</f>
        <v>0.97809642997369106</v>
      </c>
      <c r="J190">
        <f t="shared" ref="J190" si="548">$E$3*I190*(1-I190)</f>
        <v>8.5695214585646079E-2</v>
      </c>
      <c r="L190">
        <v>1.83</v>
      </c>
      <c r="M190">
        <v>0.45355191256830601</v>
      </c>
      <c r="N190">
        <v>0.45355191256830601</v>
      </c>
      <c r="O190">
        <v>0.45355191256830601</v>
      </c>
      <c r="P190">
        <v>0.45355191256830601</v>
      </c>
      <c r="Q190">
        <v>0.45355191256830601</v>
      </c>
      <c r="R190">
        <v>0.45355191256830601</v>
      </c>
      <c r="S190">
        <v>0.45355191256830601</v>
      </c>
      <c r="T190">
        <v>0.45355191256830601</v>
      </c>
      <c r="U190">
        <v>0.45355191256830601</v>
      </c>
      <c r="V190">
        <v>0.45355191256830601</v>
      </c>
      <c r="W190">
        <v>0.45355191256830601</v>
      </c>
      <c r="X190">
        <v>0.45355191256830601</v>
      </c>
      <c r="Y190">
        <v>0.45355191256830601</v>
      </c>
      <c r="Z190">
        <v>0.45355191256830601</v>
      </c>
      <c r="AA190">
        <v>0.45355191256830601</v>
      </c>
      <c r="AB190">
        <v>0.45355191256830601</v>
      </c>
      <c r="AC190">
        <v>0.45355191256830601</v>
      </c>
      <c r="AD190">
        <v>0.45355191256830601</v>
      </c>
      <c r="AE190">
        <v>0.45355191256830601</v>
      </c>
      <c r="AF190">
        <v>0.45355191256830601</v>
      </c>
      <c r="AG190">
        <v>0.45355191256830601</v>
      </c>
    </row>
    <row r="191" spans="4:33" x14ac:dyDescent="0.3">
      <c r="D191">
        <f t="shared" si="385"/>
        <v>184</v>
      </c>
      <c r="E191">
        <f t="shared" si="386"/>
        <v>0.35463269515747925</v>
      </c>
      <c r="H191">
        <f t="shared" ref="H191" si="549">H189+1</f>
        <v>92</v>
      </c>
      <c r="I191">
        <f t="shared" ref="I191" si="550">J190</f>
        <v>8.5695214585646079E-2</v>
      </c>
      <c r="J191">
        <f t="shared" ref="J191" si="551">I191</f>
        <v>8.5695214585646079E-2</v>
      </c>
      <c r="L191">
        <v>1.84</v>
      </c>
      <c r="M191">
        <v>0.45652173913043476</v>
      </c>
      <c r="N191">
        <v>0.45652173913043476</v>
      </c>
      <c r="O191">
        <v>0.45652173913043476</v>
      </c>
      <c r="P191">
        <v>0.45652173913043476</v>
      </c>
      <c r="Q191">
        <v>0.45652173913043476</v>
      </c>
      <c r="R191">
        <v>0.45652173913043476</v>
      </c>
      <c r="S191">
        <v>0.45652173913043476</v>
      </c>
      <c r="T191">
        <v>0.45652173913043476</v>
      </c>
      <c r="U191">
        <v>0.45652173913043476</v>
      </c>
      <c r="V191">
        <v>0.45652173913043476</v>
      </c>
      <c r="W191">
        <v>0.45652173913043476</v>
      </c>
      <c r="X191">
        <v>0.45652173913043476</v>
      </c>
      <c r="Y191">
        <v>0.45652173913043476</v>
      </c>
      <c r="Z191">
        <v>0.45652173913043476</v>
      </c>
      <c r="AA191">
        <v>0.45652173913043476</v>
      </c>
      <c r="AB191">
        <v>0.45652173913043476</v>
      </c>
      <c r="AC191">
        <v>0.45652173913043476</v>
      </c>
      <c r="AD191">
        <v>0.45652173913043476</v>
      </c>
      <c r="AE191">
        <v>0.45652173913043476</v>
      </c>
      <c r="AF191">
        <v>0.45652173913043476</v>
      </c>
      <c r="AG191">
        <v>0.45652173913043476</v>
      </c>
    </row>
    <row r="192" spans="4:33" x14ac:dyDescent="0.3">
      <c r="D192">
        <f t="shared" si="385"/>
        <v>185</v>
      </c>
      <c r="E192">
        <f t="shared" si="386"/>
        <v>0.91547338673128664</v>
      </c>
      <c r="H192">
        <f t="shared" ref="H192" si="552">H189+1</f>
        <v>92</v>
      </c>
      <c r="I192">
        <f t="shared" ref="I192" si="553">J190</f>
        <v>8.5695214585646079E-2</v>
      </c>
      <c r="J192">
        <f t="shared" ref="J192" si="554">$E$3*I192*(1-I192)</f>
        <v>0.31340617913106461</v>
      </c>
      <c r="L192">
        <v>1.85</v>
      </c>
      <c r="M192">
        <v>0.45945945945945954</v>
      </c>
      <c r="N192">
        <v>0.45945945945945948</v>
      </c>
      <c r="O192">
        <v>0.45945945945945954</v>
      </c>
      <c r="P192">
        <v>0.45945945945945948</v>
      </c>
      <c r="Q192">
        <v>0.45945945945945954</v>
      </c>
      <c r="R192">
        <v>0.45945945945945948</v>
      </c>
      <c r="S192">
        <v>0.45945945945945954</v>
      </c>
      <c r="T192">
        <v>0.45945945945945948</v>
      </c>
      <c r="U192">
        <v>0.45945945945945954</v>
      </c>
      <c r="V192">
        <v>0.45945945945945948</v>
      </c>
      <c r="W192">
        <v>0.45945945945945954</v>
      </c>
      <c r="X192">
        <v>0.45945945945945948</v>
      </c>
      <c r="Y192">
        <v>0.45945945945945954</v>
      </c>
      <c r="Z192">
        <v>0.45945945945945948</v>
      </c>
      <c r="AA192">
        <v>0.45945945945945954</v>
      </c>
      <c r="AB192">
        <v>0.45945945945945948</v>
      </c>
      <c r="AC192">
        <v>0.45945945945945954</v>
      </c>
      <c r="AD192">
        <v>0.45945945945945948</v>
      </c>
      <c r="AE192">
        <v>0.45945945945945954</v>
      </c>
      <c r="AF192">
        <v>0.45945945945945948</v>
      </c>
      <c r="AG192">
        <v>0.45945945945945954</v>
      </c>
    </row>
    <row r="193" spans="4:33" x14ac:dyDescent="0.3">
      <c r="D193">
        <f t="shared" si="385"/>
        <v>186</v>
      </c>
      <c r="E193">
        <f t="shared" si="386"/>
        <v>0.3095274596721389</v>
      </c>
      <c r="H193">
        <f t="shared" ref="H193" si="555">H191+1</f>
        <v>93</v>
      </c>
      <c r="I193">
        <f t="shared" ref="I193" si="556">J192</f>
        <v>0.31340617913106461</v>
      </c>
      <c r="J193">
        <f t="shared" ref="J193" si="557">I193</f>
        <v>0.31340617913106461</v>
      </c>
      <c r="L193">
        <v>1.86</v>
      </c>
      <c r="M193">
        <v>0.46236559139784944</v>
      </c>
      <c r="N193">
        <v>0.46236559139784944</v>
      </c>
      <c r="O193">
        <v>0.46236559139784944</v>
      </c>
      <c r="P193">
        <v>0.46236559139784944</v>
      </c>
      <c r="Q193">
        <v>0.46236559139784944</v>
      </c>
      <c r="R193">
        <v>0.46236559139784944</v>
      </c>
      <c r="S193">
        <v>0.46236559139784944</v>
      </c>
      <c r="T193">
        <v>0.46236559139784944</v>
      </c>
      <c r="U193">
        <v>0.46236559139784944</v>
      </c>
      <c r="V193">
        <v>0.46236559139784944</v>
      </c>
      <c r="W193">
        <v>0.46236559139784944</v>
      </c>
      <c r="X193">
        <v>0.46236559139784944</v>
      </c>
      <c r="Y193">
        <v>0.46236559139784944</v>
      </c>
      <c r="Z193">
        <v>0.46236559139784944</v>
      </c>
      <c r="AA193">
        <v>0.46236559139784944</v>
      </c>
      <c r="AB193">
        <v>0.46236559139784944</v>
      </c>
      <c r="AC193">
        <v>0.46236559139784944</v>
      </c>
      <c r="AD193">
        <v>0.46236559139784944</v>
      </c>
      <c r="AE193">
        <v>0.46236559139784944</v>
      </c>
      <c r="AF193">
        <v>0.46236559139784944</v>
      </c>
      <c r="AG193">
        <v>0.46236559139784944</v>
      </c>
    </row>
    <row r="194" spans="4:33" x14ac:dyDescent="0.3">
      <c r="D194">
        <f t="shared" si="385"/>
        <v>187</v>
      </c>
      <c r="E194">
        <f t="shared" si="386"/>
        <v>0.85488084552420529</v>
      </c>
      <c r="H194">
        <f t="shared" ref="H194" si="558">H191+1</f>
        <v>93</v>
      </c>
      <c r="I194">
        <f t="shared" ref="I194" si="559">J192</f>
        <v>0.31340617913106461</v>
      </c>
      <c r="J194">
        <f t="shared" ref="J194" si="560">$E$3*I194*(1-I194)</f>
        <v>0.86073098405412662</v>
      </c>
      <c r="L194">
        <v>1.87</v>
      </c>
      <c r="M194">
        <v>0.46524064171122992</v>
      </c>
      <c r="N194">
        <v>0.46524064171122997</v>
      </c>
      <c r="O194">
        <v>0.46524064171122992</v>
      </c>
      <c r="P194">
        <v>0.46524064171122997</v>
      </c>
      <c r="Q194">
        <v>0.46524064171122992</v>
      </c>
      <c r="R194">
        <v>0.46524064171122997</v>
      </c>
      <c r="S194">
        <v>0.46524064171122992</v>
      </c>
      <c r="T194">
        <v>0.46524064171122997</v>
      </c>
      <c r="U194">
        <v>0.46524064171122992</v>
      </c>
      <c r="V194">
        <v>0.46524064171122997</v>
      </c>
      <c r="W194">
        <v>0.46524064171122992</v>
      </c>
      <c r="X194">
        <v>0.46524064171122997</v>
      </c>
      <c r="Y194">
        <v>0.46524064171122992</v>
      </c>
      <c r="Z194">
        <v>0.46524064171122997</v>
      </c>
      <c r="AA194">
        <v>0.46524064171122992</v>
      </c>
      <c r="AB194">
        <v>0.46524064171122997</v>
      </c>
      <c r="AC194">
        <v>0.46524064171122992</v>
      </c>
      <c r="AD194">
        <v>0.46524064171122997</v>
      </c>
      <c r="AE194">
        <v>0.46524064171122992</v>
      </c>
      <c r="AF194">
        <v>0.46524064171122997</v>
      </c>
      <c r="AG194">
        <v>0.46524064171122992</v>
      </c>
    </row>
    <row r="195" spans="4:33" x14ac:dyDescent="0.3">
      <c r="D195">
        <f t="shared" si="385"/>
        <v>188</v>
      </c>
      <c r="E195">
        <f t="shared" si="386"/>
        <v>0.49623834192010058</v>
      </c>
      <c r="H195">
        <f t="shared" ref="H195" si="561">H193+1</f>
        <v>94</v>
      </c>
      <c r="I195">
        <f t="shared" ref="I195" si="562">J194</f>
        <v>0.86073098405412662</v>
      </c>
      <c r="J195">
        <f t="shared" ref="J195" si="563">I195</f>
        <v>0.86073098405412662</v>
      </c>
      <c r="L195">
        <v>1.88</v>
      </c>
      <c r="M195">
        <v>0.46808510638297868</v>
      </c>
      <c r="N195">
        <v>0.46808510638297868</v>
      </c>
      <c r="O195">
        <v>0.46808510638297868</v>
      </c>
      <c r="P195">
        <v>0.46808510638297868</v>
      </c>
      <c r="Q195">
        <v>0.46808510638297868</v>
      </c>
      <c r="R195">
        <v>0.46808510638297868</v>
      </c>
      <c r="S195">
        <v>0.46808510638297868</v>
      </c>
      <c r="T195">
        <v>0.46808510638297868</v>
      </c>
      <c r="U195">
        <v>0.46808510638297868</v>
      </c>
      <c r="V195">
        <v>0.46808510638297868</v>
      </c>
      <c r="W195">
        <v>0.46808510638297868</v>
      </c>
      <c r="X195">
        <v>0.46808510638297868</v>
      </c>
      <c r="Y195">
        <v>0.46808510638297868</v>
      </c>
      <c r="Z195">
        <v>0.46808510638297868</v>
      </c>
      <c r="AA195">
        <v>0.46808510638297868</v>
      </c>
      <c r="AB195">
        <v>0.46808510638297868</v>
      </c>
      <c r="AC195">
        <v>0.46808510638297868</v>
      </c>
      <c r="AD195">
        <v>0.46808510638297868</v>
      </c>
      <c r="AE195">
        <v>0.46808510638297868</v>
      </c>
      <c r="AF195">
        <v>0.46808510638297868</v>
      </c>
      <c r="AG195">
        <v>0.46808510638297868</v>
      </c>
    </row>
    <row r="196" spans="4:33" x14ac:dyDescent="0.3">
      <c r="D196">
        <f t="shared" si="385"/>
        <v>189</v>
      </c>
      <c r="E196">
        <f t="shared" si="386"/>
        <v>0.99994339971395962</v>
      </c>
      <c r="H196">
        <f t="shared" ref="H196" si="564">H193+1</f>
        <v>94</v>
      </c>
      <c r="I196">
        <f t="shared" ref="I196" si="565">J194</f>
        <v>0.86073098405412662</v>
      </c>
      <c r="J196">
        <f t="shared" ref="J196" si="566">$E$3*I196*(1-I196)</f>
        <v>0.47949262857336578</v>
      </c>
      <c r="L196">
        <v>1.89</v>
      </c>
      <c r="M196">
        <v>0.47089947089947087</v>
      </c>
      <c r="N196">
        <v>0.47089947089947082</v>
      </c>
      <c r="O196">
        <v>0.47089947089947087</v>
      </c>
      <c r="P196">
        <v>0.47089947089947082</v>
      </c>
      <c r="Q196">
        <v>0.47089947089947087</v>
      </c>
      <c r="R196">
        <v>0.47089947089947082</v>
      </c>
      <c r="S196">
        <v>0.47089947089947087</v>
      </c>
      <c r="T196">
        <v>0.47089947089947082</v>
      </c>
      <c r="U196">
        <v>0.47089947089947087</v>
      </c>
      <c r="V196">
        <v>0.47089947089947082</v>
      </c>
      <c r="W196">
        <v>0.47089947089947087</v>
      </c>
      <c r="X196">
        <v>0.47089947089947082</v>
      </c>
      <c r="Y196">
        <v>0.47089947089947087</v>
      </c>
      <c r="Z196">
        <v>0.47089947089947082</v>
      </c>
      <c r="AA196">
        <v>0.47089947089947087</v>
      </c>
      <c r="AB196">
        <v>0.47089947089947082</v>
      </c>
      <c r="AC196">
        <v>0.47089947089947087</v>
      </c>
      <c r="AD196">
        <v>0.47089947089947082</v>
      </c>
      <c r="AE196">
        <v>0.47089947089947087</v>
      </c>
      <c r="AF196">
        <v>0.47089947089947082</v>
      </c>
      <c r="AG196">
        <v>0.47089947089947087</v>
      </c>
    </row>
    <row r="197" spans="4:33" x14ac:dyDescent="0.3">
      <c r="D197">
        <f t="shared" si="385"/>
        <v>190</v>
      </c>
      <c r="E197">
        <f t="shared" si="386"/>
        <v>2.2638832979198384E-4</v>
      </c>
      <c r="H197">
        <f t="shared" ref="H197" si="567">H195+1</f>
        <v>95</v>
      </c>
      <c r="I197">
        <f t="shared" ref="I197" si="568">J196</f>
        <v>0.47949262857336578</v>
      </c>
      <c r="J197">
        <f t="shared" ref="J197" si="569">I197</f>
        <v>0.47949262857336578</v>
      </c>
      <c r="L197">
        <v>1.9</v>
      </c>
      <c r="M197">
        <v>0.47368421052631576</v>
      </c>
      <c r="N197">
        <v>0.47368421052631582</v>
      </c>
      <c r="O197">
        <v>0.47368421052631576</v>
      </c>
      <c r="P197">
        <v>0.47368421052631582</v>
      </c>
      <c r="Q197">
        <v>0.47368421052631576</v>
      </c>
      <c r="R197">
        <v>0.47368421052631582</v>
      </c>
      <c r="S197">
        <v>0.47368421052631576</v>
      </c>
      <c r="T197">
        <v>0.47368421052631582</v>
      </c>
      <c r="U197">
        <v>0.47368421052631576</v>
      </c>
      <c r="V197">
        <v>0.47368421052631582</v>
      </c>
      <c r="W197">
        <v>0.47368421052631576</v>
      </c>
      <c r="X197">
        <v>0.47368421052631582</v>
      </c>
      <c r="Y197">
        <v>0.47368421052631576</v>
      </c>
      <c r="Z197">
        <v>0.47368421052631582</v>
      </c>
      <c r="AA197">
        <v>0.47368421052631576</v>
      </c>
      <c r="AB197">
        <v>0.47368421052631582</v>
      </c>
      <c r="AC197">
        <v>0.47368421052631576</v>
      </c>
      <c r="AD197">
        <v>0.47368421052631582</v>
      </c>
      <c r="AE197">
        <v>0.47368421052631576</v>
      </c>
      <c r="AF197">
        <v>0.47368421052631582</v>
      </c>
      <c r="AG197">
        <v>0.47368421052631576</v>
      </c>
    </row>
    <row r="198" spans="4:33" x14ac:dyDescent="0.3">
      <c r="D198">
        <f t="shared" si="385"/>
        <v>191</v>
      </c>
      <c r="E198">
        <f t="shared" si="386"/>
        <v>9.0534831246447144E-4</v>
      </c>
      <c r="H198">
        <f t="shared" ref="H198" si="570">H195+1</f>
        <v>95</v>
      </c>
      <c r="I198">
        <f t="shared" ref="I198" si="571">J196</f>
        <v>0.47949262857336578</v>
      </c>
      <c r="J198">
        <f t="shared" ref="J198" si="572">$E$3*I198*(1-I198)</f>
        <v>0.99831779086868011</v>
      </c>
      <c r="L198">
        <v>1.91</v>
      </c>
      <c r="M198">
        <v>0.47643979057591623</v>
      </c>
      <c r="N198">
        <v>0.47643979057591618</v>
      </c>
      <c r="O198">
        <v>0.47643979057591623</v>
      </c>
      <c r="P198">
        <v>0.47643979057591618</v>
      </c>
      <c r="Q198">
        <v>0.47643979057591623</v>
      </c>
      <c r="R198">
        <v>0.47643979057591618</v>
      </c>
      <c r="S198">
        <v>0.47643979057591623</v>
      </c>
      <c r="T198">
        <v>0.47643979057591618</v>
      </c>
      <c r="U198">
        <v>0.47643979057591623</v>
      </c>
      <c r="V198">
        <v>0.47643979057591618</v>
      </c>
      <c r="W198">
        <v>0.47643979057591623</v>
      </c>
      <c r="X198">
        <v>0.47643979057591618</v>
      </c>
      <c r="Y198">
        <v>0.47643979057591623</v>
      </c>
      <c r="Z198">
        <v>0.47643979057591618</v>
      </c>
      <c r="AA198">
        <v>0.47643979057591623</v>
      </c>
      <c r="AB198">
        <v>0.47643979057591618</v>
      </c>
      <c r="AC198">
        <v>0.47643979057591623</v>
      </c>
      <c r="AD198">
        <v>0.47643979057591618</v>
      </c>
      <c r="AE198">
        <v>0.47643979057591623</v>
      </c>
      <c r="AF198">
        <v>0.47643979057591618</v>
      </c>
      <c r="AG198">
        <v>0.47643979057591623</v>
      </c>
    </row>
    <row r="199" spans="4:33" x14ac:dyDescent="0.3">
      <c r="D199">
        <f t="shared" si="385"/>
        <v>192</v>
      </c>
      <c r="E199">
        <f t="shared" si="386"/>
        <v>3.6181146275903568E-3</v>
      </c>
      <c r="H199">
        <f t="shared" ref="H199" si="573">H197+1</f>
        <v>96</v>
      </c>
      <c r="I199">
        <f t="shared" ref="I199" si="574">J198</f>
        <v>0.99831779086868011</v>
      </c>
      <c r="J199">
        <f t="shared" ref="J199" si="575">I199</f>
        <v>0.99831779086868011</v>
      </c>
      <c r="L199">
        <v>1.92</v>
      </c>
      <c r="M199">
        <v>0.47916666666666669</v>
      </c>
      <c r="N199">
        <v>0.47916666666666663</v>
      </c>
      <c r="O199">
        <v>0.47916666666666669</v>
      </c>
      <c r="P199">
        <v>0.47916666666666663</v>
      </c>
      <c r="Q199">
        <v>0.47916666666666669</v>
      </c>
      <c r="R199">
        <v>0.47916666666666663</v>
      </c>
      <c r="S199">
        <v>0.47916666666666669</v>
      </c>
      <c r="T199">
        <v>0.47916666666666663</v>
      </c>
      <c r="U199">
        <v>0.47916666666666669</v>
      </c>
      <c r="V199">
        <v>0.47916666666666663</v>
      </c>
      <c r="W199">
        <v>0.47916666666666669</v>
      </c>
      <c r="X199">
        <v>0.47916666666666663</v>
      </c>
      <c r="Y199">
        <v>0.47916666666666669</v>
      </c>
      <c r="Z199">
        <v>0.47916666666666663</v>
      </c>
      <c r="AA199">
        <v>0.47916666666666669</v>
      </c>
      <c r="AB199">
        <v>0.47916666666666663</v>
      </c>
      <c r="AC199">
        <v>0.47916666666666669</v>
      </c>
      <c r="AD199">
        <v>0.47916666666666663</v>
      </c>
      <c r="AE199">
        <v>0.47916666666666669</v>
      </c>
      <c r="AF199">
        <v>0.47916666666666663</v>
      </c>
      <c r="AG199">
        <v>0.47916666666666669</v>
      </c>
    </row>
    <row r="200" spans="4:33" x14ac:dyDescent="0.3">
      <c r="D200">
        <f t="shared" si="385"/>
        <v>193</v>
      </c>
      <c r="E200">
        <f t="shared" si="386"/>
        <v>1.4420095496527894E-2</v>
      </c>
      <c r="H200">
        <f t="shared" ref="H200" si="576">H197+1</f>
        <v>96</v>
      </c>
      <c r="I200">
        <f t="shared" ref="I200" si="577">J198</f>
        <v>0.99831779086868011</v>
      </c>
      <c r="J200">
        <f t="shared" ref="J200" si="578">$E$3*I200*(1-I200)</f>
        <v>6.7175172150335735E-3</v>
      </c>
      <c r="L200">
        <v>1.93</v>
      </c>
      <c r="M200">
        <v>0.48186528497409331</v>
      </c>
      <c r="N200">
        <v>0.48186528497409326</v>
      </c>
      <c r="O200">
        <v>0.48186528497409331</v>
      </c>
      <c r="P200">
        <v>0.48186528497409326</v>
      </c>
      <c r="Q200">
        <v>0.48186528497409331</v>
      </c>
      <c r="R200">
        <v>0.48186528497409326</v>
      </c>
      <c r="S200">
        <v>0.48186528497409331</v>
      </c>
      <c r="T200">
        <v>0.48186528497409326</v>
      </c>
      <c r="U200">
        <v>0.48186528497409331</v>
      </c>
      <c r="V200">
        <v>0.48186528497409326</v>
      </c>
      <c r="W200">
        <v>0.48186528497409331</v>
      </c>
      <c r="X200">
        <v>0.48186528497409326</v>
      </c>
      <c r="Y200">
        <v>0.48186528497409331</v>
      </c>
      <c r="Z200">
        <v>0.48186528497409326</v>
      </c>
      <c r="AA200">
        <v>0.48186528497409331</v>
      </c>
      <c r="AB200">
        <v>0.48186528497409326</v>
      </c>
      <c r="AC200">
        <v>0.48186528497409331</v>
      </c>
      <c r="AD200">
        <v>0.48186528497409326</v>
      </c>
      <c r="AE200">
        <v>0.48186528497409331</v>
      </c>
      <c r="AF200">
        <v>0.48186528497409326</v>
      </c>
      <c r="AG200">
        <v>0.48186528497409331</v>
      </c>
    </row>
    <row r="201" spans="4:33" x14ac:dyDescent="0.3">
      <c r="D201">
        <f t="shared" ref="D201:D207" si="579">D200+1</f>
        <v>194</v>
      </c>
      <c r="E201">
        <f t="shared" ref="E201:E207" si="580">$E$3*E200*(1-E200)</f>
        <v>5.6848625369595639E-2</v>
      </c>
      <c r="H201">
        <f t="shared" ref="H201" si="581">H199+1</f>
        <v>97</v>
      </c>
      <c r="I201">
        <f t="shared" ref="I201" si="582">J200</f>
        <v>6.7175172150335735E-3</v>
      </c>
      <c r="J201">
        <f t="shared" ref="J201" si="583">I201</f>
        <v>6.7175172150335735E-3</v>
      </c>
      <c r="L201">
        <v>1.94</v>
      </c>
      <c r="M201">
        <v>0.48453608247422675</v>
      </c>
      <c r="N201">
        <v>0.48453608247422675</v>
      </c>
      <c r="O201">
        <v>0.48453608247422675</v>
      </c>
      <c r="P201">
        <v>0.48453608247422675</v>
      </c>
      <c r="Q201">
        <v>0.48453608247422675</v>
      </c>
      <c r="R201">
        <v>0.48453608247422675</v>
      </c>
      <c r="S201">
        <v>0.48453608247422675</v>
      </c>
      <c r="T201">
        <v>0.48453608247422675</v>
      </c>
      <c r="U201">
        <v>0.48453608247422675</v>
      </c>
      <c r="V201">
        <v>0.48453608247422675</v>
      </c>
      <c r="W201">
        <v>0.48453608247422675</v>
      </c>
      <c r="X201">
        <v>0.48453608247422675</v>
      </c>
      <c r="Y201">
        <v>0.48453608247422675</v>
      </c>
      <c r="Z201">
        <v>0.48453608247422675</v>
      </c>
      <c r="AA201">
        <v>0.48453608247422675</v>
      </c>
      <c r="AB201">
        <v>0.48453608247422675</v>
      </c>
      <c r="AC201">
        <v>0.48453608247422675</v>
      </c>
      <c r="AD201">
        <v>0.48453608247422675</v>
      </c>
      <c r="AE201">
        <v>0.48453608247422675</v>
      </c>
      <c r="AF201">
        <v>0.48453608247422675</v>
      </c>
      <c r="AG201">
        <v>0.48453608247422675</v>
      </c>
    </row>
    <row r="202" spans="4:33" x14ac:dyDescent="0.3">
      <c r="D202">
        <f t="shared" si="579"/>
        <v>195</v>
      </c>
      <c r="E202">
        <f t="shared" si="580"/>
        <v>0.21446743665273202</v>
      </c>
      <c r="H202">
        <f t="shared" ref="H202" si="584">H199+1</f>
        <v>97</v>
      </c>
      <c r="I202">
        <f t="shared" ref="I202" si="585">J200</f>
        <v>6.7175172150335735E-3</v>
      </c>
      <c r="J202">
        <f t="shared" ref="J202" si="586">$E$3*I202*(1-I202)</f>
        <v>2.6689568709997204E-2</v>
      </c>
      <c r="L202">
        <v>1.95</v>
      </c>
      <c r="M202">
        <v>0.48717948717948711</v>
      </c>
      <c r="N202">
        <v>0.48717948717948717</v>
      </c>
      <c r="O202">
        <v>0.48717948717948711</v>
      </c>
      <c r="P202">
        <v>0.48717948717948717</v>
      </c>
      <c r="Q202">
        <v>0.48717948717948711</v>
      </c>
      <c r="R202">
        <v>0.48717948717948717</v>
      </c>
      <c r="S202">
        <v>0.48717948717948711</v>
      </c>
      <c r="T202">
        <v>0.48717948717948717</v>
      </c>
      <c r="U202">
        <v>0.48717948717948711</v>
      </c>
      <c r="V202">
        <v>0.48717948717948717</v>
      </c>
      <c r="W202">
        <v>0.48717948717948711</v>
      </c>
      <c r="X202">
        <v>0.48717948717948717</v>
      </c>
      <c r="Y202">
        <v>0.48717948717948711</v>
      </c>
      <c r="Z202">
        <v>0.48717948717948717</v>
      </c>
      <c r="AA202">
        <v>0.48717948717948711</v>
      </c>
      <c r="AB202">
        <v>0.48717948717948717</v>
      </c>
      <c r="AC202">
        <v>0.48717948717948711</v>
      </c>
      <c r="AD202">
        <v>0.48717948717948717</v>
      </c>
      <c r="AE202">
        <v>0.48717948717948711</v>
      </c>
      <c r="AF202">
        <v>0.48717948717948717</v>
      </c>
      <c r="AG202">
        <v>0.48717948717948711</v>
      </c>
    </row>
    <row r="203" spans="4:33" x14ac:dyDescent="0.3">
      <c r="D203">
        <f t="shared" si="579"/>
        <v>196</v>
      </c>
      <c r="E203">
        <f t="shared" si="580"/>
        <v>0.67388462107335356</v>
      </c>
      <c r="H203">
        <f t="shared" ref="H203" si="587">H201+1</f>
        <v>98</v>
      </c>
      <c r="I203">
        <f t="shared" ref="I203" si="588">J202</f>
        <v>2.6689568709997204E-2</v>
      </c>
      <c r="J203">
        <f t="shared" ref="J203" si="589">I203</f>
        <v>2.6689568709997204E-2</v>
      </c>
      <c r="L203">
        <v>1.96</v>
      </c>
      <c r="M203">
        <v>0.48979591836734693</v>
      </c>
      <c r="N203">
        <v>0.48979591836734693</v>
      </c>
      <c r="O203">
        <v>0.48979591836734693</v>
      </c>
      <c r="P203">
        <v>0.48979591836734693</v>
      </c>
      <c r="Q203">
        <v>0.48979591836734693</v>
      </c>
      <c r="R203">
        <v>0.48979591836734693</v>
      </c>
      <c r="S203">
        <v>0.48979591836734693</v>
      </c>
      <c r="T203">
        <v>0.48979591836734693</v>
      </c>
      <c r="U203">
        <v>0.48979591836734693</v>
      </c>
      <c r="V203">
        <v>0.48979591836734693</v>
      </c>
      <c r="W203">
        <v>0.48979591836734693</v>
      </c>
      <c r="X203">
        <v>0.48979591836734693</v>
      </c>
      <c r="Y203">
        <v>0.48979591836734693</v>
      </c>
      <c r="Z203">
        <v>0.48979591836734693</v>
      </c>
      <c r="AA203">
        <v>0.48979591836734693</v>
      </c>
      <c r="AB203">
        <v>0.48979591836734693</v>
      </c>
      <c r="AC203">
        <v>0.48979591836734693</v>
      </c>
      <c r="AD203">
        <v>0.48979591836734693</v>
      </c>
      <c r="AE203">
        <v>0.48979591836734693</v>
      </c>
      <c r="AF203">
        <v>0.48979591836734693</v>
      </c>
      <c r="AG203">
        <v>0.48979591836734693</v>
      </c>
    </row>
    <row r="204" spans="4:33" x14ac:dyDescent="0.3">
      <c r="D204">
        <f t="shared" si="579"/>
        <v>197</v>
      </c>
      <c r="E204">
        <f t="shared" si="580"/>
        <v>0.87905655421670503</v>
      </c>
      <c r="H204">
        <f t="shared" ref="H204" si="590">H201+1</f>
        <v>98</v>
      </c>
      <c r="I204">
        <f t="shared" ref="I204" si="591">J202</f>
        <v>2.6689568709997204E-2</v>
      </c>
      <c r="J204">
        <f t="shared" ref="J204" si="592">$E$3*I204*(1-I204)</f>
        <v>0.10390894252828617</v>
      </c>
      <c r="L204">
        <v>1.97</v>
      </c>
      <c r="M204">
        <v>0.49238578680203049</v>
      </c>
      <c r="N204">
        <v>0.49238578680203049</v>
      </c>
      <c r="O204">
        <v>0.49238578680203049</v>
      </c>
      <c r="P204">
        <v>0.49238578680203049</v>
      </c>
      <c r="Q204">
        <v>0.49238578680203049</v>
      </c>
      <c r="R204">
        <v>0.49238578680203049</v>
      </c>
      <c r="S204">
        <v>0.49238578680203049</v>
      </c>
      <c r="T204">
        <v>0.49238578680203049</v>
      </c>
      <c r="U204">
        <v>0.49238578680203049</v>
      </c>
      <c r="V204">
        <v>0.49238578680203049</v>
      </c>
      <c r="W204">
        <v>0.49238578680203049</v>
      </c>
      <c r="X204">
        <v>0.49238578680203049</v>
      </c>
      <c r="Y204">
        <v>0.49238578680203049</v>
      </c>
      <c r="Z204">
        <v>0.49238578680203049</v>
      </c>
      <c r="AA204">
        <v>0.49238578680203049</v>
      </c>
      <c r="AB204">
        <v>0.49238578680203049</v>
      </c>
      <c r="AC204">
        <v>0.49238578680203049</v>
      </c>
      <c r="AD204">
        <v>0.49238578680203049</v>
      </c>
      <c r="AE204">
        <v>0.49238578680203049</v>
      </c>
      <c r="AF204">
        <v>0.49238578680203049</v>
      </c>
      <c r="AG204">
        <v>0.49238578680203049</v>
      </c>
    </row>
    <row r="205" spans="4:33" x14ac:dyDescent="0.3">
      <c r="D205">
        <f t="shared" si="579"/>
        <v>198</v>
      </c>
      <c r="E205">
        <f t="shared" si="580"/>
        <v>0.42526451482143263</v>
      </c>
      <c r="H205">
        <f t="shared" ref="H205" si="593">H203+1</f>
        <v>99</v>
      </c>
      <c r="I205">
        <f t="shared" ref="I205" si="594">J204</f>
        <v>0.10390894252828617</v>
      </c>
      <c r="J205">
        <f t="shared" ref="J205" si="595">I205</f>
        <v>0.10390894252828617</v>
      </c>
      <c r="L205">
        <v>1.98</v>
      </c>
      <c r="M205">
        <v>0.49494949494949492</v>
      </c>
      <c r="N205">
        <v>0.49494949494949497</v>
      </c>
      <c r="O205">
        <v>0.49494949494949486</v>
      </c>
      <c r="P205">
        <v>0.49494949494949503</v>
      </c>
      <c r="Q205">
        <v>0.49494949494949492</v>
      </c>
      <c r="R205">
        <v>0.49494949494949497</v>
      </c>
      <c r="S205">
        <v>0.49494949494949486</v>
      </c>
      <c r="T205">
        <v>0.49494949494949503</v>
      </c>
      <c r="U205">
        <v>0.49494949494949492</v>
      </c>
      <c r="V205">
        <v>0.49494949494949497</v>
      </c>
      <c r="W205">
        <v>0.49494949494949486</v>
      </c>
      <c r="X205">
        <v>0.49494949494949503</v>
      </c>
      <c r="Y205">
        <v>0.49494949494949492</v>
      </c>
      <c r="Z205">
        <v>0.49494949494949497</v>
      </c>
      <c r="AA205">
        <v>0.49494949494949486</v>
      </c>
      <c r="AB205">
        <v>0.49494949494949503</v>
      </c>
      <c r="AC205">
        <v>0.49494949494949492</v>
      </c>
      <c r="AD205">
        <v>0.49494949494949497</v>
      </c>
      <c r="AE205">
        <v>0.49494949494949486</v>
      </c>
      <c r="AF205">
        <v>0.49494949494949503</v>
      </c>
      <c r="AG205">
        <v>0.49494949494949492</v>
      </c>
    </row>
    <row r="206" spans="4:33" x14ac:dyDescent="0.3">
      <c r="D206">
        <f t="shared" si="579"/>
        <v>199</v>
      </c>
      <c r="E206">
        <f t="shared" si="580"/>
        <v>0.97765842902049649</v>
      </c>
      <c r="H206">
        <f t="shared" ref="H206" si="596">H203+1</f>
        <v>99</v>
      </c>
      <c r="I206">
        <f t="shared" ref="I206" si="597">J204</f>
        <v>0.10390894252828617</v>
      </c>
      <c r="J206">
        <f t="shared" ref="J206" si="598">$E$3*I206*(1-I206)</f>
        <v>0.37244749676375793</v>
      </c>
      <c r="L206">
        <v>1.99</v>
      </c>
      <c r="M206">
        <v>0.49748743718592964</v>
      </c>
      <c r="N206">
        <v>0.49748743718592958</v>
      </c>
      <c r="O206">
        <v>0.49748743718592964</v>
      </c>
      <c r="P206">
        <v>0.49748743718592958</v>
      </c>
      <c r="Q206">
        <v>0.49748743718592964</v>
      </c>
      <c r="R206">
        <v>0.49748743718592958</v>
      </c>
      <c r="S206">
        <v>0.49748743718592964</v>
      </c>
      <c r="T206">
        <v>0.49748743718592958</v>
      </c>
      <c r="U206">
        <v>0.49748743718592964</v>
      </c>
      <c r="V206">
        <v>0.49748743718592958</v>
      </c>
      <c r="W206">
        <v>0.49748743718592964</v>
      </c>
      <c r="X206">
        <v>0.49748743718592958</v>
      </c>
      <c r="Y206">
        <v>0.49748743718592964</v>
      </c>
      <c r="Z206">
        <v>0.49748743718592958</v>
      </c>
      <c r="AA206">
        <v>0.49748743718592964</v>
      </c>
      <c r="AB206">
        <v>0.49748743718592958</v>
      </c>
      <c r="AC206">
        <v>0.49748743718592964</v>
      </c>
      <c r="AD206">
        <v>0.49748743718592958</v>
      </c>
      <c r="AE206">
        <v>0.49748743718592964</v>
      </c>
      <c r="AF206">
        <v>0.49748743718592958</v>
      </c>
      <c r="AG206">
        <v>0.49748743718592964</v>
      </c>
    </row>
    <row r="207" spans="4:33" x14ac:dyDescent="0.3">
      <c r="D207">
        <f t="shared" si="579"/>
        <v>200</v>
      </c>
      <c r="E207">
        <f t="shared" si="580"/>
        <v>8.7369700742685269E-2</v>
      </c>
      <c r="H207">
        <f t="shared" ref="H207" si="599">H205+1</f>
        <v>100</v>
      </c>
      <c r="I207">
        <f t="shared" ref="I207" si="600">J206</f>
        <v>0.37244749676375793</v>
      </c>
      <c r="J207">
        <f t="shared" ref="J207" si="601">I207</f>
        <v>0.37244749676375793</v>
      </c>
      <c r="L207">
        <v>2</v>
      </c>
      <c r="M207">
        <v>0.5</v>
      </c>
      <c r="N207">
        <v>0.5</v>
      </c>
      <c r="O207">
        <v>0.5</v>
      </c>
      <c r="P207">
        <v>0.5</v>
      </c>
      <c r="Q207">
        <v>0.5</v>
      </c>
      <c r="R207">
        <v>0.5</v>
      </c>
      <c r="S207">
        <v>0.5</v>
      </c>
      <c r="T207">
        <v>0.5</v>
      </c>
      <c r="U207">
        <v>0.5</v>
      </c>
      <c r="V207">
        <v>0.5</v>
      </c>
      <c r="W207">
        <v>0.5</v>
      </c>
      <c r="X207">
        <v>0.5</v>
      </c>
      <c r="Y207">
        <v>0.5</v>
      </c>
      <c r="Z207">
        <v>0.5</v>
      </c>
      <c r="AA207">
        <v>0.5</v>
      </c>
      <c r="AB207">
        <v>0.5</v>
      </c>
      <c r="AC207">
        <v>0.5</v>
      </c>
      <c r="AD207">
        <v>0.5</v>
      </c>
      <c r="AE207">
        <v>0.5</v>
      </c>
      <c r="AF207">
        <v>0.5</v>
      </c>
      <c r="AG207">
        <v>0.5</v>
      </c>
    </row>
    <row r="208" spans="4:33" x14ac:dyDescent="0.3">
      <c r="H208">
        <f t="shared" ref="H208" si="602">H205+1</f>
        <v>100</v>
      </c>
      <c r="I208">
        <f t="shared" ref="I208" si="603">J206</f>
        <v>0.37244749676375793</v>
      </c>
      <c r="J208">
        <f t="shared" ref="J208" si="604">$E$3*I208*(1-I208)</f>
        <v>0.93492143567267394</v>
      </c>
      <c r="L208">
        <v>2.0099999999999998</v>
      </c>
      <c r="M208">
        <v>0.50248756218905466</v>
      </c>
      <c r="N208">
        <v>0.50248756218905466</v>
      </c>
      <c r="O208">
        <v>0.50248756218905466</v>
      </c>
      <c r="P208">
        <v>0.50248756218905466</v>
      </c>
      <c r="Q208">
        <v>0.50248756218905466</v>
      </c>
      <c r="R208">
        <v>0.50248756218905466</v>
      </c>
      <c r="S208">
        <v>0.50248756218905466</v>
      </c>
      <c r="T208">
        <v>0.50248756218905466</v>
      </c>
      <c r="U208">
        <v>0.50248756218905466</v>
      </c>
      <c r="V208">
        <v>0.50248756218905466</v>
      </c>
      <c r="W208">
        <v>0.50248756218905466</v>
      </c>
      <c r="X208">
        <v>0.50248756218905466</v>
      </c>
      <c r="Y208">
        <v>0.50248756218905466</v>
      </c>
      <c r="Z208">
        <v>0.50248756218905466</v>
      </c>
      <c r="AA208">
        <v>0.50248756218905466</v>
      </c>
      <c r="AB208">
        <v>0.50248756218905466</v>
      </c>
      <c r="AC208">
        <v>0.50248756218905466</v>
      </c>
      <c r="AD208">
        <v>0.50248756218905466</v>
      </c>
      <c r="AE208">
        <v>0.50248756218905466</v>
      </c>
      <c r="AF208">
        <v>0.50248756218905466</v>
      </c>
      <c r="AG208">
        <v>0.50248756218905466</v>
      </c>
    </row>
    <row r="209" spans="8:33" x14ac:dyDescent="0.3">
      <c r="H209">
        <f t="shared" ref="H209" si="605">H207+1</f>
        <v>101</v>
      </c>
      <c r="I209">
        <f t="shared" ref="I209" si="606">J208</f>
        <v>0.93492143567267394</v>
      </c>
      <c r="J209">
        <f t="shared" ref="J209" si="607">I209</f>
        <v>0.93492143567267394</v>
      </c>
      <c r="L209">
        <v>2.02</v>
      </c>
      <c r="M209">
        <v>0.50495049504950495</v>
      </c>
      <c r="N209">
        <v>0.50495049504950495</v>
      </c>
      <c r="O209">
        <v>0.50495049504950495</v>
      </c>
      <c r="P209">
        <v>0.50495049504950495</v>
      </c>
      <c r="Q209">
        <v>0.50495049504950495</v>
      </c>
      <c r="R209">
        <v>0.50495049504950495</v>
      </c>
      <c r="S209">
        <v>0.50495049504950495</v>
      </c>
      <c r="T209">
        <v>0.50495049504950495</v>
      </c>
      <c r="U209">
        <v>0.50495049504950495</v>
      </c>
      <c r="V209">
        <v>0.50495049504950495</v>
      </c>
      <c r="W209">
        <v>0.50495049504950495</v>
      </c>
      <c r="X209">
        <v>0.50495049504950495</v>
      </c>
      <c r="Y209">
        <v>0.50495049504950495</v>
      </c>
      <c r="Z209">
        <v>0.50495049504950495</v>
      </c>
      <c r="AA209">
        <v>0.50495049504950495</v>
      </c>
      <c r="AB209">
        <v>0.50495049504950495</v>
      </c>
      <c r="AC209">
        <v>0.50495049504950495</v>
      </c>
      <c r="AD209">
        <v>0.50495049504950495</v>
      </c>
      <c r="AE209">
        <v>0.50495049504950495</v>
      </c>
      <c r="AF209">
        <v>0.50495049504950495</v>
      </c>
      <c r="AG209">
        <v>0.50495049504950495</v>
      </c>
    </row>
    <row r="210" spans="8:33" x14ac:dyDescent="0.3">
      <c r="H210">
        <f t="shared" ref="H210" si="608">H207+1</f>
        <v>101</v>
      </c>
      <c r="I210">
        <f t="shared" ref="I210" si="609">J208</f>
        <v>0.93492143567267394</v>
      </c>
      <c r="J210">
        <f t="shared" ref="J210" si="610">$E$3*I210*(1-I210)</f>
        <v>0.24337337916968058</v>
      </c>
      <c r="L210">
        <v>2.0299999999999998</v>
      </c>
      <c r="M210">
        <v>0.50738916256157629</v>
      </c>
      <c r="N210">
        <v>0.50738916256157629</v>
      </c>
      <c r="O210">
        <v>0.50738916256157629</v>
      </c>
      <c r="P210">
        <v>0.50738916256157629</v>
      </c>
      <c r="Q210">
        <v>0.50738916256157629</v>
      </c>
      <c r="R210">
        <v>0.50738916256157629</v>
      </c>
      <c r="S210">
        <v>0.50738916256157629</v>
      </c>
      <c r="T210">
        <v>0.50738916256157629</v>
      </c>
      <c r="U210">
        <v>0.50738916256157629</v>
      </c>
      <c r="V210">
        <v>0.50738916256157629</v>
      </c>
      <c r="W210">
        <v>0.50738916256157629</v>
      </c>
      <c r="X210">
        <v>0.50738916256157629</v>
      </c>
      <c r="Y210">
        <v>0.50738916256157629</v>
      </c>
      <c r="Z210">
        <v>0.50738916256157629</v>
      </c>
      <c r="AA210">
        <v>0.50738916256157629</v>
      </c>
      <c r="AB210">
        <v>0.50738916256157629</v>
      </c>
      <c r="AC210">
        <v>0.50738916256157629</v>
      </c>
      <c r="AD210">
        <v>0.50738916256157629</v>
      </c>
      <c r="AE210">
        <v>0.50738916256157629</v>
      </c>
      <c r="AF210">
        <v>0.50738916256157629</v>
      </c>
      <c r="AG210">
        <v>0.50738916256157629</v>
      </c>
    </row>
    <row r="211" spans="8:33" x14ac:dyDescent="0.3">
      <c r="H211">
        <f t="shared" ref="H211" si="611">H209+1</f>
        <v>102</v>
      </c>
      <c r="I211">
        <f t="shared" ref="I211" si="612">J210</f>
        <v>0.24337337916968058</v>
      </c>
      <c r="J211">
        <f t="shared" ref="J211" si="613">I211</f>
        <v>0.24337337916968058</v>
      </c>
      <c r="L211">
        <v>2.04</v>
      </c>
      <c r="M211">
        <v>0.50980392156862753</v>
      </c>
      <c r="N211">
        <v>0.50980392156862753</v>
      </c>
      <c r="O211">
        <v>0.50980392156862753</v>
      </c>
      <c r="P211">
        <v>0.50980392156862753</v>
      </c>
      <c r="Q211">
        <v>0.50980392156862753</v>
      </c>
      <c r="R211">
        <v>0.50980392156862753</v>
      </c>
      <c r="S211">
        <v>0.50980392156862753</v>
      </c>
      <c r="T211">
        <v>0.50980392156862753</v>
      </c>
      <c r="U211">
        <v>0.50980392156862753</v>
      </c>
      <c r="V211">
        <v>0.50980392156862753</v>
      </c>
      <c r="W211">
        <v>0.50980392156862753</v>
      </c>
      <c r="X211">
        <v>0.50980392156862753</v>
      </c>
      <c r="Y211">
        <v>0.50980392156862753</v>
      </c>
      <c r="Z211">
        <v>0.50980392156862753</v>
      </c>
      <c r="AA211">
        <v>0.50980392156862753</v>
      </c>
      <c r="AB211">
        <v>0.50980392156862753</v>
      </c>
      <c r="AC211">
        <v>0.50980392156862753</v>
      </c>
      <c r="AD211">
        <v>0.50980392156862753</v>
      </c>
      <c r="AE211">
        <v>0.50980392156862753</v>
      </c>
      <c r="AF211">
        <v>0.50980392156862753</v>
      </c>
      <c r="AG211">
        <v>0.50980392156862753</v>
      </c>
    </row>
    <row r="212" spans="8:33" x14ac:dyDescent="0.3">
      <c r="H212">
        <f t="shared" ref="H212" si="614">H209+1</f>
        <v>102</v>
      </c>
      <c r="I212">
        <f t="shared" ref="I212" si="615">J210</f>
        <v>0.24337337916968058</v>
      </c>
      <c r="J212">
        <f t="shared" ref="J212" si="616">$E$3*I212*(1-I212)</f>
        <v>0.73657110992484587</v>
      </c>
      <c r="L212">
        <v>2.0499999999999998</v>
      </c>
      <c r="M212">
        <v>0.51219512195121941</v>
      </c>
      <c r="N212">
        <v>0.51219512195121941</v>
      </c>
      <c r="O212">
        <v>0.51219512195121941</v>
      </c>
      <c r="P212">
        <v>0.51219512195121941</v>
      </c>
      <c r="Q212">
        <v>0.51219512195121941</v>
      </c>
      <c r="R212">
        <v>0.51219512195121941</v>
      </c>
      <c r="S212">
        <v>0.51219512195121941</v>
      </c>
      <c r="T212">
        <v>0.51219512195121941</v>
      </c>
      <c r="U212">
        <v>0.51219512195121941</v>
      </c>
      <c r="V212">
        <v>0.51219512195121941</v>
      </c>
      <c r="W212">
        <v>0.51219512195121941</v>
      </c>
      <c r="X212">
        <v>0.51219512195121941</v>
      </c>
      <c r="Y212">
        <v>0.51219512195121941</v>
      </c>
      <c r="Z212">
        <v>0.51219512195121941</v>
      </c>
      <c r="AA212">
        <v>0.51219512195121941</v>
      </c>
      <c r="AB212">
        <v>0.51219512195121941</v>
      </c>
      <c r="AC212">
        <v>0.51219512195121941</v>
      </c>
      <c r="AD212">
        <v>0.51219512195121941</v>
      </c>
      <c r="AE212">
        <v>0.51219512195121941</v>
      </c>
      <c r="AF212">
        <v>0.51219512195121941</v>
      </c>
      <c r="AG212">
        <v>0.51219512195121941</v>
      </c>
    </row>
    <row r="213" spans="8:33" x14ac:dyDescent="0.3">
      <c r="H213">
        <f t="shared" ref="H213" si="617">H211+1</f>
        <v>103</v>
      </c>
      <c r="I213">
        <f t="shared" ref="I213" si="618">J212</f>
        <v>0.73657110992484587</v>
      </c>
      <c r="J213">
        <f t="shared" ref="J213" si="619">I213</f>
        <v>0.73657110992484587</v>
      </c>
      <c r="L213">
        <v>2.06</v>
      </c>
      <c r="M213">
        <v>0.5145631067961165</v>
      </c>
      <c r="N213">
        <v>0.5145631067961165</v>
      </c>
      <c r="O213">
        <v>0.5145631067961165</v>
      </c>
      <c r="P213">
        <v>0.5145631067961165</v>
      </c>
      <c r="Q213">
        <v>0.5145631067961165</v>
      </c>
      <c r="R213">
        <v>0.5145631067961165</v>
      </c>
      <c r="S213">
        <v>0.5145631067961165</v>
      </c>
      <c r="T213">
        <v>0.5145631067961165</v>
      </c>
      <c r="U213">
        <v>0.5145631067961165</v>
      </c>
      <c r="V213">
        <v>0.5145631067961165</v>
      </c>
      <c r="W213">
        <v>0.5145631067961165</v>
      </c>
      <c r="X213">
        <v>0.5145631067961165</v>
      </c>
      <c r="Y213">
        <v>0.5145631067961165</v>
      </c>
      <c r="Z213">
        <v>0.5145631067961165</v>
      </c>
      <c r="AA213">
        <v>0.5145631067961165</v>
      </c>
      <c r="AB213">
        <v>0.5145631067961165</v>
      </c>
      <c r="AC213">
        <v>0.5145631067961165</v>
      </c>
      <c r="AD213">
        <v>0.5145631067961165</v>
      </c>
      <c r="AE213">
        <v>0.5145631067961165</v>
      </c>
      <c r="AF213">
        <v>0.5145631067961165</v>
      </c>
      <c r="AG213">
        <v>0.5145631067961165</v>
      </c>
    </row>
    <row r="214" spans="8:33" x14ac:dyDescent="0.3">
      <c r="H214">
        <f t="shared" ref="H214" si="620">H211+1</f>
        <v>103</v>
      </c>
      <c r="I214">
        <f t="shared" ref="I214" si="621">J212</f>
        <v>0.73657110992484587</v>
      </c>
      <c r="J214">
        <f t="shared" ref="J214" si="622">$E$3*I214*(1-I214)</f>
        <v>0.77613643979570601</v>
      </c>
      <c r="L214">
        <v>2.0699999999999998</v>
      </c>
      <c r="M214">
        <v>0.51690821256038644</v>
      </c>
      <c r="N214">
        <v>0.51690821256038644</v>
      </c>
      <c r="O214">
        <v>0.51690821256038644</v>
      </c>
      <c r="P214">
        <v>0.51690821256038644</v>
      </c>
      <c r="Q214">
        <v>0.51690821256038644</v>
      </c>
      <c r="R214">
        <v>0.51690821256038644</v>
      </c>
      <c r="S214">
        <v>0.51690821256038644</v>
      </c>
      <c r="T214">
        <v>0.51690821256038644</v>
      </c>
      <c r="U214">
        <v>0.51690821256038644</v>
      </c>
      <c r="V214">
        <v>0.51690821256038644</v>
      </c>
      <c r="W214">
        <v>0.51690821256038644</v>
      </c>
      <c r="X214">
        <v>0.51690821256038644</v>
      </c>
      <c r="Y214">
        <v>0.51690821256038644</v>
      </c>
      <c r="Z214">
        <v>0.51690821256038644</v>
      </c>
      <c r="AA214">
        <v>0.51690821256038644</v>
      </c>
      <c r="AB214">
        <v>0.51690821256038644</v>
      </c>
      <c r="AC214">
        <v>0.51690821256038644</v>
      </c>
      <c r="AD214">
        <v>0.51690821256038644</v>
      </c>
      <c r="AE214">
        <v>0.51690821256038644</v>
      </c>
      <c r="AF214">
        <v>0.51690821256038644</v>
      </c>
      <c r="AG214">
        <v>0.51690821256038644</v>
      </c>
    </row>
    <row r="215" spans="8:33" x14ac:dyDescent="0.3">
      <c r="H215">
        <f t="shared" ref="H215" si="623">H213+1</f>
        <v>104</v>
      </c>
      <c r="I215">
        <f t="shared" ref="I215" si="624">J214</f>
        <v>0.77613643979570601</v>
      </c>
      <c r="J215">
        <f t="shared" ref="J215" si="625">I215</f>
        <v>0.77613643979570601</v>
      </c>
      <c r="L215">
        <v>2.08</v>
      </c>
      <c r="M215">
        <v>0.51923076923076927</v>
      </c>
      <c r="N215">
        <v>0.51923076923076927</v>
      </c>
      <c r="O215">
        <v>0.51923076923076927</v>
      </c>
      <c r="P215">
        <v>0.51923076923076927</v>
      </c>
      <c r="Q215">
        <v>0.51923076923076927</v>
      </c>
      <c r="R215">
        <v>0.51923076923076927</v>
      </c>
      <c r="S215">
        <v>0.51923076923076927</v>
      </c>
      <c r="T215">
        <v>0.51923076923076927</v>
      </c>
      <c r="U215">
        <v>0.51923076923076927</v>
      </c>
      <c r="V215">
        <v>0.51923076923076927</v>
      </c>
      <c r="W215">
        <v>0.51923076923076927</v>
      </c>
      <c r="X215">
        <v>0.51923076923076927</v>
      </c>
      <c r="Y215">
        <v>0.51923076923076927</v>
      </c>
      <c r="Z215">
        <v>0.51923076923076927</v>
      </c>
      <c r="AA215">
        <v>0.51923076923076927</v>
      </c>
      <c r="AB215">
        <v>0.51923076923076927</v>
      </c>
      <c r="AC215">
        <v>0.51923076923076927</v>
      </c>
      <c r="AD215">
        <v>0.51923076923076927</v>
      </c>
      <c r="AE215">
        <v>0.51923076923076927</v>
      </c>
      <c r="AF215">
        <v>0.51923076923076927</v>
      </c>
      <c r="AG215">
        <v>0.51923076923076927</v>
      </c>
    </row>
    <row r="216" spans="8:33" x14ac:dyDescent="0.3">
      <c r="H216">
        <f t="shared" ref="H216" si="626">H213+1</f>
        <v>104</v>
      </c>
      <c r="I216">
        <f t="shared" ref="I216" si="627">J214</f>
        <v>0.77613643979570601</v>
      </c>
      <c r="J216">
        <f t="shared" ref="J216" si="628">$E$3*I216*(1-I216)</f>
        <v>0.69499466646780972</v>
      </c>
      <c r="L216">
        <v>2.09</v>
      </c>
      <c r="M216">
        <v>0.52153110047846885</v>
      </c>
      <c r="N216">
        <v>0.52153110047846885</v>
      </c>
      <c r="O216">
        <v>0.52153110047846885</v>
      </c>
      <c r="P216">
        <v>0.52153110047846885</v>
      </c>
      <c r="Q216">
        <v>0.52153110047846885</v>
      </c>
      <c r="R216">
        <v>0.52153110047846885</v>
      </c>
      <c r="S216">
        <v>0.52153110047846885</v>
      </c>
      <c r="T216">
        <v>0.52153110047846885</v>
      </c>
      <c r="U216">
        <v>0.52153110047846885</v>
      </c>
      <c r="V216">
        <v>0.52153110047846885</v>
      </c>
      <c r="W216">
        <v>0.52153110047846885</v>
      </c>
      <c r="X216">
        <v>0.52153110047846885</v>
      </c>
      <c r="Y216">
        <v>0.52153110047846885</v>
      </c>
      <c r="Z216">
        <v>0.52153110047846885</v>
      </c>
      <c r="AA216">
        <v>0.52153110047846885</v>
      </c>
      <c r="AB216">
        <v>0.52153110047846885</v>
      </c>
      <c r="AC216">
        <v>0.52153110047846885</v>
      </c>
      <c r="AD216">
        <v>0.52153110047846885</v>
      </c>
      <c r="AE216">
        <v>0.52153110047846885</v>
      </c>
      <c r="AF216">
        <v>0.52153110047846885</v>
      </c>
      <c r="AG216">
        <v>0.52153110047846885</v>
      </c>
    </row>
    <row r="217" spans="8:33" x14ac:dyDescent="0.3">
      <c r="H217">
        <f t="shared" ref="H217" si="629">H215+1</f>
        <v>105</v>
      </c>
      <c r="I217">
        <f t="shared" ref="I217" si="630">J216</f>
        <v>0.69499466646780972</v>
      </c>
      <c r="J217">
        <f t="shared" ref="J217" si="631">I217</f>
        <v>0.69499466646780972</v>
      </c>
      <c r="L217">
        <v>2.1</v>
      </c>
      <c r="M217">
        <v>0.52380952380952384</v>
      </c>
      <c r="N217">
        <v>0.52380952380952384</v>
      </c>
      <c r="O217">
        <v>0.52380952380952384</v>
      </c>
      <c r="P217">
        <v>0.52380952380952384</v>
      </c>
      <c r="Q217">
        <v>0.52380952380952384</v>
      </c>
      <c r="R217">
        <v>0.52380952380952384</v>
      </c>
      <c r="S217">
        <v>0.52380952380952384</v>
      </c>
      <c r="T217">
        <v>0.52380952380952384</v>
      </c>
      <c r="U217">
        <v>0.52380952380952384</v>
      </c>
      <c r="V217">
        <v>0.52380952380952384</v>
      </c>
      <c r="W217">
        <v>0.52380952380952384</v>
      </c>
      <c r="X217">
        <v>0.52380952380952384</v>
      </c>
      <c r="Y217">
        <v>0.52380952380952384</v>
      </c>
      <c r="Z217">
        <v>0.52380952380952384</v>
      </c>
      <c r="AA217">
        <v>0.52380952380952384</v>
      </c>
      <c r="AB217">
        <v>0.52380952380952384</v>
      </c>
      <c r="AC217">
        <v>0.52380952380952384</v>
      </c>
      <c r="AD217">
        <v>0.52380952380952384</v>
      </c>
      <c r="AE217">
        <v>0.52380952380952384</v>
      </c>
      <c r="AF217">
        <v>0.52380952380952384</v>
      </c>
      <c r="AG217">
        <v>0.52380952380952384</v>
      </c>
    </row>
    <row r="218" spans="8:33" x14ac:dyDescent="0.3">
      <c r="H218">
        <f t="shared" ref="H218" si="632">H215+1</f>
        <v>105</v>
      </c>
      <c r="I218">
        <f t="shared" ref="I218" si="633">J216</f>
        <v>0.69499466646780972</v>
      </c>
      <c r="J218">
        <f t="shared" ref="J218" si="634">$E$3*I218*(1-I218)</f>
        <v>0.84790832019643059</v>
      </c>
      <c r="L218">
        <v>2.11</v>
      </c>
      <c r="M218">
        <v>0.52606635071090047</v>
      </c>
      <c r="N218">
        <v>0.52606635071090047</v>
      </c>
      <c r="O218">
        <v>0.52606635071090047</v>
      </c>
      <c r="P218">
        <v>0.52606635071090047</v>
      </c>
      <c r="Q218">
        <v>0.52606635071090047</v>
      </c>
      <c r="R218">
        <v>0.52606635071090047</v>
      </c>
      <c r="S218">
        <v>0.52606635071090047</v>
      </c>
      <c r="T218">
        <v>0.52606635071090047</v>
      </c>
      <c r="U218">
        <v>0.52606635071090047</v>
      </c>
      <c r="V218">
        <v>0.52606635071090047</v>
      </c>
      <c r="W218">
        <v>0.52606635071090047</v>
      </c>
      <c r="X218">
        <v>0.52606635071090047</v>
      </c>
      <c r="Y218">
        <v>0.52606635071090047</v>
      </c>
      <c r="Z218">
        <v>0.52606635071090047</v>
      </c>
      <c r="AA218">
        <v>0.52606635071090047</v>
      </c>
      <c r="AB218">
        <v>0.52606635071090047</v>
      </c>
      <c r="AC218">
        <v>0.52606635071090047</v>
      </c>
      <c r="AD218">
        <v>0.52606635071090047</v>
      </c>
      <c r="AE218">
        <v>0.52606635071090047</v>
      </c>
      <c r="AF218">
        <v>0.52606635071090047</v>
      </c>
      <c r="AG218">
        <v>0.52606635071090047</v>
      </c>
    </row>
    <row r="219" spans="8:33" x14ac:dyDescent="0.3">
      <c r="H219">
        <f t="shared" ref="H219" si="635">H217+1</f>
        <v>106</v>
      </c>
      <c r="I219">
        <f t="shared" ref="I219" si="636">J218</f>
        <v>0.84790832019643059</v>
      </c>
      <c r="J219">
        <f t="shared" ref="J219" si="637">I219</f>
        <v>0.84790832019643059</v>
      </c>
      <c r="L219">
        <v>2.12</v>
      </c>
      <c r="M219">
        <v>0.52830188679245282</v>
      </c>
      <c r="N219">
        <v>0.52830188679245293</v>
      </c>
      <c r="O219">
        <v>0.52830188679245282</v>
      </c>
      <c r="P219">
        <v>0.52830188679245293</v>
      </c>
      <c r="Q219">
        <v>0.52830188679245282</v>
      </c>
      <c r="R219">
        <v>0.52830188679245293</v>
      </c>
      <c r="S219">
        <v>0.52830188679245282</v>
      </c>
      <c r="T219">
        <v>0.52830188679245293</v>
      </c>
      <c r="U219">
        <v>0.52830188679245282</v>
      </c>
      <c r="V219">
        <v>0.52830188679245293</v>
      </c>
      <c r="W219">
        <v>0.52830188679245282</v>
      </c>
      <c r="X219">
        <v>0.52830188679245293</v>
      </c>
      <c r="Y219">
        <v>0.52830188679245282</v>
      </c>
      <c r="Z219">
        <v>0.52830188679245293</v>
      </c>
      <c r="AA219">
        <v>0.52830188679245282</v>
      </c>
      <c r="AB219">
        <v>0.52830188679245293</v>
      </c>
      <c r="AC219">
        <v>0.52830188679245282</v>
      </c>
      <c r="AD219">
        <v>0.52830188679245293</v>
      </c>
      <c r="AE219">
        <v>0.52830188679245282</v>
      </c>
      <c r="AF219">
        <v>0.52830188679245293</v>
      </c>
      <c r="AG219">
        <v>0.52830188679245282</v>
      </c>
    </row>
    <row r="220" spans="8:33" x14ac:dyDescent="0.3">
      <c r="H220">
        <f t="shared" ref="H220" si="638">H217+1</f>
        <v>106</v>
      </c>
      <c r="I220">
        <f t="shared" ref="I220" si="639">J218</f>
        <v>0.84790832019643059</v>
      </c>
      <c r="J220">
        <f t="shared" ref="J220" si="640">$E$3*I220*(1-I220)</f>
        <v>0.51583920295239172</v>
      </c>
      <c r="L220">
        <v>2.13</v>
      </c>
      <c r="M220">
        <v>0.53051643192488263</v>
      </c>
      <c r="N220">
        <v>0.53051643192488263</v>
      </c>
      <c r="O220">
        <v>0.53051643192488263</v>
      </c>
      <c r="P220">
        <v>0.53051643192488263</v>
      </c>
      <c r="Q220">
        <v>0.53051643192488263</v>
      </c>
      <c r="R220">
        <v>0.53051643192488263</v>
      </c>
      <c r="S220">
        <v>0.53051643192488263</v>
      </c>
      <c r="T220">
        <v>0.53051643192488263</v>
      </c>
      <c r="U220">
        <v>0.53051643192488263</v>
      </c>
      <c r="V220">
        <v>0.53051643192488263</v>
      </c>
      <c r="W220">
        <v>0.53051643192488263</v>
      </c>
      <c r="X220">
        <v>0.53051643192488263</v>
      </c>
      <c r="Y220">
        <v>0.53051643192488263</v>
      </c>
      <c r="Z220">
        <v>0.53051643192488263</v>
      </c>
      <c r="AA220">
        <v>0.53051643192488263</v>
      </c>
      <c r="AB220">
        <v>0.53051643192488263</v>
      </c>
      <c r="AC220">
        <v>0.53051643192488263</v>
      </c>
      <c r="AD220">
        <v>0.53051643192488263</v>
      </c>
      <c r="AE220">
        <v>0.53051643192488263</v>
      </c>
      <c r="AF220">
        <v>0.53051643192488263</v>
      </c>
      <c r="AG220">
        <v>0.53051643192488263</v>
      </c>
    </row>
    <row r="221" spans="8:33" x14ac:dyDescent="0.3">
      <c r="H221">
        <f t="shared" ref="H221" si="641">H219+1</f>
        <v>107</v>
      </c>
      <c r="I221">
        <f t="shared" ref="I221" si="642">J220</f>
        <v>0.51583920295239172</v>
      </c>
      <c r="J221">
        <f t="shared" ref="J221" si="643">I221</f>
        <v>0.51583920295239172</v>
      </c>
      <c r="L221">
        <v>2.14</v>
      </c>
      <c r="M221">
        <v>0.53271028037383183</v>
      </c>
      <c r="N221">
        <v>0.53271028037383172</v>
      </c>
      <c r="O221">
        <v>0.53271028037383183</v>
      </c>
      <c r="P221">
        <v>0.53271028037383172</v>
      </c>
      <c r="Q221">
        <v>0.53271028037383183</v>
      </c>
      <c r="R221">
        <v>0.53271028037383172</v>
      </c>
      <c r="S221">
        <v>0.53271028037383183</v>
      </c>
      <c r="T221">
        <v>0.53271028037383172</v>
      </c>
      <c r="U221">
        <v>0.53271028037383183</v>
      </c>
      <c r="V221">
        <v>0.53271028037383172</v>
      </c>
      <c r="W221">
        <v>0.53271028037383183</v>
      </c>
      <c r="X221">
        <v>0.53271028037383172</v>
      </c>
      <c r="Y221">
        <v>0.53271028037383183</v>
      </c>
      <c r="Z221">
        <v>0.53271028037383172</v>
      </c>
      <c r="AA221">
        <v>0.53271028037383183</v>
      </c>
      <c r="AB221">
        <v>0.53271028037383172</v>
      </c>
      <c r="AC221">
        <v>0.53271028037383183</v>
      </c>
      <c r="AD221">
        <v>0.53271028037383172</v>
      </c>
      <c r="AE221">
        <v>0.53271028037383183</v>
      </c>
      <c r="AF221">
        <v>0.53271028037383172</v>
      </c>
      <c r="AG221">
        <v>0.53271028037383183</v>
      </c>
    </row>
    <row r="222" spans="8:33" x14ac:dyDescent="0.3">
      <c r="H222">
        <f t="shared" ref="H222" si="644">H219+1</f>
        <v>107</v>
      </c>
      <c r="I222">
        <f t="shared" ref="I222" si="645">J220</f>
        <v>0.51583920295239172</v>
      </c>
      <c r="J222">
        <f t="shared" ref="J222" si="646">$E$3*I222*(1-I222)</f>
        <v>0.99899647859933183</v>
      </c>
      <c r="L222">
        <v>2.15</v>
      </c>
      <c r="M222">
        <v>0.53488372093023262</v>
      </c>
      <c r="N222">
        <v>0.53488372093023251</v>
      </c>
      <c r="O222">
        <v>0.53488372093023262</v>
      </c>
      <c r="P222">
        <v>0.53488372093023251</v>
      </c>
      <c r="Q222">
        <v>0.53488372093023262</v>
      </c>
      <c r="R222">
        <v>0.53488372093023251</v>
      </c>
      <c r="S222">
        <v>0.53488372093023262</v>
      </c>
      <c r="T222">
        <v>0.53488372093023251</v>
      </c>
      <c r="U222">
        <v>0.53488372093023262</v>
      </c>
      <c r="V222">
        <v>0.53488372093023251</v>
      </c>
      <c r="W222">
        <v>0.53488372093023262</v>
      </c>
      <c r="X222">
        <v>0.53488372093023251</v>
      </c>
      <c r="Y222">
        <v>0.53488372093023262</v>
      </c>
      <c r="Z222">
        <v>0.53488372093023251</v>
      </c>
      <c r="AA222">
        <v>0.53488372093023262</v>
      </c>
      <c r="AB222">
        <v>0.53488372093023251</v>
      </c>
      <c r="AC222">
        <v>0.53488372093023262</v>
      </c>
      <c r="AD222">
        <v>0.53488372093023251</v>
      </c>
      <c r="AE222">
        <v>0.53488372093023262</v>
      </c>
      <c r="AF222">
        <v>0.53488372093023251</v>
      </c>
      <c r="AG222">
        <v>0.53488372093023262</v>
      </c>
    </row>
    <row r="223" spans="8:33" x14ac:dyDescent="0.3">
      <c r="H223">
        <f t="shared" ref="H223" si="647">H221+1</f>
        <v>108</v>
      </c>
      <c r="I223">
        <f t="shared" ref="I223" si="648">J222</f>
        <v>0.99899647859933183</v>
      </c>
      <c r="J223">
        <f t="shared" ref="J223" si="649">I223</f>
        <v>0.99899647859933183</v>
      </c>
      <c r="L223">
        <v>2.16</v>
      </c>
      <c r="M223">
        <v>0.53703703703703709</v>
      </c>
      <c r="N223">
        <v>0.53703703703703709</v>
      </c>
      <c r="O223">
        <v>0.53703703703703709</v>
      </c>
      <c r="P223">
        <v>0.53703703703703709</v>
      </c>
      <c r="Q223">
        <v>0.53703703703703709</v>
      </c>
      <c r="R223">
        <v>0.53703703703703709</v>
      </c>
      <c r="S223">
        <v>0.53703703703703709</v>
      </c>
      <c r="T223">
        <v>0.53703703703703709</v>
      </c>
      <c r="U223">
        <v>0.53703703703703709</v>
      </c>
      <c r="V223">
        <v>0.53703703703703709</v>
      </c>
      <c r="W223">
        <v>0.53703703703703709</v>
      </c>
      <c r="X223">
        <v>0.53703703703703709</v>
      </c>
      <c r="Y223">
        <v>0.53703703703703709</v>
      </c>
      <c r="Z223">
        <v>0.53703703703703709</v>
      </c>
      <c r="AA223">
        <v>0.53703703703703709</v>
      </c>
      <c r="AB223">
        <v>0.53703703703703709</v>
      </c>
      <c r="AC223">
        <v>0.53703703703703709</v>
      </c>
      <c r="AD223">
        <v>0.53703703703703709</v>
      </c>
      <c r="AE223">
        <v>0.53703703703703709</v>
      </c>
      <c r="AF223">
        <v>0.53703703703703709</v>
      </c>
      <c r="AG223">
        <v>0.53703703703703709</v>
      </c>
    </row>
    <row r="224" spans="8:33" x14ac:dyDescent="0.3">
      <c r="H224">
        <f t="shared" ref="H224" si="650">H221+1</f>
        <v>108</v>
      </c>
      <c r="I224">
        <f t="shared" ref="I224" si="651">J222</f>
        <v>0.99899647859933183</v>
      </c>
      <c r="J224">
        <f t="shared" ref="J224" si="652">$E$3*I224*(1-I224)</f>
        <v>4.0100573818662938E-3</v>
      </c>
      <c r="L224">
        <v>2.17</v>
      </c>
      <c r="M224">
        <v>0.53917050691244239</v>
      </c>
      <c r="N224">
        <v>0.53917050691244239</v>
      </c>
      <c r="O224">
        <v>0.53917050691244239</v>
      </c>
      <c r="P224">
        <v>0.53917050691244239</v>
      </c>
      <c r="Q224">
        <v>0.53917050691244239</v>
      </c>
      <c r="R224">
        <v>0.53917050691244239</v>
      </c>
      <c r="S224">
        <v>0.53917050691244239</v>
      </c>
      <c r="T224">
        <v>0.53917050691244239</v>
      </c>
      <c r="U224">
        <v>0.53917050691244239</v>
      </c>
      <c r="V224">
        <v>0.53917050691244239</v>
      </c>
      <c r="W224">
        <v>0.53917050691244239</v>
      </c>
      <c r="X224">
        <v>0.53917050691244239</v>
      </c>
      <c r="Y224">
        <v>0.53917050691244239</v>
      </c>
      <c r="Z224">
        <v>0.53917050691244239</v>
      </c>
      <c r="AA224">
        <v>0.53917050691244239</v>
      </c>
      <c r="AB224">
        <v>0.53917050691244239</v>
      </c>
      <c r="AC224">
        <v>0.53917050691244239</v>
      </c>
      <c r="AD224">
        <v>0.53917050691244239</v>
      </c>
      <c r="AE224">
        <v>0.53917050691244239</v>
      </c>
      <c r="AF224">
        <v>0.53917050691244239</v>
      </c>
      <c r="AG224">
        <v>0.53917050691244239</v>
      </c>
    </row>
    <row r="225" spans="8:33" x14ac:dyDescent="0.3">
      <c r="H225">
        <f t="shared" ref="H225" si="653">H223+1</f>
        <v>109</v>
      </c>
      <c r="I225">
        <f t="shared" ref="I225" si="654">J224</f>
        <v>4.0100573818662938E-3</v>
      </c>
      <c r="J225">
        <f t="shared" ref="J225" si="655">I225</f>
        <v>4.0100573818662938E-3</v>
      </c>
      <c r="L225">
        <v>2.1800000000000002</v>
      </c>
      <c r="M225">
        <v>0.54128440366972486</v>
      </c>
      <c r="N225">
        <v>0.54128440366972486</v>
      </c>
      <c r="O225">
        <v>0.54128440366972486</v>
      </c>
      <c r="P225">
        <v>0.54128440366972486</v>
      </c>
      <c r="Q225">
        <v>0.54128440366972486</v>
      </c>
      <c r="R225">
        <v>0.54128440366972486</v>
      </c>
      <c r="S225">
        <v>0.54128440366972486</v>
      </c>
      <c r="T225">
        <v>0.54128440366972486</v>
      </c>
      <c r="U225">
        <v>0.54128440366972486</v>
      </c>
      <c r="V225">
        <v>0.54128440366972486</v>
      </c>
      <c r="W225">
        <v>0.54128440366972486</v>
      </c>
      <c r="X225">
        <v>0.54128440366972486</v>
      </c>
      <c r="Y225">
        <v>0.54128440366972486</v>
      </c>
      <c r="Z225">
        <v>0.54128440366972486</v>
      </c>
      <c r="AA225">
        <v>0.54128440366972486</v>
      </c>
      <c r="AB225">
        <v>0.54128440366972486</v>
      </c>
      <c r="AC225">
        <v>0.54128440366972486</v>
      </c>
      <c r="AD225">
        <v>0.54128440366972486</v>
      </c>
      <c r="AE225">
        <v>0.54128440366972486</v>
      </c>
      <c r="AF225">
        <v>0.54128440366972486</v>
      </c>
      <c r="AG225">
        <v>0.54128440366972486</v>
      </c>
    </row>
    <row r="226" spans="8:33" x14ac:dyDescent="0.3">
      <c r="H226">
        <f t="shared" ref="H226" si="656">H223+1</f>
        <v>109</v>
      </c>
      <c r="I226">
        <f t="shared" ref="I226" si="657">J224</f>
        <v>4.0100573818662938E-3</v>
      </c>
      <c r="J226">
        <f t="shared" ref="J226" si="658">$E$3*I226*(1-I226)</f>
        <v>1.5975907286641732E-2</v>
      </c>
      <c r="L226">
        <v>2.19</v>
      </c>
      <c r="M226">
        <v>0.54337899543378998</v>
      </c>
      <c r="N226">
        <v>0.54337899543378987</v>
      </c>
      <c r="O226">
        <v>0.54337899543378998</v>
      </c>
      <c r="P226">
        <v>0.54337899543378987</v>
      </c>
      <c r="Q226">
        <v>0.54337899543378998</v>
      </c>
      <c r="R226">
        <v>0.54337899543378987</v>
      </c>
      <c r="S226">
        <v>0.54337899543378998</v>
      </c>
      <c r="T226">
        <v>0.54337899543378987</v>
      </c>
      <c r="U226">
        <v>0.54337899543378998</v>
      </c>
      <c r="V226">
        <v>0.54337899543378987</v>
      </c>
      <c r="W226">
        <v>0.54337899543378998</v>
      </c>
      <c r="X226">
        <v>0.54337899543378987</v>
      </c>
      <c r="Y226">
        <v>0.54337899543378998</v>
      </c>
      <c r="Z226">
        <v>0.54337899543378987</v>
      </c>
      <c r="AA226">
        <v>0.54337899543378998</v>
      </c>
      <c r="AB226">
        <v>0.54337899543378987</v>
      </c>
      <c r="AC226">
        <v>0.54337899543378998</v>
      </c>
      <c r="AD226">
        <v>0.54337899543378987</v>
      </c>
      <c r="AE226">
        <v>0.54337899543378998</v>
      </c>
      <c r="AF226">
        <v>0.54337899543378987</v>
      </c>
      <c r="AG226">
        <v>0.54337899543378998</v>
      </c>
    </row>
    <row r="227" spans="8:33" x14ac:dyDescent="0.3">
      <c r="H227">
        <f t="shared" ref="H227" si="659">H225+1</f>
        <v>110</v>
      </c>
      <c r="I227">
        <f t="shared" ref="I227" si="660">J226</f>
        <v>1.5975907286641732E-2</v>
      </c>
      <c r="J227">
        <f t="shared" ref="J227" si="661">I227</f>
        <v>1.5975907286641732E-2</v>
      </c>
      <c r="L227">
        <v>2.2000000000000002</v>
      </c>
      <c r="M227">
        <v>0.54545454545454553</v>
      </c>
      <c r="N227">
        <v>0.54545454545454541</v>
      </c>
      <c r="O227">
        <v>0.54545454545454553</v>
      </c>
      <c r="P227">
        <v>0.54545454545454541</v>
      </c>
      <c r="Q227">
        <v>0.54545454545454553</v>
      </c>
      <c r="R227">
        <v>0.54545454545454541</v>
      </c>
      <c r="S227">
        <v>0.54545454545454553</v>
      </c>
      <c r="T227">
        <v>0.54545454545454541</v>
      </c>
      <c r="U227">
        <v>0.54545454545454553</v>
      </c>
      <c r="V227">
        <v>0.54545454545454541</v>
      </c>
      <c r="W227">
        <v>0.54545454545454553</v>
      </c>
      <c r="X227">
        <v>0.54545454545454541</v>
      </c>
      <c r="Y227">
        <v>0.54545454545454553</v>
      </c>
      <c r="Z227">
        <v>0.54545454545454541</v>
      </c>
      <c r="AA227">
        <v>0.54545454545454553</v>
      </c>
      <c r="AB227">
        <v>0.54545454545454541</v>
      </c>
      <c r="AC227">
        <v>0.54545454545454553</v>
      </c>
      <c r="AD227">
        <v>0.54545454545454541</v>
      </c>
      <c r="AE227">
        <v>0.54545454545454553</v>
      </c>
      <c r="AF227">
        <v>0.54545454545454541</v>
      </c>
      <c r="AG227">
        <v>0.54545454545454553</v>
      </c>
    </row>
    <row r="228" spans="8:33" x14ac:dyDescent="0.3">
      <c r="H228">
        <f t="shared" ref="H228" si="662">H225+1</f>
        <v>110</v>
      </c>
      <c r="I228">
        <f t="shared" ref="I228" si="663">J226</f>
        <v>1.5975907286641732E-2</v>
      </c>
      <c r="J228">
        <f t="shared" ref="J228" si="664">$E$3*I228*(1-I228)</f>
        <v>6.2882710692041432E-2</v>
      </c>
      <c r="L228">
        <v>2.21</v>
      </c>
      <c r="M228">
        <v>0.54751131221719451</v>
      </c>
      <c r="N228">
        <v>0.54751131221719451</v>
      </c>
      <c r="O228">
        <v>0.54751131221719451</v>
      </c>
      <c r="P228">
        <v>0.54751131221719451</v>
      </c>
      <c r="Q228">
        <v>0.54751131221719451</v>
      </c>
      <c r="R228">
        <v>0.54751131221719451</v>
      </c>
      <c r="S228">
        <v>0.54751131221719451</v>
      </c>
      <c r="T228">
        <v>0.54751131221719451</v>
      </c>
      <c r="U228">
        <v>0.54751131221719451</v>
      </c>
      <c r="V228">
        <v>0.54751131221719451</v>
      </c>
      <c r="W228">
        <v>0.54751131221719451</v>
      </c>
      <c r="X228">
        <v>0.54751131221719451</v>
      </c>
      <c r="Y228">
        <v>0.54751131221719451</v>
      </c>
      <c r="Z228">
        <v>0.54751131221719451</v>
      </c>
      <c r="AA228">
        <v>0.54751131221719451</v>
      </c>
      <c r="AB228">
        <v>0.54751131221719451</v>
      </c>
      <c r="AC228">
        <v>0.54751131221719451</v>
      </c>
      <c r="AD228">
        <v>0.54751131221719451</v>
      </c>
      <c r="AE228">
        <v>0.54751131221719451</v>
      </c>
      <c r="AF228">
        <v>0.54751131221719451</v>
      </c>
      <c r="AG228">
        <v>0.54751131221719451</v>
      </c>
    </row>
    <row r="229" spans="8:33" x14ac:dyDescent="0.3">
      <c r="H229">
        <f t="shared" ref="H229" si="665">H227+1</f>
        <v>111</v>
      </c>
      <c r="I229">
        <f t="shared" ref="I229" si="666">J228</f>
        <v>6.2882710692041432E-2</v>
      </c>
      <c r="J229">
        <f t="shared" ref="J229" si="667">I229</f>
        <v>6.2882710692041432E-2</v>
      </c>
      <c r="L229">
        <v>2.2200000000000002</v>
      </c>
      <c r="M229">
        <v>0.5495495495495496</v>
      </c>
      <c r="N229">
        <v>0.5495495495495496</v>
      </c>
      <c r="O229">
        <v>0.5495495495495496</v>
      </c>
      <c r="P229">
        <v>0.5495495495495496</v>
      </c>
      <c r="Q229">
        <v>0.5495495495495496</v>
      </c>
      <c r="R229">
        <v>0.5495495495495496</v>
      </c>
      <c r="S229">
        <v>0.5495495495495496</v>
      </c>
      <c r="T229">
        <v>0.5495495495495496</v>
      </c>
      <c r="U229">
        <v>0.5495495495495496</v>
      </c>
      <c r="V229">
        <v>0.5495495495495496</v>
      </c>
      <c r="W229">
        <v>0.5495495495495496</v>
      </c>
      <c r="X229">
        <v>0.5495495495495496</v>
      </c>
      <c r="Y229">
        <v>0.5495495495495496</v>
      </c>
      <c r="Z229">
        <v>0.5495495495495496</v>
      </c>
      <c r="AA229">
        <v>0.5495495495495496</v>
      </c>
      <c r="AB229">
        <v>0.5495495495495496</v>
      </c>
      <c r="AC229">
        <v>0.5495495495495496</v>
      </c>
      <c r="AD229">
        <v>0.5495495495495496</v>
      </c>
      <c r="AE229">
        <v>0.5495495495495496</v>
      </c>
      <c r="AF229">
        <v>0.5495495495495496</v>
      </c>
      <c r="AG229">
        <v>0.5495495495495496</v>
      </c>
    </row>
    <row r="230" spans="8:33" x14ac:dyDescent="0.3">
      <c r="H230">
        <f t="shared" ref="H230" si="668">H227+1</f>
        <v>111</v>
      </c>
      <c r="I230">
        <f t="shared" ref="I230" si="669">J228</f>
        <v>6.2882710692041432E-2</v>
      </c>
      <c r="J230">
        <f t="shared" ref="J230" si="670">$E$3*I230*(1-I230)</f>
        <v>0.2357139015522498</v>
      </c>
      <c r="L230">
        <v>2.23</v>
      </c>
      <c r="M230">
        <v>0.55156950672645744</v>
      </c>
      <c r="N230">
        <v>0.55156950672645733</v>
      </c>
      <c r="O230">
        <v>0.55156950672645744</v>
      </c>
      <c r="P230">
        <v>0.55156950672645733</v>
      </c>
      <c r="Q230">
        <v>0.55156950672645744</v>
      </c>
      <c r="R230">
        <v>0.55156950672645733</v>
      </c>
      <c r="S230">
        <v>0.55156950672645744</v>
      </c>
      <c r="T230">
        <v>0.55156950672645733</v>
      </c>
      <c r="U230">
        <v>0.55156950672645744</v>
      </c>
      <c r="V230">
        <v>0.55156950672645733</v>
      </c>
      <c r="W230">
        <v>0.55156950672645744</v>
      </c>
      <c r="X230">
        <v>0.55156950672645733</v>
      </c>
      <c r="Y230">
        <v>0.55156950672645744</v>
      </c>
      <c r="Z230">
        <v>0.55156950672645733</v>
      </c>
      <c r="AA230">
        <v>0.55156950672645744</v>
      </c>
      <c r="AB230">
        <v>0.55156950672645733</v>
      </c>
      <c r="AC230">
        <v>0.55156950672645744</v>
      </c>
      <c r="AD230">
        <v>0.55156950672645733</v>
      </c>
      <c r="AE230">
        <v>0.55156950672645744</v>
      </c>
      <c r="AF230">
        <v>0.55156950672645733</v>
      </c>
      <c r="AG230">
        <v>0.55156950672645744</v>
      </c>
    </row>
    <row r="231" spans="8:33" x14ac:dyDescent="0.3">
      <c r="H231">
        <f t="shared" ref="H231" si="671">H229+1</f>
        <v>112</v>
      </c>
      <c r="I231">
        <f t="shared" ref="I231" si="672">J230</f>
        <v>0.2357139015522498</v>
      </c>
      <c r="J231">
        <f t="shared" ref="J231" si="673">I231</f>
        <v>0.2357139015522498</v>
      </c>
      <c r="L231">
        <v>2.2400000000000002</v>
      </c>
      <c r="M231">
        <v>0.5535714285714286</v>
      </c>
      <c r="N231">
        <v>0.5535714285714286</v>
      </c>
      <c r="O231">
        <v>0.5535714285714286</v>
      </c>
      <c r="P231">
        <v>0.5535714285714286</v>
      </c>
      <c r="Q231">
        <v>0.5535714285714286</v>
      </c>
      <c r="R231">
        <v>0.5535714285714286</v>
      </c>
      <c r="S231">
        <v>0.5535714285714286</v>
      </c>
      <c r="T231">
        <v>0.5535714285714286</v>
      </c>
      <c r="U231">
        <v>0.5535714285714286</v>
      </c>
      <c r="V231">
        <v>0.5535714285714286</v>
      </c>
      <c r="W231">
        <v>0.5535714285714286</v>
      </c>
      <c r="X231">
        <v>0.5535714285714286</v>
      </c>
      <c r="Y231">
        <v>0.5535714285714286</v>
      </c>
      <c r="Z231">
        <v>0.5535714285714286</v>
      </c>
      <c r="AA231">
        <v>0.5535714285714286</v>
      </c>
      <c r="AB231">
        <v>0.5535714285714286</v>
      </c>
      <c r="AC231">
        <v>0.5535714285714286</v>
      </c>
      <c r="AD231">
        <v>0.5535714285714286</v>
      </c>
      <c r="AE231">
        <v>0.5535714285714286</v>
      </c>
      <c r="AF231">
        <v>0.5535714285714286</v>
      </c>
      <c r="AG231">
        <v>0.5535714285714286</v>
      </c>
    </row>
    <row r="232" spans="8:33" x14ac:dyDescent="0.3">
      <c r="H232">
        <f t="shared" ref="H232" si="674">H229+1</f>
        <v>112</v>
      </c>
      <c r="I232">
        <f t="shared" ref="I232" si="675">J230</f>
        <v>0.2357139015522498</v>
      </c>
      <c r="J232">
        <f t="shared" ref="J232" si="676">$E$3*I232*(1-I232)</f>
        <v>0.72061143266906436</v>
      </c>
      <c r="L232">
        <v>2.25</v>
      </c>
      <c r="M232">
        <v>0.55555555555555558</v>
      </c>
      <c r="N232">
        <v>0.55555555555555558</v>
      </c>
      <c r="O232">
        <v>0.55555555555555558</v>
      </c>
      <c r="P232">
        <v>0.55555555555555558</v>
      </c>
      <c r="Q232">
        <v>0.55555555555555558</v>
      </c>
      <c r="R232">
        <v>0.55555555555555558</v>
      </c>
      <c r="S232">
        <v>0.55555555555555558</v>
      </c>
      <c r="T232">
        <v>0.55555555555555558</v>
      </c>
      <c r="U232">
        <v>0.55555555555555558</v>
      </c>
      <c r="V232">
        <v>0.55555555555555558</v>
      </c>
      <c r="W232">
        <v>0.55555555555555558</v>
      </c>
      <c r="X232">
        <v>0.55555555555555558</v>
      </c>
      <c r="Y232">
        <v>0.55555555555555558</v>
      </c>
      <c r="Z232">
        <v>0.55555555555555558</v>
      </c>
      <c r="AA232">
        <v>0.55555555555555558</v>
      </c>
      <c r="AB232">
        <v>0.55555555555555558</v>
      </c>
      <c r="AC232">
        <v>0.55555555555555558</v>
      </c>
      <c r="AD232">
        <v>0.55555555555555558</v>
      </c>
      <c r="AE232">
        <v>0.55555555555555558</v>
      </c>
      <c r="AF232">
        <v>0.55555555555555558</v>
      </c>
      <c r="AG232">
        <v>0.55555555555555558</v>
      </c>
    </row>
    <row r="233" spans="8:33" x14ac:dyDescent="0.3">
      <c r="H233">
        <f t="shared" ref="H233" si="677">H231+1</f>
        <v>113</v>
      </c>
      <c r="I233">
        <f t="shared" ref="I233" si="678">J232</f>
        <v>0.72061143266906436</v>
      </c>
      <c r="J233">
        <f t="shared" ref="J233" si="679">I233</f>
        <v>0.72061143266906436</v>
      </c>
      <c r="L233">
        <v>2.2599999999999998</v>
      </c>
      <c r="M233">
        <v>0.55752212389380529</v>
      </c>
      <c r="N233">
        <v>0.55752212389380529</v>
      </c>
      <c r="O233">
        <v>0.55752212389380529</v>
      </c>
      <c r="P233">
        <v>0.55752212389380529</v>
      </c>
      <c r="Q233">
        <v>0.55752212389380529</v>
      </c>
      <c r="R233">
        <v>0.55752212389380529</v>
      </c>
      <c r="S233">
        <v>0.55752212389380529</v>
      </c>
      <c r="T233">
        <v>0.55752212389380529</v>
      </c>
      <c r="U233">
        <v>0.55752212389380529</v>
      </c>
      <c r="V233">
        <v>0.55752212389380529</v>
      </c>
      <c r="W233">
        <v>0.55752212389380529</v>
      </c>
      <c r="X233">
        <v>0.55752212389380529</v>
      </c>
      <c r="Y233">
        <v>0.55752212389380529</v>
      </c>
      <c r="Z233">
        <v>0.55752212389380529</v>
      </c>
      <c r="AA233">
        <v>0.55752212389380529</v>
      </c>
      <c r="AB233">
        <v>0.55752212389380529</v>
      </c>
      <c r="AC233">
        <v>0.55752212389380529</v>
      </c>
      <c r="AD233">
        <v>0.55752212389380529</v>
      </c>
      <c r="AE233">
        <v>0.55752212389380529</v>
      </c>
      <c r="AF233">
        <v>0.55752212389380529</v>
      </c>
      <c r="AG233">
        <v>0.55752212389380529</v>
      </c>
    </row>
    <row r="234" spans="8:33" x14ac:dyDescent="0.3">
      <c r="H234">
        <f t="shared" ref="H234" si="680">H231+1</f>
        <v>113</v>
      </c>
      <c r="I234">
        <f t="shared" ref="I234" si="681">J232</f>
        <v>0.72061143266906436</v>
      </c>
      <c r="J234">
        <f t="shared" ref="J234" si="682">$E$3*I234*(1-I234)</f>
        <v>0.80532238310281157</v>
      </c>
      <c r="L234">
        <v>2.27</v>
      </c>
      <c r="M234">
        <v>0.55947136563876654</v>
      </c>
      <c r="N234">
        <v>0.55947136563876654</v>
      </c>
      <c r="O234">
        <v>0.55947136563876654</v>
      </c>
      <c r="P234">
        <v>0.55947136563876654</v>
      </c>
      <c r="Q234">
        <v>0.55947136563876654</v>
      </c>
      <c r="R234">
        <v>0.55947136563876654</v>
      </c>
      <c r="S234">
        <v>0.55947136563876654</v>
      </c>
      <c r="T234">
        <v>0.55947136563876654</v>
      </c>
      <c r="U234">
        <v>0.55947136563876654</v>
      </c>
      <c r="V234">
        <v>0.55947136563876654</v>
      </c>
      <c r="W234">
        <v>0.55947136563876654</v>
      </c>
      <c r="X234">
        <v>0.55947136563876654</v>
      </c>
      <c r="Y234">
        <v>0.55947136563876654</v>
      </c>
      <c r="Z234">
        <v>0.55947136563876654</v>
      </c>
      <c r="AA234">
        <v>0.55947136563876654</v>
      </c>
      <c r="AB234">
        <v>0.55947136563876654</v>
      </c>
      <c r="AC234">
        <v>0.55947136563876654</v>
      </c>
      <c r="AD234">
        <v>0.55947136563876654</v>
      </c>
      <c r="AE234">
        <v>0.55947136563876654</v>
      </c>
      <c r="AF234">
        <v>0.55947136563876654</v>
      </c>
      <c r="AG234">
        <v>0.55947136563876654</v>
      </c>
    </row>
    <row r="235" spans="8:33" x14ac:dyDescent="0.3">
      <c r="H235">
        <f t="shared" ref="H235" si="683">H233+1</f>
        <v>114</v>
      </c>
      <c r="I235">
        <f t="shared" ref="I235" si="684">J234</f>
        <v>0.80532238310281157</v>
      </c>
      <c r="J235">
        <f t="shared" ref="J235" si="685">I235</f>
        <v>0.80532238310281157</v>
      </c>
      <c r="L235">
        <v>2.2799999999999998</v>
      </c>
      <c r="M235">
        <v>0.56140350877192979</v>
      </c>
      <c r="N235">
        <v>0.56140350877192979</v>
      </c>
      <c r="O235">
        <v>0.56140350877192979</v>
      </c>
      <c r="P235">
        <v>0.56140350877192979</v>
      </c>
      <c r="Q235">
        <v>0.56140350877192979</v>
      </c>
      <c r="R235">
        <v>0.56140350877192979</v>
      </c>
      <c r="S235">
        <v>0.56140350877192979</v>
      </c>
      <c r="T235">
        <v>0.56140350877192979</v>
      </c>
      <c r="U235">
        <v>0.56140350877192979</v>
      </c>
      <c r="V235">
        <v>0.56140350877192979</v>
      </c>
      <c r="W235">
        <v>0.56140350877192979</v>
      </c>
      <c r="X235">
        <v>0.56140350877192979</v>
      </c>
      <c r="Y235">
        <v>0.56140350877192979</v>
      </c>
      <c r="Z235">
        <v>0.56140350877192979</v>
      </c>
      <c r="AA235">
        <v>0.56140350877192979</v>
      </c>
      <c r="AB235">
        <v>0.56140350877192979</v>
      </c>
      <c r="AC235">
        <v>0.56140350877192979</v>
      </c>
      <c r="AD235">
        <v>0.56140350877192979</v>
      </c>
      <c r="AE235">
        <v>0.56140350877192979</v>
      </c>
      <c r="AF235">
        <v>0.56140350877192979</v>
      </c>
      <c r="AG235">
        <v>0.56140350877192979</v>
      </c>
    </row>
    <row r="236" spans="8:33" x14ac:dyDescent="0.3">
      <c r="H236">
        <f t="shared" ref="H236" si="686">H233+1</f>
        <v>114</v>
      </c>
      <c r="I236">
        <f t="shared" ref="I236" si="687">J234</f>
        <v>0.80532238310281157</v>
      </c>
      <c r="J236">
        <f t="shared" ref="J236" si="688">$E$3*I236*(1-I236)</f>
        <v>0.62711296950567985</v>
      </c>
      <c r="L236">
        <v>2.29</v>
      </c>
      <c r="M236">
        <v>0.5633187772925764</v>
      </c>
      <c r="N236">
        <v>0.56331877729257651</v>
      </c>
      <c r="O236">
        <v>0.5633187772925764</v>
      </c>
      <c r="P236">
        <v>0.56331877729257651</v>
      </c>
      <c r="Q236">
        <v>0.5633187772925764</v>
      </c>
      <c r="R236">
        <v>0.56331877729257651</v>
      </c>
      <c r="S236">
        <v>0.5633187772925764</v>
      </c>
      <c r="T236">
        <v>0.56331877729257651</v>
      </c>
      <c r="U236">
        <v>0.5633187772925764</v>
      </c>
      <c r="V236">
        <v>0.56331877729257651</v>
      </c>
      <c r="W236">
        <v>0.5633187772925764</v>
      </c>
      <c r="X236">
        <v>0.56331877729257651</v>
      </c>
      <c r="Y236">
        <v>0.5633187772925764</v>
      </c>
      <c r="Z236">
        <v>0.56331877729257651</v>
      </c>
      <c r="AA236">
        <v>0.5633187772925764</v>
      </c>
      <c r="AB236">
        <v>0.56331877729257651</v>
      </c>
      <c r="AC236">
        <v>0.5633187772925764</v>
      </c>
      <c r="AD236">
        <v>0.56331877729257651</v>
      </c>
      <c r="AE236">
        <v>0.5633187772925764</v>
      </c>
      <c r="AF236">
        <v>0.56331877729257651</v>
      </c>
      <c r="AG236">
        <v>0.5633187772925764</v>
      </c>
    </row>
    <row r="237" spans="8:33" x14ac:dyDescent="0.3">
      <c r="H237">
        <f t="shared" ref="H237" si="689">H235+1</f>
        <v>115</v>
      </c>
      <c r="I237">
        <f t="shared" ref="I237" si="690">J236</f>
        <v>0.62711296950567985</v>
      </c>
      <c r="J237">
        <f t="shared" ref="J237" si="691">I237</f>
        <v>0.62711296950567985</v>
      </c>
      <c r="L237">
        <v>2.2999999999999998</v>
      </c>
      <c r="M237">
        <v>0.56521739130434778</v>
      </c>
      <c r="N237">
        <v>0.56521739130434778</v>
      </c>
      <c r="O237">
        <v>0.56521739130434778</v>
      </c>
      <c r="P237">
        <v>0.56521739130434778</v>
      </c>
      <c r="Q237">
        <v>0.56521739130434778</v>
      </c>
      <c r="R237">
        <v>0.56521739130434778</v>
      </c>
      <c r="S237">
        <v>0.56521739130434778</v>
      </c>
      <c r="T237">
        <v>0.56521739130434778</v>
      </c>
      <c r="U237">
        <v>0.56521739130434778</v>
      </c>
      <c r="V237">
        <v>0.56521739130434778</v>
      </c>
      <c r="W237">
        <v>0.56521739130434778</v>
      </c>
      <c r="X237">
        <v>0.56521739130434778</v>
      </c>
      <c r="Y237">
        <v>0.56521739130434778</v>
      </c>
      <c r="Z237">
        <v>0.56521739130434778</v>
      </c>
      <c r="AA237">
        <v>0.56521739130434778</v>
      </c>
      <c r="AB237">
        <v>0.56521739130434778</v>
      </c>
      <c r="AC237">
        <v>0.56521739130434778</v>
      </c>
      <c r="AD237">
        <v>0.56521739130434778</v>
      </c>
      <c r="AE237">
        <v>0.56521739130434778</v>
      </c>
      <c r="AF237">
        <v>0.56521739130434778</v>
      </c>
      <c r="AG237">
        <v>0.56521739130434778</v>
      </c>
    </row>
    <row r="238" spans="8:33" x14ac:dyDescent="0.3">
      <c r="H238">
        <f t="shared" ref="H238" si="692">H235+1</f>
        <v>115</v>
      </c>
      <c r="I238">
        <f t="shared" ref="I238" si="693">J236</f>
        <v>0.62711296950567985</v>
      </c>
      <c r="J238">
        <f t="shared" ref="J238" si="694">$E$3*I238*(1-I238)</f>
        <v>0.93536917193379243</v>
      </c>
      <c r="L238">
        <v>2.31</v>
      </c>
      <c r="M238">
        <v>0.5670995670995671</v>
      </c>
      <c r="N238">
        <v>0.5670995670995671</v>
      </c>
      <c r="O238">
        <v>0.5670995670995671</v>
      </c>
      <c r="P238">
        <v>0.5670995670995671</v>
      </c>
      <c r="Q238">
        <v>0.5670995670995671</v>
      </c>
      <c r="R238">
        <v>0.5670995670995671</v>
      </c>
      <c r="S238">
        <v>0.5670995670995671</v>
      </c>
      <c r="T238">
        <v>0.5670995670995671</v>
      </c>
      <c r="U238">
        <v>0.5670995670995671</v>
      </c>
      <c r="V238">
        <v>0.5670995670995671</v>
      </c>
      <c r="W238">
        <v>0.5670995670995671</v>
      </c>
      <c r="X238">
        <v>0.5670995670995671</v>
      </c>
      <c r="Y238">
        <v>0.5670995670995671</v>
      </c>
      <c r="Z238">
        <v>0.5670995670995671</v>
      </c>
      <c r="AA238">
        <v>0.5670995670995671</v>
      </c>
      <c r="AB238">
        <v>0.5670995670995671</v>
      </c>
      <c r="AC238">
        <v>0.5670995670995671</v>
      </c>
      <c r="AD238">
        <v>0.5670995670995671</v>
      </c>
      <c r="AE238">
        <v>0.5670995670995671</v>
      </c>
      <c r="AF238">
        <v>0.5670995670995671</v>
      </c>
      <c r="AG238">
        <v>0.5670995670995671</v>
      </c>
    </row>
    <row r="239" spans="8:33" x14ac:dyDescent="0.3">
      <c r="H239">
        <f t="shared" ref="H239" si="695">H237+1</f>
        <v>116</v>
      </c>
      <c r="I239">
        <f t="shared" ref="I239" si="696">J238</f>
        <v>0.93536917193379243</v>
      </c>
      <c r="J239">
        <f t="shared" ref="J239" si="697">I239</f>
        <v>0.93536917193379243</v>
      </c>
      <c r="L239">
        <v>2.3199999999999998</v>
      </c>
      <c r="M239">
        <v>0.56896551724137934</v>
      </c>
      <c r="N239">
        <v>0.56896551724137934</v>
      </c>
      <c r="O239">
        <v>0.56896551724137934</v>
      </c>
      <c r="P239">
        <v>0.56896551724137934</v>
      </c>
      <c r="Q239">
        <v>0.56896551724137934</v>
      </c>
      <c r="R239">
        <v>0.56896551724137934</v>
      </c>
      <c r="S239">
        <v>0.56896551724137934</v>
      </c>
      <c r="T239">
        <v>0.56896551724137934</v>
      </c>
      <c r="U239">
        <v>0.56896551724137934</v>
      </c>
      <c r="V239">
        <v>0.56896551724137934</v>
      </c>
      <c r="W239">
        <v>0.56896551724137934</v>
      </c>
      <c r="X239">
        <v>0.56896551724137934</v>
      </c>
      <c r="Y239">
        <v>0.56896551724137934</v>
      </c>
      <c r="Z239">
        <v>0.56896551724137934</v>
      </c>
      <c r="AA239">
        <v>0.56896551724137934</v>
      </c>
      <c r="AB239">
        <v>0.56896551724137934</v>
      </c>
      <c r="AC239">
        <v>0.56896551724137934</v>
      </c>
      <c r="AD239">
        <v>0.56896551724137934</v>
      </c>
      <c r="AE239">
        <v>0.56896551724137934</v>
      </c>
      <c r="AF239">
        <v>0.56896551724137934</v>
      </c>
      <c r="AG239">
        <v>0.56896551724137934</v>
      </c>
    </row>
    <row r="240" spans="8:33" x14ac:dyDescent="0.3">
      <c r="H240">
        <f t="shared" ref="H240" si="698">H237+1</f>
        <v>116</v>
      </c>
      <c r="I240">
        <f t="shared" ref="I240" si="699">J238</f>
        <v>0.93536917193379243</v>
      </c>
      <c r="J240">
        <f t="shared" ref="J240" si="700">$E$3*I240*(1-I240)</f>
        <v>0.24181473651873553</v>
      </c>
      <c r="L240">
        <v>2.33</v>
      </c>
      <c r="M240">
        <v>0.57081545064377692</v>
      </c>
      <c r="N240">
        <v>0.57081545064377681</v>
      </c>
      <c r="O240">
        <v>0.57081545064377692</v>
      </c>
      <c r="P240">
        <v>0.57081545064377681</v>
      </c>
      <c r="Q240">
        <v>0.57081545064377692</v>
      </c>
      <c r="R240">
        <v>0.57081545064377681</v>
      </c>
      <c r="S240">
        <v>0.57081545064377692</v>
      </c>
      <c r="T240">
        <v>0.57081545064377681</v>
      </c>
      <c r="U240">
        <v>0.57081545064377692</v>
      </c>
      <c r="V240">
        <v>0.57081545064377681</v>
      </c>
      <c r="W240">
        <v>0.57081545064377692</v>
      </c>
      <c r="X240">
        <v>0.57081545064377681</v>
      </c>
      <c r="Y240">
        <v>0.57081545064377692</v>
      </c>
      <c r="Z240">
        <v>0.57081545064377681</v>
      </c>
      <c r="AA240">
        <v>0.57081545064377692</v>
      </c>
      <c r="AB240">
        <v>0.57081545064377681</v>
      </c>
      <c r="AC240">
        <v>0.57081545064377692</v>
      </c>
      <c r="AD240">
        <v>0.57081545064377681</v>
      </c>
      <c r="AE240">
        <v>0.57081545064377692</v>
      </c>
      <c r="AF240">
        <v>0.57081545064377681</v>
      </c>
      <c r="AG240">
        <v>0.57081545064377692</v>
      </c>
    </row>
    <row r="241" spans="8:33" x14ac:dyDescent="0.3">
      <c r="H241">
        <f t="shared" ref="H241" si="701">H239+1</f>
        <v>117</v>
      </c>
      <c r="I241">
        <f t="shared" ref="I241" si="702">J240</f>
        <v>0.24181473651873553</v>
      </c>
      <c r="J241">
        <f t="shared" ref="J241" si="703">I241</f>
        <v>0.24181473651873553</v>
      </c>
      <c r="L241">
        <v>2.34</v>
      </c>
      <c r="M241">
        <v>0.57264957264957261</v>
      </c>
      <c r="N241">
        <v>0.57264957264957261</v>
      </c>
      <c r="O241">
        <v>0.57264957264957261</v>
      </c>
      <c r="P241">
        <v>0.57264957264957261</v>
      </c>
      <c r="Q241">
        <v>0.57264957264957261</v>
      </c>
      <c r="R241">
        <v>0.57264957264957261</v>
      </c>
      <c r="S241">
        <v>0.57264957264957261</v>
      </c>
      <c r="T241">
        <v>0.57264957264957261</v>
      </c>
      <c r="U241">
        <v>0.57264957264957261</v>
      </c>
      <c r="V241">
        <v>0.57264957264957261</v>
      </c>
      <c r="W241">
        <v>0.57264957264957261</v>
      </c>
      <c r="X241">
        <v>0.57264957264957261</v>
      </c>
      <c r="Y241">
        <v>0.57264957264957261</v>
      </c>
      <c r="Z241">
        <v>0.57264957264957261</v>
      </c>
      <c r="AA241">
        <v>0.57264957264957261</v>
      </c>
      <c r="AB241">
        <v>0.57264957264957261</v>
      </c>
      <c r="AC241">
        <v>0.57264957264957261</v>
      </c>
      <c r="AD241">
        <v>0.57264957264957261</v>
      </c>
      <c r="AE241">
        <v>0.57264957264957261</v>
      </c>
      <c r="AF241">
        <v>0.57264957264957261</v>
      </c>
      <c r="AG241">
        <v>0.57264957264957261</v>
      </c>
    </row>
    <row r="242" spans="8:33" x14ac:dyDescent="0.3">
      <c r="H242">
        <f t="shared" ref="H242" si="704">H239+1</f>
        <v>117</v>
      </c>
      <c r="I242">
        <f t="shared" ref="I242" si="705">J240</f>
        <v>0.24181473651873553</v>
      </c>
      <c r="J242">
        <f t="shared" ref="J242" si="706">$E$3*I242*(1-I242)</f>
        <v>0.73336147888444014</v>
      </c>
      <c r="L242">
        <v>2.35</v>
      </c>
      <c r="M242">
        <v>0.57446808510638292</v>
      </c>
      <c r="N242">
        <v>0.57446808510638303</v>
      </c>
      <c r="O242">
        <v>0.57446808510638292</v>
      </c>
      <c r="P242">
        <v>0.57446808510638303</v>
      </c>
      <c r="Q242">
        <v>0.57446808510638292</v>
      </c>
      <c r="R242">
        <v>0.57446808510638303</v>
      </c>
      <c r="S242">
        <v>0.57446808510638292</v>
      </c>
      <c r="T242">
        <v>0.57446808510638303</v>
      </c>
      <c r="U242">
        <v>0.57446808510638292</v>
      </c>
      <c r="V242">
        <v>0.57446808510638303</v>
      </c>
      <c r="W242">
        <v>0.57446808510638292</v>
      </c>
      <c r="X242">
        <v>0.57446808510638303</v>
      </c>
      <c r="Y242">
        <v>0.57446808510638292</v>
      </c>
      <c r="Z242">
        <v>0.57446808510638303</v>
      </c>
      <c r="AA242">
        <v>0.57446808510638292</v>
      </c>
      <c r="AB242">
        <v>0.57446808510638303</v>
      </c>
      <c r="AC242">
        <v>0.57446808510638292</v>
      </c>
      <c r="AD242">
        <v>0.57446808510638303</v>
      </c>
      <c r="AE242">
        <v>0.57446808510638292</v>
      </c>
      <c r="AF242">
        <v>0.57446808510638303</v>
      </c>
      <c r="AG242">
        <v>0.57446808510638292</v>
      </c>
    </row>
    <row r="243" spans="8:33" x14ac:dyDescent="0.3">
      <c r="H243">
        <f t="shared" ref="H243" si="707">H241+1</f>
        <v>118</v>
      </c>
      <c r="I243">
        <f t="shared" ref="I243" si="708">J242</f>
        <v>0.73336147888444014</v>
      </c>
      <c r="J243">
        <f t="shared" ref="J243" si="709">I243</f>
        <v>0.73336147888444014</v>
      </c>
      <c r="L243">
        <v>2.36</v>
      </c>
      <c r="M243">
        <v>0.57627118644067798</v>
      </c>
      <c r="N243">
        <v>0.57627118644067787</v>
      </c>
      <c r="O243">
        <v>0.57627118644067798</v>
      </c>
      <c r="P243">
        <v>0.57627118644067787</v>
      </c>
      <c r="Q243">
        <v>0.57627118644067798</v>
      </c>
      <c r="R243">
        <v>0.57627118644067787</v>
      </c>
      <c r="S243">
        <v>0.57627118644067798</v>
      </c>
      <c r="T243">
        <v>0.57627118644067787</v>
      </c>
      <c r="U243">
        <v>0.57627118644067798</v>
      </c>
      <c r="V243">
        <v>0.57627118644067787</v>
      </c>
      <c r="W243">
        <v>0.57627118644067798</v>
      </c>
      <c r="X243">
        <v>0.57627118644067787</v>
      </c>
      <c r="Y243">
        <v>0.57627118644067798</v>
      </c>
      <c r="Z243">
        <v>0.57627118644067787</v>
      </c>
      <c r="AA243">
        <v>0.57627118644067798</v>
      </c>
      <c r="AB243">
        <v>0.57627118644067787</v>
      </c>
      <c r="AC243">
        <v>0.57627118644067798</v>
      </c>
      <c r="AD243">
        <v>0.57627118644067787</v>
      </c>
      <c r="AE243">
        <v>0.57627118644067798</v>
      </c>
      <c r="AF243">
        <v>0.57627118644067787</v>
      </c>
      <c r="AG243">
        <v>0.57627118644067798</v>
      </c>
    </row>
    <row r="244" spans="8:33" x14ac:dyDescent="0.3">
      <c r="H244">
        <f t="shared" ref="H244" si="710">H241+1</f>
        <v>118</v>
      </c>
      <c r="I244">
        <f t="shared" ref="I244" si="711">J242</f>
        <v>0.73336147888444014</v>
      </c>
      <c r="J244">
        <f t="shared" ref="J244" si="712">$E$3*I244*(1-I244)</f>
        <v>0.78216968069146797</v>
      </c>
      <c r="L244">
        <v>2.37</v>
      </c>
      <c r="M244">
        <v>0.57805907172995785</v>
      </c>
      <c r="N244">
        <v>0.57805907172995774</v>
      </c>
      <c r="O244">
        <v>0.57805907172995785</v>
      </c>
      <c r="P244">
        <v>0.57805907172995774</v>
      </c>
      <c r="Q244">
        <v>0.57805907172995785</v>
      </c>
      <c r="R244">
        <v>0.57805907172995774</v>
      </c>
      <c r="S244">
        <v>0.57805907172995785</v>
      </c>
      <c r="T244">
        <v>0.57805907172995774</v>
      </c>
      <c r="U244">
        <v>0.57805907172995785</v>
      </c>
      <c r="V244">
        <v>0.57805907172995774</v>
      </c>
      <c r="W244">
        <v>0.57805907172995785</v>
      </c>
      <c r="X244">
        <v>0.57805907172995774</v>
      </c>
      <c r="Y244">
        <v>0.57805907172995785</v>
      </c>
      <c r="Z244">
        <v>0.57805907172995774</v>
      </c>
      <c r="AA244">
        <v>0.57805907172995785</v>
      </c>
      <c r="AB244">
        <v>0.57805907172995774</v>
      </c>
      <c r="AC244">
        <v>0.57805907172995785</v>
      </c>
      <c r="AD244">
        <v>0.57805907172995774</v>
      </c>
      <c r="AE244">
        <v>0.57805907172995785</v>
      </c>
      <c r="AF244">
        <v>0.57805907172995774</v>
      </c>
      <c r="AG244">
        <v>0.57805907172995785</v>
      </c>
    </row>
    <row r="245" spans="8:33" x14ac:dyDescent="0.3">
      <c r="H245">
        <f t="shared" ref="H245" si="713">H243+1</f>
        <v>119</v>
      </c>
      <c r="I245">
        <f t="shared" ref="I245" si="714">J244</f>
        <v>0.78216968069146797</v>
      </c>
      <c r="J245">
        <f t="shared" ref="J245" si="715">I245</f>
        <v>0.78216968069146797</v>
      </c>
      <c r="L245">
        <v>2.38</v>
      </c>
      <c r="M245">
        <v>0.57983193277310929</v>
      </c>
      <c r="N245">
        <v>0.57983193277310918</v>
      </c>
      <c r="O245">
        <v>0.57983193277310929</v>
      </c>
      <c r="P245">
        <v>0.57983193277310918</v>
      </c>
      <c r="Q245">
        <v>0.57983193277310929</v>
      </c>
      <c r="R245">
        <v>0.57983193277310918</v>
      </c>
      <c r="S245">
        <v>0.57983193277310929</v>
      </c>
      <c r="T245">
        <v>0.57983193277310918</v>
      </c>
      <c r="U245">
        <v>0.57983193277310929</v>
      </c>
      <c r="V245">
        <v>0.57983193277310918</v>
      </c>
      <c r="W245">
        <v>0.57983193277310929</v>
      </c>
      <c r="X245">
        <v>0.57983193277310918</v>
      </c>
      <c r="Y245">
        <v>0.57983193277310929</v>
      </c>
      <c r="Z245">
        <v>0.57983193277310918</v>
      </c>
      <c r="AA245">
        <v>0.57983193277310929</v>
      </c>
      <c r="AB245">
        <v>0.57983193277310918</v>
      </c>
      <c r="AC245">
        <v>0.57983193277310929</v>
      </c>
      <c r="AD245">
        <v>0.57983193277310918</v>
      </c>
      <c r="AE245">
        <v>0.57983193277310929</v>
      </c>
      <c r="AF245">
        <v>0.57983193277310918</v>
      </c>
      <c r="AG245">
        <v>0.57983193277310929</v>
      </c>
    </row>
    <row r="246" spans="8:33" x14ac:dyDescent="0.3">
      <c r="H246">
        <f t="shared" ref="H246" si="716">H243+1</f>
        <v>119</v>
      </c>
      <c r="I246">
        <f t="shared" ref="I246" si="717">J244</f>
        <v>0.78216968069146797</v>
      </c>
      <c r="J246">
        <f t="shared" ref="J246" si="718">$E$3*I246*(1-I246)</f>
        <v>0.68152108519389998</v>
      </c>
      <c r="L246">
        <v>2.39</v>
      </c>
      <c r="M246">
        <v>0.58158995815899583</v>
      </c>
      <c r="N246">
        <v>0.58158995815899583</v>
      </c>
      <c r="O246">
        <v>0.58158995815899583</v>
      </c>
      <c r="P246">
        <v>0.58158995815899583</v>
      </c>
      <c r="Q246">
        <v>0.58158995815899583</v>
      </c>
      <c r="R246">
        <v>0.58158995815899583</v>
      </c>
      <c r="S246">
        <v>0.58158995815899583</v>
      </c>
      <c r="T246">
        <v>0.58158995815899583</v>
      </c>
      <c r="U246">
        <v>0.58158995815899583</v>
      </c>
      <c r="V246">
        <v>0.58158995815899583</v>
      </c>
      <c r="W246">
        <v>0.58158995815899583</v>
      </c>
      <c r="X246">
        <v>0.58158995815899583</v>
      </c>
      <c r="Y246">
        <v>0.58158995815899583</v>
      </c>
      <c r="Z246">
        <v>0.58158995815899583</v>
      </c>
      <c r="AA246">
        <v>0.58158995815899583</v>
      </c>
      <c r="AB246">
        <v>0.58158995815899583</v>
      </c>
      <c r="AC246">
        <v>0.58158995815899583</v>
      </c>
      <c r="AD246">
        <v>0.58158995815899583</v>
      </c>
      <c r="AE246">
        <v>0.58158995815899583</v>
      </c>
      <c r="AF246">
        <v>0.58158995815899583</v>
      </c>
      <c r="AG246">
        <v>0.58158995815899583</v>
      </c>
    </row>
    <row r="247" spans="8:33" x14ac:dyDescent="0.3">
      <c r="H247">
        <f t="shared" ref="H247" si="719">H245+1</f>
        <v>120</v>
      </c>
      <c r="I247">
        <f t="shared" ref="I247" si="720">J246</f>
        <v>0.68152108519389998</v>
      </c>
      <c r="J247">
        <f t="shared" ref="J247" si="721">I247</f>
        <v>0.68152108519389998</v>
      </c>
      <c r="L247">
        <v>2.4</v>
      </c>
      <c r="M247">
        <v>0.58333333333333326</v>
      </c>
      <c r="N247">
        <v>0.58333333333333326</v>
      </c>
      <c r="O247">
        <v>0.58333333333333326</v>
      </c>
      <c r="P247">
        <v>0.58333333333333326</v>
      </c>
      <c r="Q247">
        <v>0.58333333333333326</v>
      </c>
      <c r="R247">
        <v>0.58333333333333326</v>
      </c>
      <c r="S247">
        <v>0.58333333333333326</v>
      </c>
      <c r="T247">
        <v>0.58333333333333326</v>
      </c>
      <c r="U247">
        <v>0.58333333333333326</v>
      </c>
      <c r="V247">
        <v>0.58333333333333326</v>
      </c>
      <c r="W247">
        <v>0.58333333333333326</v>
      </c>
      <c r="X247">
        <v>0.58333333333333326</v>
      </c>
      <c r="Y247">
        <v>0.58333333333333326</v>
      </c>
      <c r="Z247">
        <v>0.58333333333333326</v>
      </c>
      <c r="AA247">
        <v>0.58333333333333326</v>
      </c>
      <c r="AB247">
        <v>0.58333333333333326</v>
      </c>
      <c r="AC247">
        <v>0.58333333333333326</v>
      </c>
      <c r="AD247">
        <v>0.58333333333333326</v>
      </c>
      <c r="AE247">
        <v>0.58333333333333326</v>
      </c>
      <c r="AF247">
        <v>0.58333333333333326</v>
      </c>
      <c r="AG247">
        <v>0.58333333333333326</v>
      </c>
    </row>
    <row r="248" spans="8:33" x14ac:dyDescent="0.3">
      <c r="H248">
        <f t="shared" ref="H248" si="722">H245+1</f>
        <v>120</v>
      </c>
      <c r="I248">
        <f t="shared" ref="I248" si="723">J246</f>
        <v>0.68152108519389998</v>
      </c>
      <c r="J248">
        <f t="shared" ref="J248" si="724">$E$3*I248*(1-I248)</f>
        <v>0.86820038252011567</v>
      </c>
      <c r="L248">
        <v>2.41</v>
      </c>
      <c r="M248">
        <v>0.58506224066390045</v>
      </c>
      <c r="N248">
        <v>0.58506224066390045</v>
      </c>
      <c r="O248">
        <v>0.58506224066390045</v>
      </c>
      <c r="P248">
        <v>0.58506224066390045</v>
      </c>
      <c r="Q248">
        <v>0.58506224066390045</v>
      </c>
      <c r="R248">
        <v>0.58506224066390045</v>
      </c>
      <c r="S248">
        <v>0.58506224066390045</v>
      </c>
      <c r="T248">
        <v>0.58506224066390045</v>
      </c>
      <c r="U248">
        <v>0.58506224066390045</v>
      </c>
      <c r="V248">
        <v>0.58506224066390045</v>
      </c>
      <c r="W248">
        <v>0.58506224066390045</v>
      </c>
      <c r="X248">
        <v>0.58506224066390045</v>
      </c>
      <c r="Y248">
        <v>0.58506224066390045</v>
      </c>
      <c r="Z248">
        <v>0.58506224066390045</v>
      </c>
      <c r="AA248">
        <v>0.58506224066390045</v>
      </c>
      <c r="AB248">
        <v>0.58506224066390045</v>
      </c>
      <c r="AC248">
        <v>0.58506224066390045</v>
      </c>
      <c r="AD248">
        <v>0.58506224066390045</v>
      </c>
      <c r="AE248">
        <v>0.58506224066390045</v>
      </c>
      <c r="AF248">
        <v>0.58506224066390045</v>
      </c>
      <c r="AG248">
        <v>0.58506224066390045</v>
      </c>
    </row>
    <row r="249" spans="8:33" x14ac:dyDescent="0.3">
      <c r="H249">
        <f t="shared" ref="H249" si="725">H247+1</f>
        <v>121</v>
      </c>
      <c r="I249">
        <f t="shared" ref="I249" si="726">J248</f>
        <v>0.86820038252011567</v>
      </c>
      <c r="J249">
        <f t="shared" ref="J249" si="727">I249</f>
        <v>0.86820038252011567</v>
      </c>
      <c r="L249">
        <v>2.42</v>
      </c>
      <c r="M249">
        <v>0.58677685950413216</v>
      </c>
      <c r="N249">
        <v>0.58677685950413216</v>
      </c>
      <c r="O249">
        <v>0.58677685950413216</v>
      </c>
      <c r="P249">
        <v>0.58677685950413216</v>
      </c>
      <c r="Q249">
        <v>0.58677685950413216</v>
      </c>
      <c r="R249">
        <v>0.58677685950413216</v>
      </c>
      <c r="S249">
        <v>0.58677685950413216</v>
      </c>
      <c r="T249">
        <v>0.58677685950413216</v>
      </c>
      <c r="U249">
        <v>0.58677685950413216</v>
      </c>
      <c r="V249">
        <v>0.58677685950413216</v>
      </c>
      <c r="W249">
        <v>0.58677685950413216</v>
      </c>
      <c r="X249">
        <v>0.58677685950413216</v>
      </c>
      <c r="Y249">
        <v>0.58677685950413216</v>
      </c>
      <c r="Z249">
        <v>0.58677685950413216</v>
      </c>
      <c r="AA249">
        <v>0.58677685950413216</v>
      </c>
      <c r="AB249">
        <v>0.58677685950413216</v>
      </c>
      <c r="AC249">
        <v>0.58677685950413216</v>
      </c>
      <c r="AD249">
        <v>0.58677685950413216</v>
      </c>
      <c r="AE249">
        <v>0.58677685950413216</v>
      </c>
      <c r="AF249">
        <v>0.58677685950413216</v>
      </c>
      <c r="AG249">
        <v>0.58677685950413216</v>
      </c>
    </row>
    <row r="250" spans="8:33" x14ac:dyDescent="0.3">
      <c r="H250">
        <f t="shared" ref="H250" si="728">H247+1</f>
        <v>121</v>
      </c>
      <c r="I250">
        <f t="shared" ref="I250" si="729">J248</f>
        <v>0.86820038252011567</v>
      </c>
      <c r="J250">
        <f t="shared" ref="J250" si="730">$E$3*I250*(1-I250)</f>
        <v>0.45771391324816202</v>
      </c>
      <c r="L250">
        <v>2.4300000000000002</v>
      </c>
      <c r="M250">
        <v>0.58847736625514402</v>
      </c>
      <c r="N250">
        <v>0.58847736625514413</v>
      </c>
      <c r="O250">
        <v>0.58847736625514402</v>
      </c>
      <c r="P250">
        <v>0.58847736625514413</v>
      </c>
      <c r="Q250">
        <v>0.58847736625514402</v>
      </c>
      <c r="R250">
        <v>0.58847736625514413</v>
      </c>
      <c r="S250">
        <v>0.58847736625514402</v>
      </c>
      <c r="T250">
        <v>0.58847736625514413</v>
      </c>
      <c r="U250">
        <v>0.58847736625514402</v>
      </c>
      <c r="V250">
        <v>0.58847736625514413</v>
      </c>
      <c r="W250">
        <v>0.58847736625514402</v>
      </c>
      <c r="X250">
        <v>0.58847736625514413</v>
      </c>
      <c r="Y250">
        <v>0.58847736625514402</v>
      </c>
      <c r="Z250">
        <v>0.58847736625514413</v>
      </c>
      <c r="AA250">
        <v>0.58847736625514402</v>
      </c>
      <c r="AB250">
        <v>0.58847736625514413</v>
      </c>
      <c r="AC250">
        <v>0.58847736625514402</v>
      </c>
      <c r="AD250">
        <v>0.58847736625514413</v>
      </c>
      <c r="AE250">
        <v>0.58847736625514402</v>
      </c>
      <c r="AF250">
        <v>0.58847736625514413</v>
      </c>
      <c r="AG250">
        <v>0.58847736625514402</v>
      </c>
    </row>
    <row r="251" spans="8:33" x14ac:dyDescent="0.3">
      <c r="H251">
        <f t="shared" ref="H251" si="731">H249+1</f>
        <v>122</v>
      </c>
      <c r="I251">
        <f t="shared" ref="I251" si="732">J250</f>
        <v>0.45771391324816202</v>
      </c>
      <c r="J251">
        <f t="shared" ref="J251" si="733">I251</f>
        <v>0.45771391324816202</v>
      </c>
      <c r="L251">
        <v>2.44</v>
      </c>
      <c r="M251">
        <v>0.59016393442622939</v>
      </c>
      <c r="N251">
        <v>0.59016393442622961</v>
      </c>
      <c r="O251">
        <v>0.59016393442622939</v>
      </c>
      <c r="P251">
        <v>0.59016393442622961</v>
      </c>
      <c r="Q251">
        <v>0.59016393442622939</v>
      </c>
      <c r="R251">
        <v>0.59016393442622961</v>
      </c>
      <c r="S251">
        <v>0.59016393442622939</v>
      </c>
      <c r="T251">
        <v>0.59016393442622961</v>
      </c>
      <c r="U251">
        <v>0.59016393442622939</v>
      </c>
      <c r="V251">
        <v>0.59016393442622961</v>
      </c>
      <c r="W251">
        <v>0.59016393442622939</v>
      </c>
      <c r="X251">
        <v>0.59016393442622961</v>
      </c>
      <c r="Y251">
        <v>0.59016393442622939</v>
      </c>
      <c r="Z251">
        <v>0.59016393442622961</v>
      </c>
      <c r="AA251">
        <v>0.59016393442622939</v>
      </c>
      <c r="AB251">
        <v>0.59016393442622961</v>
      </c>
      <c r="AC251">
        <v>0.59016393442622939</v>
      </c>
      <c r="AD251">
        <v>0.59016393442622961</v>
      </c>
      <c r="AE251">
        <v>0.59016393442622939</v>
      </c>
      <c r="AF251">
        <v>0.59016393442622961</v>
      </c>
      <c r="AG251">
        <v>0.59016393442622939</v>
      </c>
    </row>
    <row r="252" spans="8:33" x14ac:dyDescent="0.3">
      <c r="H252">
        <f t="shared" ref="H252" si="734">H249+1</f>
        <v>122</v>
      </c>
      <c r="I252">
        <f t="shared" ref="I252" si="735">J250</f>
        <v>0.45771391324816202</v>
      </c>
      <c r="J252">
        <f t="shared" ref="J252" si="736">$E$3*I252*(1-I252)</f>
        <v>0.99284754746886417</v>
      </c>
      <c r="L252">
        <v>2.4500000000000002</v>
      </c>
      <c r="M252">
        <v>0.59183673469387754</v>
      </c>
      <c r="N252">
        <v>0.59183673469387765</v>
      </c>
      <c r="O252">
        <v>0.59183673469387754</v>
      </c>
      <c r="P252">
        <v>0.59183673469387765</v>
      </c>
      <c r="Q252">
        <v>0.59183673469387754</v>
      </c>
      <c r="R252">
        <v>0.59183673469387765</v>
      </c>
      <c r="S252">
        <v>0.59183673469387754</v>
      </c>
      <c r="T252">
        <v>0.59183673469387765</v>
      </c>
      <c r="U252">
        <v>0.59183673469387754</v>
      </c>
      <c r="V252">
        <v>0.59183673469387765</v>
      </c>
      <c r="W252">
        <v>0.59183673469387754</v>
      </c>
      <c r="X252">
        <v>0.59183673469387765</v>
      </c>
      <c r="Y252">
        <v>0.59183673469387754</v>
      </c>
      <c r="Z252">
        <v>0.59183673469387765</v>
      </c>
      <c r="AA252">
        <v>0.59183673469387754</v>
      </c>
      <c r="AB252">
        <v>0.59183673469387765</v>
      </c>
      <c r="AC252">
        <v>0.59183673469387754</v>
      </c>
      <c r="AD252">
        <v>0.59183673469387765</v>
      </c>
      <c r="AE252">
        <v>0.59183673469387754</v>
      </c>
      <c r="AF252">
        <v>0.59183673469387765</v>
      </c>
      <c r="AG252">
        <v>0.59183673469387754</v>
      </c>
    </row>
    <row r="253" spans="8:33" x14ac:dyDescent="0.3">
      <c r="H253">
        <f t="shared" ref="H253" si="737">H251+1</f>
        <v>123</v>
      </c>
      <c r="I253">
        <f t="shared" ref="I253" si="738">J252</f>
        <v>0.99284754746886417</v>
      </c>
      <c r="J253">
        <f t="shared" ref="J253" si="739">I253</f>
        <v>0.99284754746886417</v>
      </c>
      <c r="L253">
        <v>2.46</v>
      </c>
      <c r="M253">
        <v>0.5934959349593496</v>
      </c>
      <c r="N253">
        <v>0.5934959349593496</v>
      </c>
      <c r="O253">
        <v>0.5934959349593496</v>
      </c>
      <c r="P253">
        <v>0.5934959349593496</v>
      </c>
      <c r="Q253">
        <v>0.5934959349593496</v>
      </c>
      <c r="R253">
        <v>0.5934959349593496</v>
      </c>
      <c r="S253">
        <v>0.5934959349593496</v>
      </c>
      <c r="T253">
        <v>0.5934959349593496</v>
      </c>
      <c r="U253">
        <v>0.5934959349593496</v>
      </c>
      <c r="V253">
        <v>0.5934959349593496</v>
      </c>
      <c r="W253">
        <v>0.5934959349593496</v>
      </c>
      <c r="X253">
        <v>0.5934959349593496</v>
      </c>
      <c r="Y253">
        <v>0.5934959349593496</v>
      </c>
      <c r="Z253">
        <v>0.5934959349593496</v>
      </c>
      <c r="AA253">
        <v>0.5934959349593496</v>
      </c>
      <c r="AB253">
        <v>0.5934959349593496</v>
      </c>
      <c r="AC253">
        <v>0.5934959349593496</v>
      </c>
      <c r="AD253">
        <v>0.5934959349593496</v>
      </c>
      <c r="AE253">
        <v>0.5934959349593496</v>
      </c>
      <c r="AF253">
        <v>0.5934959349593496</v>
      </c>
      <c r="AG253">
        <v>0.5934959349593496</v>
      </c>
    </row>
    <row r="254" spans="8:33" x14ac:dyDescent="0.3">
      <c r="H254">
        <f t="shared" ref="H254" si="740">H251+1</f>
        <v>123</v>
      </c>
      <c r="I254">
        <f t="shared" ref="I254" si="741">J252</f>
        <v>0.99284754746886417</v>
      </c>
      <c r="J254">
        <f t="shared" ref="J254" si="742">$E$3*I254*(1-I254)</f>
        <v>2.8405179815702727E-2</v>
      </c>
      <c r="L254">
        <v>2.4700000000000002</v>
      </c>
      <c r="M254">
        <v>0.59514170040485825</v>
      </c>
      <c r="N254">
        <v>0.59514170040485836</v>
      </c>
      <c r="O254">
        <v>0.59514170040485825</v>
      </c>
      <c r="P254">
        <v>0.59514170040485836</v>
      </c>
      <c r="Q254">
        <v>0.59514170040485825</v>
      </c>
      <c r="R254">
        <v>0.59514170040485836</v>
      </c>
      <c r="S254">
        <v>0.59514170040485825</v>
      </c>
      <c r="T254">
        <v>0.59514170040485836</v>
      </c>
      <c r="U254">
        <v>0.59514170040485825</v>
      </c>
      <c r="V254">
        <v>0.59514170040485836</v>
      </c>
      <c r="W254">
        <v>0.59514170040485825</v>
      </c>
      <c r="X254">
        <v>0.59514170040485836</v>
      </c>
      <c r="Y254">
        <v>0.59514170040485825</v>
      </c>
      <c r="Z254">
        <v>0.59514170040485836</v>
      </c>
      <c r="AA254">
        <v>0.59514170040485825</v>
      </c>
      <c r="AB254">
        <v>0.59514170040485836</v>
      </c>
      <c r="AC254">
        <v>0.59514170040485825</v>
      </c>
      <c r="AD254">
        <v>0.59514170040485836</v>
      </c>
      <c r="AE254">
        <v>0.59514170040485825</v>
      </c>
      <c r="AF254">
        <v>0.59514170040485836</v>
      </c>
      <c r="AG254">
        <v>0.59514170040485825</v>
      </c>
    </row>
    <row r="255" spans="8:33" x14ac:dyDescent="0.3">
      <c r="H255">
        <f t="shared" ref="H255" si="743">H253+1</f>
        <v>124</v>
      </c>
      <c r="I255">
        <f t="shared" ref="I255" si="744">J254</f>
        <v>2.8405179815702727E-2</v>
      </c>
      <c r="J255">
        <f t="shared" ref="J255" si="745">I255</f>
        <v>2.8405179815702727E-2</v>
      </c>
      <c r="L255">
        <v>2.48</v>
      </c>
      <c r="M255">
        <v>0.59677419354838712</v>
      </c>
      <c r="N255">
        <v>0.59677419354838701</v>
      </c>
      <c r="O255">
        <v>0.59677419354838712</v>
      </c>
      <c r="P255">
        <v>0.59677419354838701</v>
      </c>
      <c r="Q255">
        <v>0.59677419354838712</v>
      </c>
      <c r="R255">
        <v>0.59677419354838701</v>
      </c>
      <c r="S255">
        <v>0.59677419354838712</v>
      </c>
      <c r="T255">
        <v>0.59677419354838701</v>
      </c>
      <c r="U255">
        <v>0.59677419354838712</v>
      </c>
      <c r="V255">
        <v>0.59677419354838701</v>
      </c>
      <c r="W255">
        <v>0.59677419354838712</v>
      </c>
      <c r="X255">
        <v>0.59677419354838701</v>
      </c>
      <c r="Y255">
        <v>0.59677419354838712</v>
      </c>
      <c r="Z255">
        <v>0.59677419354838701</v>
      </c>
      <c r="AA255">
        <v>0.59677419354838712</v>
      </c>
      <c r="AB255">
        <v>0.59677419354838701</v>
      </c>
      <c r="AC255">
        <v>0.59677419354838712</v>
      </c>
      <c r="AD255">
        <v>0.59677419354838701</v>
      </c>
      <c r="AE255">
        <v>0.59677419354838712</v>
      </c>
      <c r="AF255">
        <v>0.59677419354838701</v>
      </c>
      <c r="AG255">
        <v>0.59677419354838712</v>
      </c>
    </row>
    <row r="256" spans="8:33" x14ac:dyDescent="0.3">
      <c r="H256">
        <f t="shared" ref="H256" si="746">H253+1</f>
        <v>124</v>
      </c>
      <c r="I256">
        <f t="shared" ref="I256" si="747">J254</f>
        <v>2.8405179815702727E-2</v>
      </c>
      <c r="J256">
        <f t="shared" ref="J256" si="748">$E$3*I256*(1-I256)</f>
        <v>0.1103933023013613</v>
      </c>
      <c r="L256">
        <v>2.4900000000000002</v>
      </c>
      <c r="M256">
        <v>0.59839357429718876</v>
      </c>
      <c r="N256">
        <v>0.59839357429718887</v>
      </c>
      <c r="O256">
        <v>0.59839357429718876</v>
      </c>
      <c r="P256">
        <v>0.59839357429718887</v>
      </c>
      <c r="Q256">
        <v>0.59839357429718876</v>
      </c>
      <c r="R256">
        <v>0.59839357429718887</v>
      </c>
      <c r="S256">
        <v>0.59839357429718876</v>
      </c>
      <c r="T256">
        <v>0.59839357429718887</v>
      </c>
      <c r="U256">
        <v>0.59839357429718876</v>
      </c>
      <c r="V256">
        <v>0.59839357429718887</v>
      </c>
      <c r="W256">
        <v>0.59839357429718876</v>
      </c>
      <c r="X256">
        <v>0.59839357429718887</v>
      </c>
      <c r="Y256">
        <v>0.59839357429718876</v>
      </c>
      <c r="Z256">
        <v>0.59839357429718887</v>
      </c>
      <c r="AA256">
        <v>0.59839357429718876</v>
      </c>
      <c r="AB256">
        <v>0.59839357429718887</v>
      </c>
      <c r="AC256">
        <v>0.59839357429718876</v>
      </c>
      <c r="AD256">
        <v>0.59839357429718887</v>
      </c>
      <c r="AE256">
        <v>0.59839357429718876</v>
      </c>
      <c r="AF256">
        <v>0.59839357429718887</v>
      </c>
      <c r="AG256">
        <v>0.59839357429718876</v>
      </c>
    </row>
    <row r="257" spans="8:33" x14ac:dyDescent="0.3">
      <c r="H257">
        <f t="shared" ref="H257" si="749">H255+1</f>
        <v>125</v>
      </c>
      <c r="I257">
        <f t="shared" ref="I257" si="750">J256</f>
        <v>0.1103933023013613</v>
      </c>
      <c r="J257">
        <f t="shared" ref="J257" si="751">I257</f>
        <v>0.1103933023013613</v>
      </c>
      <c r="L257">
        <v>2.5</v>
      </c>
      <c r="M257">
        <v>0.60000000000000009</v>
      </c>
      <c r="N257">
        <v>0.6</v>
      </c>
      <c r="O257">
        <v>0.60000000000000009</v>
      </c>
      <c r="P257">
        <v>0.6</v>
      </c>
      <c r="Q257">
        <v>0.60000000000000009</v>
      </c>
      <c r="R257">
        <v>0.6</v>
      </c>
      <c r="S257">
        <v>0.60000000000000009</v>
      </c>
      <c r="T257">
        <v>0.6</v>
      </c>
      <c r="U257">
        <v>0.60000000000000009</v>
      </c>
      <c r="V257">
        <v>0.6</v>
      </c>
      <c r="W257">
        <v>0.60000000000000009</v>
      </c>
      <c r="X257">
        <v>0.6</v>
      </c>
      <c r="Y257">
        <v>0.60000000000000009</v>
      </c>
      <c r="Z257">
        <v>0.6</v>
      </c>
      <c r="AA257">
        <v>0.60000000000000009</v>
      </c>
      <c r="AB257">
        <v>0.6</v>
      </c>
      <c r="AC257">
        <v>0.60000000000000009</v>
      </c>
      <c r="AD257">
        <v>0.6</v>
      </c>
      <c r="AE257">
        <v>0.60000000000000009</v>
      </c>
      <c r="AF257">
        <v>0.6</v>
      </c>
      <c r="AG257">
        <v>0.60000000000000009</v>
      </c>
    </row>
    <row r="258" spans="8:33" x14ac:dyDescent="0.3">
      <c r="H258">
        <f t="shared" ref="H258" si="752">H255+1</f>
        <v>125</v>
      </c>
      <c r="I258">
        <f t="shared" ref="I258" si="753">J256</f>
        <v>0.1103933023013613</v>
      </c>
      <c r="J258">
        <f t="shared" ref="J258" si="754">$E$3*I258*(1-I258)</f>
        <v>0.39282648443344625</v>
      </c>
      <c r="L258">
        <v>2.5099999999999998</v>
      </c>
      <c r="M258">
        <v>0.60159362549800788</v>
      </c>
      <c r="N258">
        <v>0.60159362549800788</v>
      </c>
      <c r="O258">
        <v>0.60159362549800788</v>
      </c>
      <c r="P258">
        <v>0.60159362549800788</v>
      </c>
      <c r="Q258">
        <v>0.60159362549800788</v>
      </c>
      <c r="R258">
        <v>0.60159362549800788</v>
      </c>
      <c r="S258">
        <v>0.60159362549800788</v>
      </c>
      <c r="T258">
        <v>0.60159362549800788</v>
      </c>
      <c r="U258">
        <v>0.60159362549800788</v>
      </c>
      <c r="V258">
        <v>0.60159362549800788</v>
      </c>
      <c r="W258">
        <v>0.60159362549800788</v>
      </c>
      <c r="X258">
        <v>0.60159362549800788</v>
      </c>
      <c r="Y258">
        <v>0.60159362549800788</v>
      </c>
      <c r="Z258">
        <v>0.60159362549800788</v>
      </c>
      <c r="AA258">
        <v>0.60159362549800788</v>
      </c>
      <c r="AB258">
        <v>0.60159362549800788</v>
      </c>
      <c r="AC258">
        <v>0.60159362549800788</v>
      </c>
      <c r="AD258">
        <v>0.60159362549800788</v>
      </c>
      <c r="AE258">
        <v>0.60159362549800788</v>
      </c>
      <c r="AF258">
        <v>0.60159362549800788</v>
      </c>
      <c r="AG258">
        <v>0.60159362549800788</v>
      </c>
    </row>
    <row r="259" spans="8:33" x14ac:dyDescent="0.3">
      <c r="H259">
        <f t="shared" ref="H259" si="755">H257+1</f>
        <v>126</v>
      </c>
      <c r="I259">
        <f t="shared" ref="I259" si="756">J258</f>
        <v>0.39282648443344625</v>
      </c>
      <c r="J259">
        <f t="shared" ref="J259" si="757">I259</f>
        <v>0.39282648443344625</v>
      </c>
      <c r="L259">
        <v>2.52</v>
      </c>
      <c r="M259">
        <v>0.60317460317460314</v>
      </c>
      <c r="N259">
        <v>0.60317460317460325</v>
      </c>
      <c r="O259">
        <v>0.60317460317460314</v>
      </c>
      <c r="P259">
        <v>0.60317460317460325</v>
      </c>
      <c r="Q259">
        <v>0.60317460317460314</v>
      </c>
      <c r="R259">
        <v>0.60317460317460325</v>
      </c>
      <c r="S259">
        <v>0.60317460317460314</v>
      </c>
      <c r="T259">
        <v>0.60317460317460325</v>
      </c>
      <c r="U259">
        <v>0.60317460317460314</v>
      </c>
      <c r="V259">
        <v>0.60317460317460325</v>
      </c>
      <c r="W259">
        <v>0.60317460317460314</v>
      </c>
      <c r="X259">
        <v>0.60317460317460325</v>
      </c>
      <c r="Y259">
        <v>0.60317460317460314</v>
      </c>
      <c r="Z259">
        <v>0.60317460317460325</v>
      </c>
      <c r="AA259">
        <v>0.60317460317460314</v>
      </c>
      <c r="AB259">
        <v>0.60317460317460325</v>
      </c>
      <c r="AC259">
        <v>0.60317460317460314</v>
      </c>
      <c r="AD259">
        <v>0.60317460317460325</v>
      </c>
      <c r="AE259">
        <v>0.60317460317460314</v>
      </c>
      <c r="AF259">
        <v>0.60317460317460325</v>
      </c>
      <c r="AG259">
        <v>0.60317460317460314</v>
      </c>
    </row>
    <row r="260" spans="8:33" x14ac:dyDescent="0.3">
      <c r="H260">
        <f t="shared" ref="H260" si="758">H257+1</f>
        <v>126</v>
      </c>
      <c r="I260">
        <f t="shared" ref="I260" si="759">J258</f>
        <v>0.39282648443344625</v>
      </c>
      <c r="J260">
        <f t="shared" ref="J260" si="760">$E$3*I260*(1-I260)</f>
        <v>0.95405535024442267</v>
      </c>
      <c r="L260">
        <v>2.5299999999999998</v>
      </c>
      <c r="M260">
        <v>0.60474308300395252</v>
      </c>
      <c r="N260">
        <v>0.60474308300395252</v>
      </c>
      <c r="O260">
        <v>0.60474308300395252</v>
      </c>
      <c r="P260">
        <v>0.60474308300395252</v>
      </c>
      <c r="Q260">
        <v>0.60474308300395252</v>
      </c>
      <c r="R260">
        <v>0.60474308300395252</v>
      </c>
      <c r="S260">
        <v>0.60474308300395252</v>
      </c>
      <c r="T260">
        <v>0.60474308300395252</v>
      </c>
      <c r="U260">
        <v>0.60474308300395252</v>
      </c>
      <c r="V260">
        <v>0.60474308300395252</v>
      </c>
      <c r="W260">
        <v>0.60474308300395252</v>
      </c>
      <c r="X260">
        <v>0.60474308300395252</v>
      </c>
      <c r="Y260">
        <v>0.60474308300395252</v>
      </c>
      <c r="Z260">
        <v>0.60474308300395252</v>
      </c>
      <c r="AA260">
        <v>0.60474308300395252</v>
      </c>
      <c r="AB260">
        <v>0.60474308300395252</v>
      </c>
      <c r="AC260">
        <v>0.60474308300395252</v>
      </c>
      <c r="AD260">
        <v>0.60474308300395252</v>
      </c>
      <c r="AE260">
        <v>0.60474308300395252</v>
      </c>
      <c r="AF260">
        <v>0.60474308300395252</v>
      </c>
      <c r="AG260">
        <v>0.60474308300395252</v>
      </c>
    </row>
    <row r="261" spans="8:33" x14ac:dyDescent="0.3">
      <c r="H261">
        <f t="shared" ref="H261" si="761">H259+1</f>
        <v>127</v>
      </c>
      <c r="I261">
        <f t="shared" ref="I261" si="762">J260</f>
        <v>0.95405535024442267</v>
      </c>
      <c r="J261">
        <f t="shared" ref="J261" si="763">I261</f>
        <v>0.95405535024442267</v>
      </c>
      <c r="L261">
        <v>2.54</v>
      </c>
      <c r="M261">
        <v>0.60629921259842512</v>
      </c>
      <c r="N261">
        <v>0.60629921259842523</v>
      </c>
      <c r="O261">
        <v>0.60629921259842512</v>
      </c>
      <c r="P261">
        <v>0.60629921259842523</v>
      </c>
      <c r="Q261">
        <v>0.60629921259842512</v>
      </c>
      <c r="R261">
        <v>0.60629921259842523</v>
      </c>
      <c r="S261">
        <v>0.60629921259842512</v>
      </c>
      <c r="T261">
        <v>0.60629921259842523</v>
      </c>
      <c r="U261">
        <v>0.60629921259842512</v>
      </c>
      <c r="V261">
        <v>0.60629921259842523</v>
      </c>
      <c r="W261">
        <v>0.60629921259842512</v>
      </c>
      <c r="X261">
        <v>0.60629921259842523</v>
      </c>
      <c r="Y261">
        <v>0.60629921259842512</v>
      </c>
      <c r="Z261">
        <v>0.60629921259842523</v>
      </c>
      <c r="AA261">
        <v>0.60629921259842512</v>
      </c>
      <c r="AB261">
        <v>0.60629921259842523</v>
      </c>
      <c r="AC261">
        <v>0.60629921259842512</v>
      </c>
      <c r="AD261">
        <v>0.60629921259842523</v>
      </c>
      <c r="AE261">
        <v>0.60629921259842512</v>
      </c>
      <c r="AF261">
        <v>0.60629921259842523</v>
      </c>
      <c r="AG261">
        <v>0.60629921259842512</v>
      </c>
    </row>
    <row r="262" spans="8:33" x14ac:dyDescent="0.3">
      <c r="H262">
        <f t="shared" ref="H262" si="764">H259+1</f>
        <v>127</v>
      </c>
      <c r="I262">
        <f t="shared" ref="I262" si="765">J260</f>
        <v>0.95405535024442267</v>
      </c>
      <c r="J262">
        <f t="shared" ref="J262" si="766">$E$3*I262*(1-I262)</f>
        <v>0.17533495565765861</v>
      </c>
      <c r="L262">
        <v>2.5499999999999998</v>
      </c>
      <c r="M262">
        <v>0.60784313725490191</v>
      </c>
      <c r="N262">
        <v>0.60784313725490202</v>
      </c>
      <c r="O262">
        <v>0.60784313725490191</v>
      </c>
      <c r="P262">
        <v>0.60784313725490202</v>
      </c>
      <c r="Q262">
        <v>0.60784313725490191</v>
      </c>
      <c r="R262">
        <v>0.60784313725490202</v>
      </c>
      <c r="S262">
        <v>0.60784313725490191</v>
      </c>
      <c r="T262">
        <v>0.60784313725490202</v>
      </c>
      <c r="U262">
        <v>0.60784313725490191</v>
      </c>
      <c r="V262">
        <v>0.60784313725490202</v>
      </c>
      <c r="W262">
        <v>0.60784313725490191</v>
      </c>
      <c r="X262">
        <v>0.60784313725490202</v>
      </c>
      <c r="Y262">
        <v>0.60784313725490191</v>
      </c>
      <c r="Z262">
        <v>0.60784313725490202</v>
      </c>
      <c r="AA262">
        <v>0.60784313725490191</v>
      </c>
      <c r="AB262">
        <v>0.60784313725490202</v>
      </c>
      <c r="AC262">
        <v>0.60784313725490191</v>
      </c>
      <c r="AD262">
        <v>0.60784313725490202</v>
      </c>
      <c r="AE262">
        <v>0.60784313725490191</v>
      </c>
      <c r="AF262">
        <v>0.60784313725490202</v>
      </c>
      <c r="AG262">
        <v>0.60784313725490191</v>
      </c>
    </row>
    <row r="263" spans="8:33" x14ac:dyDescent="0.3">
      <c r="H263">
        <f t="shared" ref="H263" si="767">H261+1</f>
        <v>128</v>
      </c>
      <c r="I263">
        <f t="shared" ref="I263" si="768">J262</f>
        <v>0.17533495565765861</v>
      </c>
      <c r="J263">
        <f t="shared" ref="J263" si="769">I263</f>
        <v>0.17533495565765861</v>
      </c>
      <c r="L263">
        <v>2.56</v>
      </c>
      <c r="M263">
        <v>0.60937499999999989</v>
      </c>
      <c r="N263">
        <v>0.60937500000000011</v>
      </c>
      <c r="O263">
        <v>0.60937499999999989</v>
      </c>
      <c r="P263">
        <v>0.60937500000000011</v>
      </c>
      <c r="Q263">
        <v>0.60937499999999989</v>
      </c>
      <c r="R263">
        <v>0.60937500000000011</v>
      </c>
      <c r="S263">
        <v>0.60937499999999989</v>
      </c>
      <c r="T263">
        <v>0.60937500000000011</v>
      </c>
      <c r="U263">
        <v>0.60937499999999989</v>
      </c>
      <c r="V263">
        <v>0.60937500000000011</v>
      </c>
      <c r="W263">
        <v>0.60937499999999989</v>
      </c>
      <c r="X263">
        <v>0.60937500000000011</v>
      </c>
      <c r="Y263">
        <v>0.60937499999999989</v>
      </c>
      <c r="Z263">
        <v>0.60937500000000011</v>
      </c>
      <c r="AA263">
        <v>0.60937499999999989</v>
      </c>
      <c r="AB263">
        <v>0.60937500000000011</v>
      </c>
      <c r="AC263">
        <v>0.60937499999999989</v>
      </c>
      <c r="AD263">
        <v>0.60937500000000011</v>
      </c>
      <c r="AE263">
        <v>0.60937499999999989</v>
      </c>
      <c r="AF263">
        <v>0.60937500000000011</v>
      </c>
      <c r="AG263">
        <v>0.60937499999999989</v>
      </c>
    </row>
    <row r="264" spans="8:33" x14ac:dyDescent="0.3">
      <c r="H264">
        <f t="shared" ref="H264" si="770">H261+1</f>
        <v>128</v>
      </c>
      <c r="I264">
        <f t="shared" ref="I264" si="771">J262</f>
        <v>0.17533495565765861</v>
      </c>
      <c r="J264">
        <f t="shared" ref="J264" si="772">$E$3*I264*(1-I264)</f>
        <v>0.57837043592874193</v>
      </c>
      <c r="L264">
        <v>2.57</v>
      </c>
      <c r="M264">
        <v>0.61089494163424118</v>
      </c>
      <c r="N264">
        <v>0.6108949416342413</v>
      </c>
      <c r="O264">
        <v>0.61089494163424118</v>
      </c>
      <c r="P264">
        <v>0.6108949416342413</v>
      </c>
      <c r="Q264">
        <v>0.61089494163424118</v>
      </c>
      <c r="R264">
        <v>0.6108949416342413</v>
      </c>
      <c r="S264">
        <v>0.61089494163424118</v>
      </c>
      <c r="T264">
        <v>0.6108949416342413</v>
      </c>
      <c r="U264">
        <v>0.61089494163424118</v>
      </c>
      <c r="V264">
        <v>0.6108949416342413</v>
      </c>
      <c r="W264">
        <v>0.61089494163424118</v>
      </c>
      <c r="X264">
        <v>0.6108949416342413</v>
      </c>
      <c r="Y264">
        <v>0.61089494163424118</v>
      </c>
      <c r="Z264">
        <v>0.6108949416342413</v>
      </c>
      <c r="AA264">
        <v>0.61089494163424118</v>
      </c>
      <c r="AB264">
        <v>0.6108949416342413</v>
      </c>
      <c r="AC264">
        <v>0.61089494163424118</v>
      </c>
      <c r="AD264">
        <v>0.6108949416342413</v>
      </c>
      <c r="AE264">
        <v>0.61089494163424118</v>
      </c>
      <c r="AF264">
        <v>0.6108949416342413</v>
      </c>
      <c r="AG264">
        <v>0.61089494163424118</v>
      </c>
    </row>
    <row r="265" spans="8:33" x14ac:dyDescent="0.3">
      <c r="H265">
        <f t="shared" ref="H265" si="773">H263+1</f>
        <v>129</v>
      </c>
      <c r="I265">
        <f t="shared" ref="I265" si="774">J264</f>
        <v>0.57837043592874193</v>
      </c>
      <c r="J265">
        <f t="shared" ref="J265" si="775">I265</f>
        <v>0.57837043592874193</v>
      </c>
      <c r="L265">
        <v>2.58</v>
      </c>
      <c r="M265">
        <v>0.61240310077519378</v>
      </c>
      <c r="N265">
        <v>0.61240310077519389</v>
      </c>
      <c r="O265">
        <v>0.61240310077519378</v>
      </c>
      <c r="P265">
        <v>0.61240310077519389</v>
      </c>
      <c r="Q265">
        <v>0.61240310077519378</v>
      </c>
      <c r="R265">
        <v>0.61240310077519389</v>
      </c>
      <c r="S265">
        <v>0.61240310077519378</v>
      </c>
      <c r="T265">
        <v>0.61240310077519389</v>
      </c>
      <c r="U265">
        <v>0.61240310077519378</v>
      </c>
      <c r="V265">
        <v>0.61240310077519389</v>
      </c>
      <c r="W265">
        <v>0.61240310077519378</v>
      </c>
      <c r="X265">
        <v>0.61240310077519389</v>
      </c>
      <c r="Y265">
        <v>0.61240310077519378</v>
      </c>
      <c r="Z265">
        <v>0.61240310077519389</v>
      </c>
      <c r="AA265">
        <v>0.61240310077519378</v>
      </c>
      <c r="AB265">
        <v>0.61240310077519389</v>
      </c>
      <c r="AC265">
        <v>0.61240310077519378</v>
      </c>
      <c r="AD265">
        <v>0.61240310077519389</v>
      </c>
      <c r="AE265">
        <v>0.61240310077519378</v>
      </c>
      <c r="AF265">
        <v>0.61240310077519389</v>
      </c>
      <c r="AG265">
        <v>0.61240310077519378</v>
      </c>
    </row>
    <row r="266" spans="8:33" x14ac:dyDescent="0.3">
      <c r="H266">
        <f t="shared" ref="H266" si="776">H263+1</f>
        <v>129</v>
      </c>
      <c r="I266">
        <f t="shared" ref="I266" si="777">J264</f>
        <v>0.57837043592874193</v>
      </c>
      <c r="J266">
        <f t="shared" ref="J266" si="778">$E$3*I266*(1-I266)</f>
        <v>0.9754322990893558</v>
      </c>
      <c r="L266">
        <v>2.59</v>
      </c>
      <c r="M266">
        <v>0.61389961389961389</v>
      </c>
      <c r="N266">
        <v>0.61389961389961389</v>
      </c>
      <c r="O266">
        <v>0.61389961389961389</v>
      </c>
      <c r="P266">
        <v>0.61389961389961389</v>
      </c>
      <c r="Q266">
        <v>0.61389961389961389</v>
      </c>
      <c r="R266">
        <v>0.61389961389961389</v>
      </c>
      <c r="S266">
        <v>0.61389961389961389</v>
      </c>
      <c r="T266">
        <v>0.61389961389961389</v>
      </c>
      <c r="U266">
        <v>0.61389961389961389</v>
      </c>
      <c r="V266">
        <v>0.61389961389961389</v>
      </c>
      <c r="W266">
        <v>0.61389961389961389</v>
      </c>
      <c r="X266">
        <v>0.61389961389961389</v>
      </c>
      <c r="Y266">
        <v>0.61389961389961389</v>
      </c>
      <c r="Z266">
        <v>0.61389961389961389</v>
      </c>
      <c r="AA266">
        <v>0.61389961389961389</v>
      </c>
      <c r="AB266">
        <v>0.61389961389961389</v>
      </c>
      <c r="AC266">
        <v>0.61389961389961389</v>
      </c>
      <c r="AD266">
        <v>0.61389961389961389</v>
      </c>
      <c r="AE266">
        <v>0.61389961389961389</v>
      </c>
      <c r="AF266">
        <v>0.61389961389961389</v>
      </c>
      <c r="AG266">
        <v>0.61389961389961389</v>
      </c>
    </row>
    <row r="267" spans="8:33" x14ac:dyDescent="0.3">
      <c r="H267">
        <f t="shared" ref="H267" si="779">H265+1</f>
        <v>130</v>
      </c>
      <c r="I267">
        <f t="shared" ref="I267" si="780">J266</f>
        <v>0.9754322990893558</v>
      </c>
      <c r="J267">
        <f t="shared" ref="J267" si="781">I267</f>
        <v>0.9754322990893558</v>
      </c>
      <c r="L267">
        <v>2.6</v>
      </c>
      <c r="M267">
        <v>0.61538461538461542</v>
      </c>
      <c r="N267">
        <v>0.61538461538461542</v>
      </c>
      <c r="O267">
        <v>0.61538461538461542</v>
      </c>
      <c r="P267">
        <v>0.61538461538461542</v>
      </c>
      <c r="Q267">
        <v>0.61538461538461542</v>
      </c>
      <c r="R267">
        <v>0.61538461538461542</v>
      </c>
      <c r="S267">
        <v>0.61538461538461542</v>
      </c>
      <c r="T267">
        <v>0.61538461538461542</v>
      </c>
      <c r="U267">
        <v>0.61538461538461542</v>
      </c>
      <c r="V267">
        <v>0.61538461538461542</v>
      </c>
      <c r="W267">
        <v>0.61538461538461542</v>
      </c>
      <c r="X267">
        <v>0.61538461538461542</v>
      </c>
      <c r="Y267">
        <v>0.61538461538461542</v>
      </c>
      <c r="Z267">
        <v>0.61538461538461542</v>
      </c>
      <c r="AA267">
        <v>0.61538461538461542</v>
      </c>
      <c r="AB267">
        <v>0.61538461538461542</v>
      </c>
      <c r="AC267">
        <v>0.61538461538461542</v>
      </c>
      <c r="AD267">
        <v>0.61538461538461542</v>
      </c>
      <c r="AE267">
        <v>0.61538461538461542</v>
      </c>
      <c r="AF267">
        <v>0.61538461538461542</v>
      </c>
      <c r="AG267">
        <v>0.61538461538461542</v>
      </c>
    </row>
    <row r="268" spans="8:33" x14ac:dyDescent="0.3">
      <c r="H268">
        <f t="shared" ref="H268" si="782">H265+1</f>
        <v>130</v>
      </c>
      <c r="I268">
        <f t="shared" ref="I268" si="783">J266</f>
        <v>0.9754322990893558</v>
      </c>
      <c r="J268">
        <f t="shared" ref="J268" si="784">$E$3*I268*(1-I268)</f>
        <v>9.5856515930437314E-2</v>
      </c>
      <c r="L268">
        <v>2.61</v>
      </c>
      <c r="M268">
        <v>0.6168582375478926</v>
      </c>
      <c r="N268">
        <v>0.61685823754789282</v>
      </c>
      <c r="O268">
        <v>0.6168582375478926</v>
      </c>
      <c r="P268">
        <v>0.61685823754789282</v>
      </c>
      <c r="Q268">
        <v>0.6168582375478926</v>
      </c>
      <c r="R268">
        <v>0.61685823754789282</v>
      </c>
      <c r="S268">
        <v>0.6168582375478926</v>
      </c>
      <c r="T268">
        <v>0.61685823754789282</v>
      </c>
      <c r="U268">
        <v>0.6168582375478926</v>
      </c>
      <c r="V268">
        <v>0.61685823754789282</v>
      </c>
      <c r="W268">
        <v>0.6168582375478926</v>
      </c>
      <c r="X268">
        <v>0.61685823754789282</v>
      </c>
      <c r="Y268">
        <v>0.6168582375478926</v>
      </c>
      <c r="Z268">
        <v>0.61685823754789282</v>
      </c>
      <c r="AA268">
        <v>0.6168582375478926</v>
      </c>
      <c r="AB268">
        <v>0.61685823754789282</v>
      </c>
      <c r="AC268">
        <v>0.6168582375478926</v>
      </c>
      <c r="AD268">
        <v>0.61685823754789282</v>
      </c>
      <c r="AE268">
        <v>0.6168582375478926</v>
      </c>
      <c r="AF268">
        <v>0.61685823754789282</v>
      </c>
      <c r="AG268">
        <v>0.6168582375478926</v>
      </c>
    </row>
    <row r="269" spans="8:33" x14ac:dyDescent="0.3">
      <c r="H269">
        <f t="shared" ref="H269" si="785">H267+1</f>
        <v>131</v>
      </c>
      <c r="I269">
        <f t="shared" ref="I269" si="786">J268</f>
        <v>9.5856515930437314E-2</v>
      </c>
      <c r="J269">
        <f t="shared" ref="J269" si="787">I269</f>
        <v>9.5856515930437314E-2</v>
      </c>
      <c r="L269">
        <v>2.62</v>
      </c>
      <c r="M269">
        <v>0.61832061068702282</v>
      </c>
      <c r="N269">
        <v>0.61832061068702304</v>
      </c>
      <c r="O269">
        <v>0.61832061068702282</v>
      </c>
      <c r="P269">
        <v>0.61832061068702304</v>
      </c>
      <c r="Q269">
        <v>0.61832061068702282</v>
      </c>
      <c r="R269">
        <v>0.61832061068702304</v>
      </c>
      <c r="S269">
        <v>0.61832061068702282</v>
      </c>
      <c r="T269">
        <v>0.61832061068702304</v>
      </c>
      <c r="U269">
        <v>0.61832061068702282</v>
      </c>
      <c r="V269">
        <v>0.61832061068702304</v>
      </c>
      <c r="W269">
        <v>0.61832061068702282</v>
      </c>
      <c r="X269">
        <v>0.61832061068702304</v>
      </c>
      <c r="Y269">
        <v>0.61832061068702282</v>
      </c>
      <c r="Z269">
        <v>0.61832061068702304</v>
      </c>
      <c r="AA269">
        <v>0.61832061068702282</v>
      </c>
      <c r="AB269">
        <v>0.61832061068702304</v>
      </c>
      <c r="AC269">
        <v>0.61832061068702282</v>
      </c>
      <c r="AD269">
        <v>0.61832061068702304</v>
      </c>
      <c r="AE269">
        <v>0.61832061068702282</v>
      </c>
      <c r="AF269">
        <v>0.61832061068702304</v>
      </c>
      <c r="AG269">
        <v>0.61832061068702282</v>
      </c>
    </row>
    <row r="270" spans="8:33" x14ac:dyDescent="0.3">
      <c r="H270">
        <f t="shared" ref="H270" si="788">H267+1</f>
        <v>131</v>
      </c>
      <c r="I270">
        <f t="shared" ref="I270" si="789">J268</f>
        <v>9.5856515930437314E-2</v>
      </c>
      <c r="J270">
        <f t="shared" ref="J270" si="790">$E$3*I270*(1-I270)</f>
        <v>0.34667217713646054</v>
      </c>
      <c r="L270">
        <v>2.63</v>
      </c>
      <c r="M270">
        <v>0.61977186311787058</v>
      </c>
      <c r="N270">
        <v>0.6197718631178708</v>
      </c>
      <c r="O270">
        <v>0.61977186311787058</v>
      </c>
      <c r="P270">
        <v>0.6197718631178708</v>
      </c>
      <c r="Q270">
        <v>0.61977186311787058</v>
      </c>
      <c r="R270">
        <v>0.6197718631178708</v>
      </c>
      <c r="S270">
        <v>0.61977186311787058</v>
      </c>
      <c r="T270">
        <v>0.6197718631178708</v>
      </c>
      <c r="U270">
        <v>0.61977186311787058</v>
      </c>
      <c r="V270">
        <v>0.6197718631178708</v>
      </c>
      <c r="W270">
        <v>0.61977186311787058</v>
      </c>
      <c r="X270">
        <v>0.6197718631178708</v>
      </c>
      <c r="Y270">
        <v>0.61977186311787058</v>
      </c>
      <c r="Z270">
        <v>0.6197718631178708</v>
      </c>
      <c r="AA270">
        <v>0.61977186311787058</v>
      </c>
      <c r="AB270">
        <v>0.6197718631178708</v>
      </c>
      <c r="AC270">
        <v>0.61977186311787058</v>
      </c>
      <c r="AD270">
        <v>0.6197718631178708</v>
      </c>
      <c r="AE270">
        <v>0.61977186311787058</v>
      </c>
      <c r="AF270">
        <v>0.6197718631178708</v>
      </c>
      <c r="AG270">
        <v>0.61977186311787058</v>
      </c>
    </row>
    <row r="271" spans="8:33" x14ac:dyDescent="0.3">
      <c r="H271">
        <f t="shared" ref="H271" si="791">H269+1</f>
        <v>132</v>
      </c>
      <c r="I271">
        <f t="shared" ref="I271" si="792">J270</f>
        <v>0.34667217713646054</v>
      </c>
      <c r="J271">
        <f t="shared" ref="J271" si="793">I271</f>
        <v>0.34667217713646054</v>
      </c>
      <c r="L271">
        <v>2.64</v>
      </c>
      <c r="M271">
        <v>0.6212121212121211</v>
      </c>
      <c r="N271">
        <v>0.62121212121212133</v>
      </c>
      <c r="O271">
        <v>0.6212121212121211</v>
      </c>
      <c r="P271">
        <v>0.62121212121212133</v>
      </c>
      <c r="Q271">
        <v>0.6212121212121211</v>
      </c>
      <c r="R271">
        <v>0.62121212121212133</v>
      </c>
      <c r="S271">
        <v>0.6212121212121211</v>
      </c>
      <c r="T271">
        <v>0.62121212121212133</v>
      </c>
      <c r="U271">
        <v>0.6212121212121211</v>
      </c>
      <c r="V271">
        <v>0.62121212121212133</v>
      </c>
      <c r="W271">
        <v>0.6212121212121211</v>
      </c>
      <c r="X271">
        <v>0.62121212121212133</v>
      </c>
      <c r="Y271">
        <v>0.6212121212121211</v>
      </c>
      <c r="Z271">
        <v>0.62121212121212133</v>
      </c>
      <c r="AA271">
        <v>0.6212121212121211</v>
      </c>
      <c r="AB271">
        <v>0.62121212121212133</v>
      </c>
      <c r="AC271">
        <v>0.6212121212121211</v>
      </c>
      <c r="AD271">
        <v>0.62121212121212133</v>
      </c>
      <c r="AE271">
        <v>0.6212121212121211</v>
      </c>
      <c r="AF271">
        <v>0.62121212121212133</v>
      </c>
      <c r="AG271">
        <v>0.6212121212121211</v>
      </c>
    </row>
    <row r="272" spans="8:33" x14ac:dyDescent="0.3">
      <c r="H272">
        <f t="shared" ref="H272" si="794">H269+1</f>
        <v>132</v>
      </c>
      <c r="I272">
        <f t="shared" ref="I272" si="795">J270</f>
        <v>0.34667217713646054</v>
      </c>
      <c r="J272">
        <f t="shared" ref="J272" si="796">$E$3*I272*(1-I272)</f>
        <v>0.90596231494370838</v>
      </c>
      <c r="L272">
        <v>2.65</v>
      </c>
      <c r="M272">
        <v>0.62264150943396213</v>
      </c>
      <c r="N272">
        <v>0.62264150943396235</v>
      </c>
      <c r="O272">
        <v>0.62264150943396213</v>
      </c>
      <c r="P272">
        <v>0.62264150943396235</v>
      </c>
      <c r="Q272">
        <v>0.62264150943396213</v>
      </c>
      <c r="R272">
        <v>0.62264150943396235</v>
      </c>
      <c r="S272">
        <v>0.62264150943396213</v>
      </c>
      <c r="T272">
        <v>0.62264150943396235</v>
      </c>
      <c r="U272">
        <v>0.62264150943396213</v>
      </c>
      <c r="V272">
        <v>0.62264150943396235</v>
      </c>
      <c r="W272">
        <v>0.62264150943396213</v>
      </c>
      <c r="X272">
        <v>0.62264150943396235</v>
      </c>
      <c r="Y272">
        <v>0.62264150943396213</v>
      </c>
      <c r="Z272">
        <v>0.62264150943396235</v>
      </c>
      <c r="AA272">
        <v>0.62264150943396213</v>
      </c>
      <c r="AB272">
        <v>0.62264150943396235</v>
      </c>
      <c r="AC272">
        <v>0.62264150943396213</v>
      </c>
      <c r="AD272">
        <v>0.62264150943396235</v>
      </c>
      <c r="AE272">
        <v>0.62264150943396213</v>
      </c>
      <c r="AF272">
        <v>0.62264150943396235</v>
      </c>
      <c r="AG272">
        <v>0.62264150943396213</v>
      </c>
    </row>
    <row r="273" spans="8:33" x14ac:dyDescent="0.3">
      <c r="H273">
        <f t="shared" ref="H273" si="797">H271+1</f>
        <v>133</v>
      </c>
      <c r="I273">
        <f t="shared" ref="I273" si="798">J272</f>
        <v>0.90596231494370838</v>
      </c>
      <c r="J273">
        <f t="shared" ref="J273" si="799">I273</f>
        <v>0.90596231494370838</v>
      </c>
      <c r="L273">
        <v>2.66</v>
      </c>
      <c r="M273">
        <v>0.62406015037593976</v>
      </c>
      <c r="N273">
        <v>0.62406015037593998</v>
      </c>
      <c r="O273">
        <v>0.62406015037593976</v>
      </c>
      <c r="P273">
        <v>0.62406015037593998</v>
      </c>
      <c r="Q273">
        <v>0.62406015037593976</v>
      </c>
      <c r="R273">
        <v>0.62406015037593998</v>
      </c>
      <c r="S273">
        <v>0.62406015037593976</v>
      </c>
      <c r="T273">
        <v>0.62406015037593998</v>
      </c>
      <c r="U273">
        <v>0.62406015037593976</v>
      </c>
      <c r="V273">
        <v>0.62406015037593998</v>
      </c>
      <c r="W273">
        <v>0.62406015037593976</v>
      </c>
      <c r="X273">
        <v>0.62406015037593998</v>
      </c>
      <c r="Y273">
        <v>0.62406015037593976</v>
      </c>
      <c r="Z273">
        <v>0.62406015037593998</v>
      </c>
      <c r="AA273">
        <v>0.62406015037593976</v>
      </c>
      <c r="AB273">
        <v>0.62406015037593998</v>
      </c>
      <c r="AC273">
        <v>0.62406015037593976</v>
      </c>
      <c r="AD273">
        <v>0.62406015037593998</v>
      </c>
      <c r="AE273">
        <v>0.62406015037593976</v>
      </c>
      <c r="AF273">
        <v>0.62406015037593998</v>
      </c>
      <c r="AG273">
        <v>0.62406015037593976</v>
      </c>
    </row>
    <row r="274" spans="8:33" x14ac:dyDescent="0.3">
      <c r="H274">
        <f t="shared" ref="H274" si="800">H271+1</f>
        <v>133</v>
      </c>
      <c r="I274">
        <f t="shared" ref="I274" si="801">J272</f>
        <v>0.90596231494370838</v>
      </c>
      <c r="J274">
        <f t="shared" ref="J274" si="802">$E$3*I274*(1-I274)</f>
        <v>0.3407783953821813</v>
      </c>
      <c r="L274">
        <v>2.67</v>
      </c>
      <c r="M274">
        <v>0.62546816479400735</v>
      </c>
      <c r="N274">
        <v>0.62546816479400758</v>
      </c>
      <c r="O274">
        <v>0.62546816479400735</v>
      </c>
      <c r="P274">
        <v>0.62546816479400758</v>
      </c>
      <c r="Q274">
        <v>0.62546816479400735</v>
      </c>
      <c r="R274">
        <v>0.62546816479400758</v>
      </c>
      <c r="S274">
        <v>0.62546816479400735</v>
      </c>
      <c r="T274">
        <v>0.62546816479400758</v>
      </c>
      <c r="U274">
        <v>0.62546816479400735</v>
      </c>
      <c r="V274">
        <v>0.62546816479400758</v>
      </c>
      <c r="W274">
        <v>0.62546816479400735</v>
      </c>
      <c r="X274">
        <v>0.62546816479400758</v>
      </c>
      <c r="Y274">
        <v>0.62546816479400735</v>
      </c>
      <c r="Z274">
        <v>0.62546816479400758</v>
      </c>
      <c r="AA274">
        <v>0.62546816479400735</v>
      </c>
      <c r="AB274">
        <v>0.62546816479400758</v>
      </c>
      <c r="AC274">
        <v>0.62546816479400735</v>
      </c>
      <c r="AD274">
        <v>0.62546816479400758</v>
      </c>
      <c r="AE274">
        <v>0.62546816479400735</v>
      </c>
      <c r="AF274">
        <v>0.62546816479400758</v>
      </c>
      <c r="AG274">
        <v>0.62546816479400735</v>
      </c>
    </row>
    <row r="275" spans="8:33" x14ac:dyDescent="0.3">
      <c r="H275">
        <f t="shared" ref="H275" si="803">H273+1</f>
        <v>134</v>
      </c>
      <c r="I275">
        <f t="shared" ref="I275" si="804">J274</f>
        <v>0.3407783953821813</v>
      </c>
      <c r="J275">
        <f t="shared" ref="J275" si="805">I275</f>
        <v>0.3407783953821813</v>
      </c>
      <c r="L275">
        <v>2.68</v>
      </c>
      <c r="M275">
        <v>0.62686567164179097</v>
      </c>
      <c r="N275">
        <v>0.62686567164179119</v>
      </c>
      <c r="O275">
        <v>0.62686567164179097</v>
      </c>
      <c r="P275">
        <v>0.62686567164179119</v>
      </c>
      <c r="Q275">
        <v>0.62686567164179097</v>
      </c>
      <c r="R275">
        <v>0.62686567164179119</v>
      </c>
      <c r="S275">
        <v>0.62686567164179097</v>
      </c>
      <c r="T275">
        <v>0.62686567164179119</v>
      </c>
      <c r="U275">
        <v>0.62686567164179097</v>
      </c>
      <c r="V275">
        <v>0.62686567164179119</v>
      </c>
      <c r="W275">
        <v>0.62686567164179097</v>
      </c>
      <c r="X275">
        <v>0.62686567164179119</v>
      </c>
      <c r="Y275">
        <v>0.62686567164179097</v>
      </c>
      <c r="Z275">
        <v>0.62686567164179119</v>
      </c>
      <c r="AA275">
        <v>0.62686567164179097</v>
      </c>
      <c r="AB275">
        <v>0.62686567164179119</v>
      </c>
      <c r="AC275">
        <v>0.62686567164179097</v>
      </c>
      <c r="AD275">
        <v>0.62686567164179119</v>
      </c>
      <c r="AE275">
        <v>0.62686567164179097</v>
      </c>
      <c r="AF275">
        <v>0.62686567164179119</v>
      </c>
      <c r="AG275">
        <v>0.62686567164179097</v>
      </c>
    </row>
    <row r="276" spans="8:33" x14ac:dyDescent="0.3">
      <c r="H276">
        <f t="shared" ref="H276" si="806">H273+1</f>
        <v>134</v>
      </c>
      <c r="I276">
        <f t="shared" ref="I276" si="807">J274</f>
        <v>0.3407783953821813</v>
      </c>
      <c r="J276">
        <f t="shared" ref="J276" si="808">$E$3*I276*(1-I276)</f>
        <v>0.89859392249170811</v>
      </c>
      <c r="L276">
        <v>2.69</v>
      </c>
      <c r="M276">
        <v>0.62825278810408913</v>
      </c>
      <c r="N276">
        <v>0.62825278810408924</v>
      </c>
      <c r="O276">
        <v>0.62825278810408913</v>
      </c>
      <c r="P276">
        <v>0.62825278810408924</v>
      </c>
      <c r="Q276">
        <v>0.62825278810408913</v>
      </c>
      <c r="R276">
        <v>0.62825278810408924</v>
      </c>
      <c r="S276">
        <v>0.62825278810408913</v>
      </c>
      <c r="T276">
        <v>0.62825278810408924</v>
      </c>
      <c r="U276">
        <v>0.62825278810408913</v>
      </c>
      <c r="V276">
        <v>0.62825278810408924</v>
      </c>
      <c r="W276">
        <v>0.62825278810408913</v>
      </c>
      <c r="X276">
        <v>0.62825278810408924</v>
      </c>
      <c r="Y276">
        <v>0.62825278810408913</v>
      </c>
      <c r="Z276">
        <v>0.62825278810408924</v>
      </c>
      <c r="AA276">
        <v>0.62825278810408913</v>
      </c>
      <c r="AB276">
        <v>0.62825278810408924</v>
      </c>
      <c r="AC276">
        <v>0.62825278810408913</v>
      </c>
      <c r="AD276">
        <v>0.62825278810408924</v>
      </c>
      <c r="AE276">
        <v>0.62825278810408913</v>
      </c>
      <c r="AF276">
        <v>0.62825278810408924</v>
      </c>
      <c r="AG276">
        <v>0.62825278810408913</v>
      </c>
    </row>
    <row r="277" spans="8:33" x14ac:dyDescent="0.3">
      <c r="H277">
        <f t="shared" ref="H277" si="809">H275+1</f>
        <v>135</v>
      </c>
      <c r="I277">
        <f t="shared" ref="I277" si="810">J276</f>
        <v>0.89859392249170811</v>
      </c>
      <c r="J277">
        <f t="shared" ref="J277" si="811">I277</f>
        <v>0.89859392249170811</v>
      </c>
      <c r="L277">
        <v>2.7</v>
      </c>
      <c r="M277">
        <v>0.62962962962962954</v>
      </c>
      <c r="N277">
        <v>0.62962962962962976</v>
      </c>
      <c r="O277">
        <v>0.62962962962962954</v>
      </c>
      <c r="P277">
        <v>0.62962962962962976</v>
      </c>
      <c r="Q277">
        <v>0.62962962962962954</v>
      </c>
      <c r="R277">
        <v>0.62962962962962976</v>
      </c>
      <c r="S277">
        <v>0.62962962962962954</v>
      </c>
      <c r="T277">
        <v>0.62962962962962976</v>
      </c>
      <c r="U277">
        <v>0.62962962962962954</v>
      </c>
      <c r="V277">
        <v>0.62962962962962976</v>
      </c>
      <c r="W277">
        <v>0.62962962962962954</v>
      </c>
      <c r="X277">
        <v>0.62962962962962976</v>
      </c>
      <c r="Y277">
        <v>0.62962962962962954</v>
      </c>
      <c r="Z277">
        <v>0.62962962962962976</v>
      </c>
      <c r="AA277">
        <v>0.62962962962962954</v>
      </c>
      <c r="AB277">
        <v>0.62962962962962976</v>
      </c>
      <c r="AC277">
        <v>0.62962962962962954</v>
      </c>
      <c r="AD277">
        <v>0.62962962962962976</v>
      </c>
      <c r="AE277">
        <v>0.62962962962962954</v>
      </c>
      <c r="AF277">
        <v>0.62962962962962976</v>
      </c>
      <c r="AG277">
        <v>0.62962962962962954</v>
      </c>
    </row>
    <row r="278" spans="8:33" x14ac:dyDescent="0.3">
      <c r="H278">
        <f t="shared" ref="H278" si="812">H275+1</f>
        <v>135</v>
      </c>
      <c r="I278">
        <f t="shared" ref="I278" si="813">J276</f>
        <v>0.89859392249170811</v>
      </c>
      <c r="J278">
        <f t="shared" ref="J278" si="814">$E$3*I278*(1-I278)</f>
        <v>0.36449153981069676</v>
      </c>
      <c r="L278">
        <v>2.71</v>
      </c>
      <c r="M278">
        <v>0.63099630996309952</v>
      </c>
      <c r="N278">
        <v>0.63099630996309974</v>
      </c>
      <c r="O278">
        <v>0.63099630996309952</v>
      </c>
      <c r="P278">
        <v>0.63099630996309974</v>
      </c>
      <c r="Q278">
        <v>0.63099630996309952</v>
      </c>
      <c r="R278">
        <v>0.63099630996309974</v>
      </c>
      <c r="S278">
        <v>0.63099630996309952</v>
      </c>
      <c r="T278">
        <v>0.63099630996309974</v>
      </c>
      <c r="U278">
        <v>0.63099630996309952</v>
      </c>
      <c r="V278">
        <v>0.63099630996309974</v>
      </c>
      <c r="W278">
        <v>0.63099630996309952</v>
      </c>
      <c r="X278">
        <v>0.63099630996309974</v>
      </c>
      <c r="Y278">
        <v>0.63099630996309952</v>
      </c>
      <c r="Z278">
        <v>0.63099630996309974</v>
      </c>
      <c r="AA278">
        <v>0.63099630996309952</v>
      </c>
      <c r="AB278">
        <v>0.63099630996309974</v>
      </c>
      <c r="AC278">
        <v>0.63099630996309952</v>
      </c>
      <c r="AD278">
        <v>0.63099630996309974</v>
      </c>
      <c r="AE278">
        <v>0.63099630996309952</v>
      </c>
      <c r="AF278">
        <v>0.63099630996309974</v>
      </c>
      <c r="AG278">
        <v>0.63099630996309952</v>
      </c>
    </row>
    <row r="279" spans="8:33" x14ac:dyDescent="0.3">
      <c r="H279">
        <f t="shared" ref="H279" si="815">H277+1</f>
        <v>136</v>
      </c>
      <c r="I279">
        <f t="shared" ref="I279" si="816">J278</f>
        <v>0.36449153981069676</v>
      </c>
      <c r="J279">
        <f t="shared" ref="J279" si="817">I279</f>
        <v>0.36449153981069676</v>
      </c>
      <c r="L279">
        <v>2.72</v>
      </c>
      <c r="M279">
        <v>0.63235294117647034</v>
      </c>
      <c r="N279">
        <v>0.6323529411764709</v>
      </c>
      <c r="O279">
        <v>0.63235294117647034</v>
      </c>
      <c r="P279">
        <v>0.6323529411764709</v>
      </c>
      <c r="Q279">
        <v>0.63235294117647034</v>
      </c>
      <c r="R279">
        <v>0.6323529411764709</v>
      </c>
      <c r="S279">
        <v>0.63235294117647034</v>
      </c>
      <c r="T279">
        <v>0.6323529411764709</v>
      </c>
      <c r="U279">
        <v>0.63235294117647034</v>
      </c>
      <c r="V279">
        <v>0.6323529411764709</v>
      </c>
      <c r="W279">
        <v>0.63235294117647034</v>
      </c>
      <c r="X279">
        <v>0.6323529411764709</v>
      </c>
      <c r="Y279">
        <v>0.63235294117647034</v>
      </c>
      <c r="Z279">
        <v>0.6323529411764709</v>
      </c>
      <c r="AA279">
        <v>0.63235294117647034</v>
      </c>
      <c r="AB279">
        <v>0.6323529411764709</v>
      </c>
      <c r="AC279">
        <v>0.63235294117647034</v>
      </c>
      <c r="AD279">
        <v>0.6323529411764709</v>
      </c>
      <c r="AE279">
        <v>0.63235294117647034</v>
      </c>
      <c r="AF279">
        <v>0.6323529411764709</v>
      </c>
      <c r="AG279">
        <v>0.63235294117647034</v>
      </c>
    </row>
    <row r="280" spans="8:33" x14ac:dyDescent="0.3">
      <c r="H280">
        <f t="shared" ref="H280" si="818">H277+1</f>
        <v>136</v>
      </c>
      <c r="I280">
        <f t="shared" ref="I280" si="819">J278</f>
        <v>0.36449153981069676</v>
      </c>
      <c r="J280">
        <f t="shared" ref="J280" si="820">$E$3*I280*(1-I280)</f>
        <v>0.92654982886849613</v>
      </c>
      <c r="L280">
        <v>2.73</v>
      </c>
      <c r="M280">
        <v>0.63369963369963367</v>
      </c>
      <c r="N280">
        <v>0.63369963369963378</v>
      </c>
      <c r="O280">
        <v>0.63369963369963367</v>
      </c>
      <c r="P280">
        <v>0.63369963369963378</v>
      </c>
      <c r="Q280">
        <v>0.63369963369963367</v>
      </c>
      <c r="R280">
        <v>0.63369963369963378</v>
      </c>
      <c r="S280">
        <v>0.63369963369963367</v>
      </c>
      <c r="T280">
        <v>0.63369963369963378</v>
      </c>
      <c r="U280">
        <v>0.63369963369963367</v>
      </c>
      <c r="V280">
        <v>0.63369963369963378</v>
      </c>
      <c r="W280">
        <v>0.63369963369963367</v>
      </c>
      <c r="X280">
        <v>0.63369963369963378</v>
      </c>
      <c r="Y280">
        <v>0.63369963369963367</v>
      </c>
      <c r="Z280">
        <v>0.63369963369963378</v>
      </c>
      <c r="AA280">
        <v>0.63369963369963367</v>
      </c>
      <c r="AB280">
        <v>0.63369963369963378</v>
      </c>
      <c r="AC280">
        <v>0.63369963369963367</v>
      </c>
      <c r="AD280">
        <v>0.63369963369963378</v>
      </c>
      <c r="AE280">
        <v>0.63369963369963367</v>
      </c>
      <c r="AF280">
        <v>0.63369963369963378</v>
      </c>
      <c r="AG280">
        <v>0.63369963369963367</v>
      </c>
    </row>
    <row r="281" spans="8:33" x14ac:dyDescent="0.3">
      <c r="H281">
        <f t="shared" ref="H281" si="821">H279+1</f>
        <v>137</v>
      </c>
      <c r="I281">
        <f t="shared" ref="I281" si="822">J280</f>
        <v>0.92654982886849613</v>
      </c>
      <c r="J281">
        <f t="shared" ref="J281" si="823">I281</f>
        <v>0.92654982886849613</v>
      </c>
      <c r="L281">
        <v>2.74</v>
      </c>
      <c r="M281">
        <v>0.63503649635036497</v>
      </c>
      <c r="N281">
        <v>0.63503649635036508</v>
      </c>
      <c r="O281">
        <v>0.63503649635036497</v>
      </c>
      <c r="P281">
        <v>0.63503649635036508</v>
      </c>
      <c r="Q281">
        <v>0.63503649635036497</v>
      </c>
      <c r="R281">
        <v>0.63503649635036508</v>
      </c>
      <c r="S281">
        <v>0.63503649635036497</v>
      </c>
      <c r="T281">
        <v>0.63503649635036508</v>
      </c>
      <c r="U281">
        <v>0.63503649635036497</v>
      </c>
      <c r="V281">
        <v>0.63503649635036508</v>
      </c>
      <c r="W281">
        <v>0.63503649635036497</v>
      </c>
      <c r="X281">
        <v>0.63503649635036508</v>
      </c>
      <c r="Y281">
        <v>0.63503649635036497</v>
      </c>
      <c r="Z281">
        <v>0.63503649635036508</v>
      </c>
      <c r="AA281">
        <v>0.63503649635036497</v>
      </c>
      <c r="AB281">
        <v>0.63503649635036508</v>
      </c>
      <c r="AC281">
        <v>0.63503649635036497</v>
      </c>
      <c r="AD281">
        <v>0.63503649635036508</v>
      </c>
      <c r="AE281">
        <v>0.63503649635036497</v>
      </c>
      <c r="AF281">
        <v>0.63503649635036508</v>
      </c>
      <c r="AG281">
        <v>0.63503649635036497</v>
      </c>
    </row>
    <row r="282" spans="8:33" x14ac:dyDescent="0.3">
      <c r="H282">
        <f t="shared" ref="H282" si="824">H279+1</f>
        <v>137</v>
      </c>
      <c r="I282">
        <f t="shared" ref="I282" si="825">J280</f>
        <v>0.92654982886849613</v>
      </c>
      <c r="J282">
        <f t="shared" ref="J282" si="826">$E$3*I282*(1-I282)</f>
        <v>0.27222097396902667</v>
      </c>
      <c r="L282">
        <v>2.75</v>
      </c>
      <c r="M282">
        <v>0.63636363636363624</v>
      </c>
      <c r="N282">
        <v>0.63636363636363646</v>
      </c>
      <c r="O282">
        <v>0.63636363636363624</v>
      </c>
      <c r="P282">
        <v>0.63636363636363646</v>
      </c>
      <c r="Q282">
        <v>0.63636363636363624</v>
      </c>
      <c r="R282">
        <v>0.63636363636363646</v>
      </c>
      <c r="S282">
        <v>0.63636363636363624</v>
      </c>
      <c r="T282">
        <v>0.63636363636363646</v>
      </c>
      <c r="U282">
        <v>0.63636363636363624</v>
      </c>
      <c r="V282">
        <v>0.63636363636363646</v>
      </c>
      <c r="W282">
        <v>0.63636363636363624</v>
      </c>
      <c r="X282">
        <v>0.63636363636363646</v>
      </c>
      <c r="Y282">
        <v>0.63636363636363624</v>
      </c>
      <c r="Z282">
        <v>0.63636363636363646</v>
      </c>
      <c r="AA282">
        <v>0.63636363636363624</v>
      </c>
      <c r="AB282">
        <v>0.63636363636363646</v>
      </c>
      <c r="AC282">
        <v>0.63636363636363624</v>
      </c>
      <c r="AD282">
        <v>0.63636363636363646</v>
      </c>
      <c r="AE282">
        <v>0.63636363636363624</v>
      </c>
      <c r="AF282">
        <v>0.63636363636363646</v>
      </c>
      <c r="AG282">
        <v>0.63636363636363624</v>
      </c>
    </row>
    <row r="283" spans="8:33" x14ac:dyDescent="0.3">
      <c r="H283">
        <f t="shared" ref="H283" si="827">H281+1</f>
        <v>138</v>
      </c>
      <c r="I283">
        <f t="shared" ref="I283" si="828">J282</f>
        <v>0.27222097396902667</v>
      </c>
      <c r="J283">
        <f t="shared" ref="J283" si="829">I283</f>
        <v>0.27222097396902667</v>
      </c>
      <c r="L283">
        <v>2.76</v>
      </c>
      <c r="M283">
        <v>0.6376811594202898</v>
      </c>
      <c r="N283">
        <v>0.63768115942028991</v>
      </c>
      <c r="O283">
        <v>0.6376811594202898</v>
      </c>
      <c r="P283">
        <v>0.63768115942028991</v>
      </c>
      <c r="Q283">
        <v>0.6376811594202898</v>
      </c>
      <c r="R283">
        <v>0.63768115942028991</v>
      </c>
      <c r="S283">
        <v>0.6376811594202898</v>
      </c>
      <c r="T283">
        <v>0.63768115942028991</v>
      </c>
      <c r="U283">
        <v>0.6376811594202898</v>
      </c>
      <c r="V283">
        <v>0.63768115942028991</v>
      </c>
      <c r="W283">
        <v>0.6376811594202898</v>
      </c>
      <c r="X283">
        <v>0.63768115942028991</v>
      </c>
      <c r="Y283">
        <v>0.6376811594202898</v>
      </c>
      <c r="Z283">
        <v>0.63768115942028991</v>
      </c>
      <c r="AA283">
        <v>0.6376811594202898</v>
      </c>
      <c r="AB283">
        <v>0.63768115942028991</v>
      </c>
      <c r="AC283">
        <v>0.6376811594202898</v>
      </c>
      <c r="AD283">
        <v>0.63768115942028991</v>
      </c>
      <c r="AE283">
        <v>0.6376811594202898</v>
      </c>
      <c r="AF283">
        <v>0.63768115942028991</v>
      </c>
      <c r="AG283">
        <v>0.6376811594202898</v>
      </c>
    </row>
    <row r="284" spans="8:33" x14ac:dyDescent="0.3">
      <c r="H284">
        <f t="shared" ref="H284" si="830">H281+1</f>
        <v>138</v>
      </c>
      <c r="I284">
        <f t="shared" ref="I284" si="831">J282</f>
        <v>0.27222097396902667</v>
      </c>
      <c r="J284">
        <f t="shared" ref="J284" si="832">$E$3*I284*(1-I284)</f>
        <v>0.79246686120152465</v>
      </c>
      <c r="L284">
        <v>2.77</v>
      </c>
      <c r="M284">
        <v>0.63898916967509023</v>
      </c>
      <c r="N284">
        <v>0.63898916967509034</v>
      </c>
      <c r="O284">
        <v>0.63898916967509023</v>
      </c>
      <c r="P284">
        <v>0.63898916967509034</v>
      </c>
      <c r="Q284">
        <v>0.63898916967509023</v>
      </c>
      <c r="R284">
        <v>0.63898916967509034</v>
      </c>
      <c r="S284">
        <v>0.63898916967509023</v>
      </c>
      <c r="T284">
        <v>0.63898916967509034</v>
      </c>
      <c r="U284">
        <v>0.63898916967509023</v>
      </c>
      <c r="V284">
        <v>0.63898916967509034</v>
      </c>
      <c r="W284">
        <v>0.63898916967509023</v>
      </c>
      <c r="X284">
        <v>0.63898916967509034</v>
      </c>
      <c r="Y284">
        <v>0.63898916967509023</v>
      </c>
      <c r="Z284">
        <v>0.63898916967509034</v>
      </c>
      <c r="AA284">
        <v>0.63898916967509023</v>
      </c>
      <c r="AB284">
        <v>0.63898916967509034</v>
      </c>
      <c r="AC284">
        <v>0.63898916967509023</v>
      </c>
      <c r="AD284">
        <v>0.63898916967509034</v>
      </c>
      <c r="AE284">
        <v>0.63898916967509023</v>
      </c>
      <c r="AF284">
        <v>0.63898916967509034</v>
      </c>
      <c r="AG284">
        <v>0.63898916967509023</v>
      </c>
    </row>
    <row r="285" spans="8:33" x14ac:dyDescent="0.3">
      <c r="H285">
        <f t="shared" ref="H285" si="833">H283+1</f>
        <v>139</v>
      </c>
      <c r="I285">
        <f t="shared" ref="I285" si="834">J284</f>
        <v>0.79246686120152465</v>
      </c>
      <c r="J285">
        <f t="shared" ref="J285" si="835">I285</f>
        <v>0.79246686120152465</v>
      </c>
      <c r="L285">
        <v>2.78</v>
      </c>
      <c r="M285">
        <v>0.64028776978417268</v>
      </c>
      <c r="N285">
        <v>0.64028776978417268</v>
      </c>
      <c r="O285">
        <v>0.64028776978417268</v>
      </c>
      <c r="P285">
        <v>0.64028776978417268</v>
      </c>
      <c r="Q285">
        <v>0.64028776978417268</v>
      </c>
      <c r="R285">
        <v>0.64028776978417268</v>
      </c>
      <c r="S285">
        <v>0.64028776978417268</v>
      </c>
      <c r="T285">
        <v>0.64028776978417268</v>
      </c>
      <c r="U285">
        <v>0.64028776978417268</v>
      </c>
      <c r="V285">
        <v>0.64028776978417268</v>
      </c>
      <c r="W285">
        <v>0.64028776978417268</v>
      </c>
      <c r="X285">
        <v>0.64028776978417268</v>
      </c>
      <c r="Y285">
        <v>0.64028776978417268</v>
      </c>
      <c r="Z285">
        <v>0.64028776978417268</v>
      </c>
      <c r="AA285">
        <v>0.64028776978417268</v>
      </c>
      <c r="AB285">
        <v>0.64028776978417268</v>
      </c>
      <c r="AC285">
        <v>0.64028776978417268</v>
      </c>
      <c r="AD285">
        <v>0.64028776978417268</v>
      </c>
      <c r="AE285">
        <v>0.64028776978417268</v>
      </c>
      <c r="AF285">
        <v>0.64028776978417268</v>
      </c>
      <c r="AG285">
        <v>0.64028776978417268</v>
      </c>
    </row>
    <row r="286" spans="8:33" x14ac:dyDescent="0.3">
      <c r="H286">
        <f t="shared" ref="H286" si="836">H283+1</f>
        <v>139</v>
      </c>
      <c r="I286">
        <f t="shared" ref="I286" si="837">J284</f>
        <v>0.79246686120152465</v>
      </c>
      <c r="J286">
        <f t="shared" ref="J286" si="838">$E$3*I286*(1-I286)</f>
        <v>0.6578525403957125</v>
      </c>
      <c r="L286">
        <v>2.79</v>
      </c>
      <c r="M286">
        <v>0.64157706093189937</v>
      </c>
      <c r="N286">
        <v>0.64157706093189992</v>
      </c>
      <c r="O286">
        <v>0.64157706093189937</v>
      </c>
      <c r="P286">
        <v>0.64157706093189992</v>
      </c>
      <c r="Q286">
        <v>0.64157706093189937</v>
      </c>
      <c r="R286">
        <v>0.64157706093189992</v>
      </c>
      <c r="S286">
        <v>0.64157706093189937</v>
      </c>
      <c r="T286">
        <v>0.64157706093189992</v>
      </c>
      <c r="U286">
        <v>0.64157706093189937</v>
      </c>
      <c r="V286">
        <v>0.64157706093189992</v>
      </c>
      <c r="W286">
        <v>0.64157706093189937</v>
      </c>
      <c r="X286">
        <v>0.64157706093189992</v>
      </c>
      <c r="Y286">
        <v>0.64157706093189937</v>
      </c>
      <c r="Z286">
        <v>0.64157706093189992</v>
      </c>
      <c r="AA286">
        <v>0.64157706093189937</v>
      </c>
      <c r="AB286">
        <v>0.64157706093189992</v>
      </c>
      <c r="AC286">
        <v>0.64157706093189937</v>
      </c>
      <c r="AD286">
        <v>0.64157706093189992</v>
      </c>
      <c r="AE286">
        <v>0.64157706093189937</v>
      </c>
      <c r="AF286">
        <v>0.64157706093189992</v>
      </c>
      <c r="AG286">
        <v>0.64157706093189937</v>
      </c>
    </row>
    <row r="287" spans="8:33" x14ac:dyDescent="0.3">
      <c r="H287">
        <f t="shared" ref="H287" si="839">H285+1</f>
        <v>140</v>
      </c>
      <c r="I287">
        <f t="shared" ref="I287" si="840">J286</f>
        <v>0.6578525403957125</v>
      </c>
      <c r="J287">
        <f t="shared" ref="J287" si="841">I287</f>
        <v>0.6578525403957125</v>
      </c>
      <c r="L287">
        <v>2.8</v>
      </c>
      <c r="M287">
        <v>0.64285714285714279</v>
      </c>
      <c r="N287">
        <v>0.64285714285714279</v>
      </c>
      <c r="O287">
        <v>0.64285714285714279</v>
      </c>
      <c r="P287">
        <v>0.64285714285714279</v>
      </c>
      <c r="Q287">
        <v>0.64285714285714279</v>
      </c>
      <c r="R287">
        <v>0.64285714285714279</v>
      </c>
      <c r="S287">
        <v>0.64285714285714279</v>
      </c>
      <c r="T287">
        <v>0.64285714285714279</v>
      </c>
      <c r="U287">
        <v>0.64285714285714279</v>
      </c>
      <c r="V287">
        <v>0.64285714285714279</v>
      </c>
      <c r="W287">
        <v>0.64285714285714279</v>
      </c>
      <c r="X287">
        <v>0.64285714285714279</v>
      </c>
      <c r="Y287">
        <v>0.64285714285714279</v>
      </c>
      <c r="Z287">
        <v>0.64285714285714279</v>
      </c>
      <c r="AA287">
        <v>0.64285714285714279</v>
      </c>
      <c r="AB287">
        <v>0.64285714285714279</v>
      </c>
      <c r="AC287">
        <v>0.64285714285714279</v>
      </c>
      <c r="AD287">
        <v>0.64285714285714279</v>
      </c>
      <c r="AE287">
        <v>0.64285714285714279</v>
      </c>
      <c r="AF287">
        <v>0.64285714285714279</v>
      </c>
      <c r="AG287">
        <v>0.64285714285714279</v>
      </c>
    </row>
    <row r="288" spans="8:33" x14ac:dyDescent="0.3">
      <c r="H288">
        <f t="shared" ref="H288" si="842">H285+1</f>
        <v>140</v>
      </c>
      <c r="I288">
        <f t="shared" ref="I288" si="843">J286</f>
        <v>0.6578525403957125</v>
      </c>
      <c r="J288">
        <f t="shared" ref="J288" si="844">$E$3*I288*(1-I288)</f>
        <v>0.90033030196247976</v>
      </c>
      <c r="L288">
        <v>2.81</v>
      </c>
      <c r="M288">
        <v>0.64412811387900348</v>
      </c>
      <c r="N288">
        <v>0.64412811387900359</v>
      </c>
      <c r="O288">
        <v>0.64412811387900348</v>
      </c>
      <c r="P288">
        <v>0.64412811387900359</v>
      </c>
      <c r="Q288">
        <v>0.64412811387900348</v>
      </c>
      <c r="R288">
        <v>0.64412811387900359</v>
      </c>
      <c r="S288">
        <v>0.64412811387900348</v>
      </c>
      <c r="T288">
        <v>0.64412811387900359</v>
      </c>
      <c r="U288">
        <v>0.64412811387900348</v>
      </c>
      <c r="V288">
        <v>0.64412811387900359</v>
      </c>
      <c r="W288">
        <v>0.64412811387900348</v>
      </c>
      <c r="X288">
        <v>0.64412811387900359</v>
      </c>
      <c r="Y288">
        <v>0.64412811387900348</v>
      </c>
      <c r="Z288">
        <v>0.64412811387900359</v>
      </c>
      <c r="AA288">
        <v>0.64412811387900348</v>
      </c>
      <c r="AB288">
        <v>0.64412811387900359</v>
      </c>
      <c r="AC288">
        <v>0.64412811387900348</v>
      </c>
      <c r="AD288">
        <v>0.64412811387900359</v>
      </c>
      <c r="AE288">
        <v>0.64412811387900348</v>
      </c>
      <c r="AF288">
        <v>0.64412811387900359</v>
      </c>
      <c r="AG288">
        <v>0.64412811387900348</v>
      </c>
    </row>
    <row r="289" spans="8:33" x14ac:dyDescent="0.3">
      <c r="H289">
        <f t="shared" ref="H289" si="845">H287+1</f>
        <v>141</v>
      </c>
      <c r="I289">
        <f t="shared" ref="I289" si="846">J288</f>
        <v>0.90033030196247976</v>
      </c>
      <c r="J289">
        <f t="shared" ref="J289" si="847">I289</f>
        <v>0.90033030196247976</v>
      </c>
      <c r="L289">
        <v>2.82</v>
      </c>
      <c r="M289">
        <v>0.64539007092198564</v>
      </c>
      <c r="N289">
        <v>0.64539007092198597</v>
      </c>
      <c r="O289">
        <v>0.64539007092198564</v>
      </c>
      <c r="P289">
        <v>0.64539007092198597</v>
      </c>
      <c r="Q289">
        <v>0.64539007092198564</v>
      </c>
      <c r="R289">
        <v>0.64539007092198597</v>
      </c>
      <c r="S289">
        <v>0.64539007092198564</v>
      </c>
      <c r="T289">
        <v>0.64539007092198597</v>
      </c>
      <c r="U289">
        <v>0.64539007092198564</v>
      </c>
      <c r="V289">
        <v>0.64539007092198597</v>
      </c>
      <c r="W289">
        <v>0.64539007092198564</v>
      </c>
      <c r="X289">
        <v>0.64539007092198597</v>
      </c>
      <c r="Y289">
        <v>0.64539007092198564</v>
      </c>
      <c r="Z289">
        <v>0.64539007092198597</v>
      </c>
      <c r="AA289">
        <v>0.64539007092198564</v>
      </c>
      <c r="AB289">
        <v>0.64539007092198597</v>
      </c>
      <c r="AC289">
        <v>0.64539007092198564</v>
      </c>
      <c r="AD289">
        <v>0.64539007092198597</v>
      </c>
      <c r="AE289">
        <v>0.64539007092198564</v>
      </c>
      <c r="AF289">
        <v>0.64539007092198597</v>
      </c>
      <c r="AG289">
        <v>0.64539007092198564</v>
      </c>
    </row>
    <row r="290" spans="8:33" x14ac:dyDescent="0.3">
      <c r="H290">
        <f t="shared" ref="H290" si="848">H287+1</f>
        <v>141</v>
      </c>
      <c r="I290">
        <f t="shared" ref="I290" si="849">J288</f>
        <v>0.90033030196247976</v>
      </c>
      <c r="J290">
        <f t="shared" ref="J290" si="850">$E$3*I290*(1-I290)</f>
        <v>0.3589425973225191</v>
      </c>
      <c r="L290">
        <v>2.83</v>
      </c>
      <c r="M290">
        <v>0.64664310954063586</v>
      </c>
      <c r="N290">
        <v>0.6466431095406362</v>
      </c>
      <c r="O290">
        <v>0.64664310954063597</v>
      </c>
      <c r="P290">
        <v>0.64664310954063609</v>
      </c>
      <c r="Q290">
        <v>0.64664310954063597</v>
      </c>
      <c r="R290">
        <v>0.64664310954063609</v>
      </c>
      <c r="S290">
        <v>0.64664310954063597</v>
      </c>
      <c r="T290">
        <v>0.64664310954063609</v>
      </c>
      <c r="U290">
        <v>0.64664310954063597</v>
      </c>
      <c r="V290">
        <v>0.64664310954063609</v>
      </c>
      <c r="W290">
        <v>0.64664310954063597</v>
      </c>
      <c r="X290">
        <v>0.64664310954063609</v>
      </c>
      <c r="Y290">
        <v>0.64664310954063597</v>
      </c>
      <c r="Z290">
        <v>0.64664310954063609</v>
      </c>
      <c r="AA290">
        <v>0.64664310954063597</v>
      </c>
      <c r="AB290">
        <v>0.64664310954063609</v>
      </c>
      <c r="AC290">
        <v>0.64664310954063597</v>
      </c>
      <c r="AD290">
        <v>0.64664310954063609</v>
      </c>
      <c r="AE290">
        <v>0.64664310954063597</v>
      </c>
      <c r="AF290">
        <v>0.64664310954063609</v>
      </c>
      <c r="AG290">
        <v>0.64664310954063597</v>
      </c>
    </row>
    <row r="291" spans="8:33" x14ac:dyDescent="0.3">
      <c r="H291">
        <f t="shared" ref="H291" si="851">H289+1</f>
        <v>142</v>
      </c>
      <c r="I291">
        <f t="shared" ref="I291" si="852">J290</f>
        <v>0.3589425973225191</v>
      </c>
      <c r="J291">
        <f t="shared" ref="J291" si="853">I291</f>
        <v>0.3589425973225191</v>
      </c>
      <c r="L291">
        <v>2.84</v>
      </c>
      <c r="M291">
        <v>0.64788732394365978</v>
      </c>
      <c r="N291">
        <v>0.64788732394366377</v>
      </c>
      <c r="O291">
        <v>0.64788732394366044</v>
      </c>
      <c r="P291">
        <v>0.64788732394366322</v>
      </c>
      <c r="Q291">
        <v>0.64788732394366089</v>
      </c>
      <c r="R291">
        <v>0.64788732394366277</v>
      </c>
      <c r="S291">
        <v>0.64788732394366122</v>
      </c>
      <c r="T291">
        <v>0.64788732394366255</v>
      </c>
      <c r="U291">
        <v>0.64788732394366144</v>
      </c>
      <c r="V291">
        <v>0.64788732394366233</v>
      </c>
      <c r="W291">
        <v>0.64788732394366166</v>
      </c>
      <c r="X291">
        <v>0.64788732394366222</v>
      </c>
      <c r="Y291">
        <v>0.64788732394366166</v>
      </c>
      <c r="Z291">
        <v>0.64788732394366222</v>
      </c>
      <c r="AA291">
        <v>0.64788732394366166</v>
      </c>
      <c r="AB291">
        <v>0.64788732394366222</v>
      </c>
      <c r="AC291">
        <v>0.64788732394366166</v>
      </c>
      <c r="AD291">
        <v>0.64788732394366222</v>
      </c>
      <c r="AE291">
        <v>0.64788732394366166</v>
      </c>
      <c r="AF291">
        <v>0.64788732394366222</v>
      </c>
      <c r="AG291">
        <v>0.64788732394366166</v>
      </c>
    </row>
    <row r="292" spans="8:33" x14ac:dyDescent="0.3">
      <c r="H292">
        <f t="shared" ref="H292" si="854">H289+1</f>
        <v>142</v>
      </c>
      <c r="I292">
        <f t="shared" ref="I292" si="855">J290</f>
        <v>0.3589425973225191</v>
      </c>
      <c r="J292">
        <f t="shared" ref="J292" si="856">$E$3*I292*(1-I292)</f>
        <v>0.92041123659953206</v>
      </c>
      <c r="L292">
        <v>2.85</v>
      </c>
      <c r="M292">
        <v>0.64912280701752578</v>
      </c>
      <c r="N292">
        <v>0.64912280701755931</v>
      </c>
      <c r="O292">
        <v>0.64912280701753078</v>
      </c>
      <c r="P292">
        <v>0.64912280701755498</v>
      </c>
      <c r="Q292">
        <v>0.64912280701753444</v>
      </c>
      <c r="R292">
        <v>0.64912280701755187</v>
      </c>
      <c r="S292">
        <v>0.64912280701753711</v>
      </c>
      <c r="T292">
        <v>0.64912280701754965</v>
      </c>
      <c r="U292">
        <v>0.64912280701753899</v>
      </c>
      <c r="V292">
        <v>0.64912280701754799</v>
      </c>
      <c r="W292">
        <v>0.64912280701754044</v>
      </c>
      <c r="X292">
        <v>0.64912280701754677</v>
      </c>
      <c r="Y292">
        <v>0.64912280701754144</v>
      </c>
      <c r="Z292">
        <v>0.64912280701754599</v>
      </c>
      <c r="AA292">
        <v>0.6491228070175421</v>
      </c>
      <c r="AB292">
        <v>0.64912280701754532</v>
      </c>
      <c r="AC292">
        <v>0.64912280701754266</v>
      </c>
      <c r="AD292">
        <v>0.64912280701754488</v>
      </c>
      <c r="AE292">
        <v>0.64912280701754299</v>
      </c>
      <c r="AF292">
        <v>0.64912280701754466</v>
      </c>
      <c r="AG292">
        <v>0.64912280701754321</v>
      </c>
    </row>
    <row r="293" spans="8:33" x14ac:dyDescent="0.3">
      <c r="H293">
        <f t="shared" ref="H293" si="857">H291+1</f>
        <v>143</v>
      </c>
      <c r="I293">
        <f t="shared" ref="I293" si="858">J292</f>
        <v>0.92041123659953206</v>
      </c>
      <c r="J293">
        <f t="shared" ref="J293" si="859">I293</f>
        <v>0.92041123659953206</v>
      </c>
      <c r="L293">
        <v>2.86</v>
      </c>
      <c r="M293">
        <v>0.65034965034950831</v>
      </c>
      <c r="N293">
        <v>0.65034965034977255</v>
      </c>
      <c r="O293">
        <v>0.65034965034954517</v>
      </c>
      <c r="P293">
        <v>0.65034965034974068</v>
      </c>
      <c r="Q293">
        <v>0.65034965034957271</v>
      </c>
      <c r="R293">
        <v>0.65034965034971703</v>
      </c>
      <c r="S293">
        <v>0.65034965034959291</v>
      </c>
      <c r="T293">
        <v>0.65034965034969971</v>
      </c>
      <c r="U293">
        <v>0.6503496503496079</v>
      </c>
      <c r="V293">
        <v>0.65034965034968684</v>
      </c>
      <c r="W293">
        <v>0.65034965034961889</v>
      </c>
      <c r="X293">
        <v>0.6503496503496774</v>
      </c>
      <c r="Y293">
        <v>0.65034965034962711</v>
      </c>
      <c r="Z293">
        <v>0.65034965034967029</v>
      </c>
      <c r="AA293">
        <v>0.65034965034963321</v>
      </c>
      <c r="AB293">
        <v>0.65034965034966508</v>
      </c>
      <c r="AC293">
        <v>0.65034965034963765</v>
      </c>
      <c r="AD293">
        <v>0.6503496503496613</v>
      </c>
      <c r="AE293">
        <v>0.65034965034964087</v>
      </c>
      <c r="AF293">
        <v>0.65034965034965841</v>
      </c>
      <c r="AG293">
        <v>0.65034965034964343</v>
      </c>
    </row>
    <row r="294" spans="8:33" x14ac:dyDescent="0.3">
      <c r="H294">
        <f t="shared" ref="H294" si="860">H291+1</f>
        <v>143</v>
      </c>
      <c r="I294">
        <f t="shared" ref="I294" si="861">J292</f>
        <v>0.92041123659953206</v>
      </c>
      <c r="J294">
        <f t="shared" ref="J294" si="862">$E$3*I294*(1-I294)</f>
        <v>0.2930175685634091</v>
      </c>
      <c r="L294">
        <v>2.87</v>
      </c>
      <c r="M294">
        <v>0.65156794424977482</v>
      </c>
      <c r="N294">
        <v>0.65156794425182485</v>
      </c>
      <c r="O294">
        <v>0.65156794425004139</v>
      </c>
      <c r="P294">
        <v>0.65156794425159292</v>
      </c>
      <c r="Q294">
        <v>0.65156794425024311</v>
      </c>
      <c r="R294">
        <v>0.6515679442514174</v>
      </c>
      <c r="S294">
        <v>0.65156794425039577</v>
      </c>
      <c r="T294">
        <v>0.65156794425128461</v>
      </c>
      <c r="U294">
        <v>0.65156794425051134</v>
      </c>
      <c r="V294">
        <v>0.65156794425118403</v>
      </c>
      <c r="W294">
        <v>0.65156794425059883</v>
      </c>
      <c r="X294">
        <v>0.65156794425110798</v>
      </c>
      <c r="Y294">
        <v>0.651567944250665</v>
      </c>
      <c r="Z294">
        <v>0.65156794425105036</v>
      </c>
      <c r="AA294">
        <v>0.65156794425071518</v>
      </c>
      <c r="AB294">
        <v>0.65156794425100673</v>
      </c>
      <c r="AC294">
        <v>0.65156794425075304</v>
      </c>
      <c r="AD294">
        <v>0.65156794425097375</v>
      </c>
      <c r="AE294">
        <v>0.65156794425078179</v>
      </c>
      <c r="AF294">
        <v>0.65156794425094877</v>
      </c>
      <c r="AG294">
        <v>0.65156794425080355</v>
      </c>
    </row>
    <row r="295" spans="8:33" x14ac:dyDescent="0.3">
      <c r="H295">
        <f t="shared" ref="H295" si="863">H293+1</f>
        <v>144</v>
      </c>
      <c r="I295">
        <f t="shared" ref="I295" si="864">J294</f>
        <v>0.2930175685634091</v>
      </c>
      <c r="J295">
        <f t="shared" ref="J295" si="865">I295</f>
        <v>0.2930175685634091</v>
      </c>
      <c r="L295">
        <v>2.88</v>
      </c>
      <c r="M295">
        <v>0.65277777776953716</v>
      </c>
      <c r="N295">
        <v>0.65277777778502943</v>
      </c>
      <c r="O295">
        <v>0.65277777777139634</v>
      </c>
      <c r="P295">
        <v>0.65277777778339341</v>
      </c>
      <c r="Q295">
        <v>0.65277777777283597</v>
      </c>
      <c r="R295">
        <v>0.65277777778212653</v>
      </c>
      <c r="S295">
        <v>0.65277777777395085</v>
      </c>
      <c r="T295">
        <v>0.65277777778114554</v>
      </c>
      <c r="U295">
        <v>0.65277777777481405</v>
      </c>
      <c r="V295">
        <v>0.65277777778038593</v>
      </c>
      <c r="W295">
        <v>0.65277777777548263</v>
      </c>
      <c r="X295">
        <v>0.65277777777979751</v>
      </c>
      <c r="Y295">
        <v>0.65277777777600043</v>
      </c>
      <c r="Z295">
        <v>0.65277777777934176</v>
      </c>
      <c r="AA295">
        <v>0.65277777777640145</v>
      </c>
      <c r="AB295">
        <v>0.65277777777898893</v>
      </c>
      <c r="AC295">
        <v>0.65277777777671186</v>
      </c>
      <c r="AD295">
        <v>0.65277777777871582</v>
      </c>
      <c r="AE295">
        <v>0.65277777777695234</v>
      </c>
      <c r="AF295">
        <v>0.6527777777785041</v>
      </c>
      <c r="AG295">
        <v>0.65277777777713863</v>
      </c>
    </row>
    <row r="296" spans="8:33" x14ac:dyDescent="0.3">
      <c r="H296">
        <f t="shared" ref="H296" si="866">H293+1</f>
        <v>144</v>
      </c>
      <c r="I296">
        <f t="shared" ref="I296" si="867">J294</f>
        <v>0.2930175685634091</v>
      </c>
      <c r="J296">
        <f t="shared" ref="J296" si="868">$E$3*I296*(1-I296)</f>
        <v>0.82863309230638782</v>
      </c>
      <c r="L296">
        <v>2.89</v>
      </c>
      <c r="M296">
        <v>0.65397923869391883</v>
      </c>
      <c r="N296">
        <v>0.65397923880808706</v>
      </c>
      <c r="O296">
        <v>0.65397923870647723</v>
      </c>
      <c r="P296">
        <v>0.65397923879691</v>
      </c>
      <c r="Q296">
        <v>0.65397923871642483</v>
      </c>
      <c r="R296">
        <v>0.65397923878805664</v>
      </c>
      <c r="S296">
        <v>0.6539792387243043</v>
      </c>
      <c r="T296">
        <v>0.65397923878104391</v>
      </c>
      <c r="U296">
        <v>0.65397923873054564</v>
      </c>
      <c r="V296">
        <v>0.65397923877548914</v>
      </c>
      <c r="W296">
        <v>0.65397923873548947</v>
      </c>
      <c r="X296">
        <v>0.6539792387710891</v>
      </c>
      <c r="Y296">
        <v>0.65397923873940544</v>
      </c>
      <c r="Z296">
        <v>0.65397923876760389</v>
      </c>
      <c r="AA296">
        <v>0.6539792387425073</v>
      </c>
      <c r="AB296">
        <v>0.65397923876484321</v>
      </c>
      <c r="AC296">
        <v>0.65397923874496433</v>
      </c>
      <c r="AD296">
        <v>0.65397923876265651</v>
      </c>
      <c r="AE296">
        <v>0.65397923874691044</v>
      </c>
      <c r="AF296">
        <v>0.65397923876092445</v>
      </c>
      <c r="AG296">
        <v>0.65397923874845199</v>
      </c>
    </row>
    <row r="297" spans="8:33" x14ac:dyDescent="0.3">
      <c r="H297">
        <f t="shared" ref="H297" si="869">H295+1</f>
        <v>145</v>
      </c>
      <c r="I297">
        <f t="shared" ref="I297" si="870">J296</f>
        <v>0.82863309230638782</v>
      </c>
      <c r="J297">
        <f t="shared" ref="J297" si="871">I297</f>
        <v>0.82863309230638782</v>
      </c>
      <c r="L297">
        <v>2.9</v>
      </c>
      <c r="M297">
        <v>0.65517241336126453</v>
      </c>
      <c r="N297">
        <v>0.65517241418175842</v>
      </c>
      <c r="O297">
        <v>0.65517241344331401</v>
      </c>
      <c r="P297">
        <v>0.65517241410791394</v>
      </c>
      <c r="Q297">
        <v>0.65517241350977395</v>
      </c>
      <c r="R297">
        <v>0.6551724140481</v>
      </c>
      <c r="S297">
        <v>0.65517241356360656</v>
      </c>
      <c r="T297">
        <v>0.65517241399965065</v>
      </c>
      <c r="U297">
        <v>0.6551724136072109</v>
      </c>
      <c r="V297">
        <v>0.65517241396040671</v>
      </c>
      <c r="W297">
        <v>0.65517241364253054</v>
      </c>
      <c r="X297">
        <v>0.65517241392861902</v>
      </c>
      <c r="Y297">
        <v>0.65517241367113943</v>
      </c>
      <c r="Z297">
        <v>0.65517241390287106</v>
      </c>
      <c r="AA297">
        <v>0.65517241369431256</v>
      </c>
      <c r="AB297">
        <v>0.65517241388201519</v>
      </c>
      <c r="AC297">
        <v>0.65517241371308288</v>
      </c>
      <c r="AD297">
        <v>0.65517241386512193</v>
      </c>
      <c r="AE297">
        <v>0.65517241372828683</v>
      </c>
      <c r="AF297">
        <v>0.65517241385143843</v>
      </c>
      <c r="AG297">
        <v>0.65517241374060198</v>
      </c>
    </row>
    <row r="298" spans="8:33" x14ac:dyDescent="0.3">
      <c r="H298">
        <f t="shared" ref="H298" si="872">H295+1</f>
        <v>145</v>
      </c>
      <c r="I298">
        <f t="shared" ref="I298" si="873">J296</f>
        <v>0.82863309230638782</v>
      </c>
      <c r="J298">
        <f t="shared" ref="J298" si="874">$E$3*I298*(1-I298)</f>
        <v>0.56800116256456468</v>
      </c>
      <c r="L298">
        <v>2.91</v>
      </c>
      <c r="M298">
        <v>0.65635738530537446</v>
      </c>
      <c r="N298">
        <v>0.65635739105595803</v>
      </c>
      <c r="O298">
        <v>0.65635738582292702</v>
      </c>
      <c r="P298">
        <v>0.65635739058498521</v>
      </c>
      <c r="Q298">
        <v>0.6563573862515123</v>
      </c>
      <c r="R298">
        <v>0.65635739019497263</v>
      </c>
      <c r="S298">
        <v>0.65635738660642373</v>
      </c>
      <c r="T298">
        <v>0.65635738987200321</v>
      </c>
      <c r="U298">
        <v>0.65635738690032586</v>
      </c>
      <c r="V298">
        <v>0.65635738960455225</v>
      </c>
      <c r="W298">
        <v>0.65635738714370628</v>
      </c>
      <c r="X298">
        <v>0.65635738938307608</v>
      </c>
      <c r="Y298">
        <v>0.65635738734524962</v>
      </c>
      <c r="Z298">
        <v>0.65635738919967168</v>
      </c>
      <c r="AA298">
        <v>0.65635738751214756</v>
      </c>
      <c r="AB298">
        <v>0.6563573890477945</v>
      </c>
      <c r="AC298">
        <v>0.65635738765035589</v>
      </c>
      <c r="AD298">
        <v>0.656357388922025</v>
      </c>
      <c r="AE298">
        <v>0.65635738776480612</v>
      </c>
      <c r="AF298">
        <v>0.65635738881787531</v>
      </c>
      <c r="AG298">
        <v>0.65635738785958231</v>
      </c>
    </row>
    <row r="299" spans="8:33" x14ac:dyDescent="0.3">
      <c r="H299">
        <f t="shared" ref="H299" si="875">H297+1</f>
        <v>146</v>
      </c>
      <c r="I299">
        <f t="shared" ref="I299" si="876">J298</f>
        <v>0.56800116256456468</v>
      </c>
      <c r="J299">
        <f t="shared" ref="J299" si="877">I299</f>
        <v>0.56800116256456468</v>
      </c>
      <c r="L299">
        <v>2.92</v>
      </c>
      <c r="M299">
        <v>0.65753422610826495</v>
      </c>
      <c r="N299">
        <v>0.65753426540505255</v>
      </c>
      <c r="O299">
        <v>0.65753422925200811</v>
      </c>
      <c r="P299">
        <v>0.65753426251280922</v>
      </c>
      <c r="Q299">
        <v>0.6575342319128723</v>
      </c>
      <c r="R299">
        <v>0.6575342600648143</v>
      </c>
      <c r="S299">
        <v>0.65753423416502788</v>
      </c>
      <c r="T299">
        <v>0.65753425799283149</v>
      </c>
      <c r="U299">
        <v>0.65753423607125216</v>
      </c>
      <c r="V299">
        <v>0.65753425623910522</v>
      </c>
      <c r="W299">
        <v>0.65753423768468044</v>
      </c>
      <c r="X299">
        <v>0.65753425475475125</v>
      </c>
      <c r="Y299">
        <v>0.65753423905028618</v>
      </c>
      <c r="Z299">
        <v>0.65753425349839401</v>
      </c>
      <c r="AA299">
        <v>0.65753424020613493</v>
      </c>
      <c r="AB299">
        <v>0.65753425243501329</v>
      </c>
      <c r="AC299">
        <v>0.65753424118444515</v>
      </c>
      <c r="AD299">
        <v>0.65753425153496792</v>
      </c>
      <c r="AE299">
        <v>0.657534242012487</v>
      </c>
      <c r="AF299">
        <v>0.6575342507731694</v>
      </c>
      <c r="AG299">
        <v>0.6575342427133416</v>
      </c>
    </row>
    <row r="300" spans="8:33" x14ac:dyDescent="0.3">
      <c r="H300">
        <f t="shared" ref="H300" si="878">H297+1</f>
        <v>146</v>
      </c>
      <c r="I300">
        <f t="shared" ref="I300" si="879">J298</f>
        <v>0.56800116256456468</v>
      </c>
      <c r="J300">
        <f t="shared" ref="J300" si="880">$E$3*I300*(1-I300)</f>
        <v>0.98150336755947054</v>
      </c>
      <c r="L300">
        <v>2.93</v>
      </c>
      <c r="M300">
        <v>0.65870293609109531</v>
      </c>
      <c r="N300">
        <v>0.65870319776287256</v>
      </c>
      <c r="O300">
        <v>0.65870295440812709</v>
      </c>
      <c r="P300">
        <v>0.65870318072804657</v>
      </c>
      <c r="Q300">
        <v>0.65870297025052693</v>
      </c>
      <c r="R300">
        <v>0.65870316599462497</v>
      </c>
      <c r="S300">
        <v>0.65870298395261773</v>
      </c>
      <c r="T300">
        <v>0.65870315325168804</v>
      </c>
      <c r="U300">
        <v>0.65870299580355562</v>
      </c>
      <c r="V300">
        <v>0.65870314223032145</v>
      </c>
      <c r="W300">
        <v>0.65870300605343157</v>
      </c>
      <c r="X300">
        <v>0.65870313269794112</v>
      </c>
      <c r="Y300">
        <v>0.65870301491854899</v>
      </c>
      <c r="Z300">
        <v>0.65870312445338508</v>
      </c>
      <c r="AA300">
        <v>0.65870302258598878</v>
      </c>
      <c r="AB300">
        <v>0.6587031173226684</v>
      </c>
      <c r="AC300">
        <v>0.6587030292175573</v>
      </c>
      <c r="AD300">
        <v>0.65870311115531155</v>
      </c>
      <c r="AE300">
        <v>0.65870303495320082</v>
      </c>
      <c r="AF300">
        <v>0.65870310582116443</v>
      </c>
      <c r="AG300">
        <v>0.65870303991395873</v>
      </c>
    </row>
    <row r="301" spans="8:33" x14ac:dyDescent="0.3">
      <c r="H301">
        <f t="shared" ref="H301" si="881">H299+1</f>
        <v>147</v>
      </c>
      <c r="I301">
        <f t="shared" ref="I301" si="882">J300</f>
        <v>0.98150336755947054</v>
      </c>
      <c r="J301">
        <f t="shared" ref="J301" si="883">I301</f>
        <v>0.98150336755947054</v>
      </c>
      <c r="L301">
        <v>2.94</v>
      </c>
      <c r="M301">
        <v>0.6598630714044923</v>
      </c>
      <c r="N301">
        <v>0.65986476729929922</v>
      </c>
      <c r="O301">
        <v>0.65986317315844223</v>
      </c>
      <c r="P301">
        <v>0.65986467165107887</v>
      </c>
      <c r="Q301">
        <v>0.65986326306820464</v>
      </c>
      <c r="R301">
        <v>0.65986458713628682</v>
      </c>
      <c r="S301">
        <v>0.65986334251244894</v>
      </c>
      <c r="T301">
        <v>0.65986451245899747</v>
      </c>
      <c r="U301">
        <v>0.65986341270936633</v>
      </c>
      <c r="V301">
        <v>0.65986444647412956</v>
      </c>
      <c r="W301">
        <v>0.65986347473534934</v>
      </c>
      <c r="X301">
        <v>0.65986438816988857</v>
      </c>
      <c r="Y301">
        <v>0.65986352954149752</v>
      </c>
      <c r="Z301">
        <v>0.65986433665225208</v>
      </c>
      <c r="AA301">
        <v>0.65986357796820205</v>
      </c>
      <c r="AB301">
        <v>0.65986429113126144</v>
      </c>
      <c r="AC301">
        <v>0.65986362075803195</v>
      </c>
      <c r="AD301">
        <v>0.65986425090890843</v>
      </c>
      <c r="AE301">
        <v>0.6598636585671207</v>
      </c>
      <c r="AF301">
        <v>0.65986421536843309</v>
      </c>
      <c r="AG301">
        <v>0.65986369197522765</v>
      </c>
    </row>
    <row r="302" spans="8:33" x14ac:dyDescent="0.3">
      <c r="H302">
        <f t="shared" ref="H302" si="884">H299+1</f>
        <v>147</v>
      </c>
      <c r="I302">
        <f t="shared" ref="I302" si="885">J300</f>
        <v>0.98150336755947054</v>
      </c>
      <c r="J302">
        <f t="shared" ref="J302" si="886">$E$3*I302*(1-I302)</f>
        <v>7.2618028115557648E-2</v>
      </c>
      <c r="L302">
        <v>2.95</v>
      </c>
      <c r="M302">
        <v>0.66101147553150363</v>
      </c>
      <c r="N302">
        <v>0.66102214900414569</v>
      </c>
      <c r="O302">
        <v>0.6610120092137558</v>
      </c>
      <c r="P302">
        <v>0.66102164202240077</v>
      </c>
      <c r="Q302">
        <v>0.66101249086120895</v>
      </c>
      <c r="R302">
        <v>0.66102118447067393</v>
      </c>
      <c r="S302">
        <v>0.66101292554740054</v>
      </c>
      <c r="T302">
        <v>0.66102077152966843</v>
      </c>
      <c r="U302">
        <v>0.66101331785117146</v>
      </c>
      <c r="V302">
        <v>0.66102039884994501</v>
      </c>
      <c r="W302">
        <v>0.66101367190490368</v>
      </c>
      <c r="X302">
        <v>0.66102006250611511</v>
      </c>
      <c r="Y302">
        <v>0.66101399143805406</v>
      </c>
      <c r="Z302">
        <v>0.66101975895549947</v>
      </c>
      <c r="AA302">
        <v>0.6610142798164429</v>
      </c>
      <c r="AB302">
        <v>0.66101948500081709</v>
      </c>
      <c r="AC302">
        <v>0.66101454007771143</v>
      </c>
      <c r="AD302">
        <v>0.66101923775651106</v>
      </c>
      <c r="AE302">
        <v>0.66101477496332084</v>
      </c>
      <c r="AF302">
        <v>0.66101901461835788</v>
      </c>
      <c r="AG302">
        <v>0.66101498694743255</v>
      </c>
    </row>
    <row r="303" spans="8:33" x14ac:dyDescent="0.3">
      <c r="H303">
        <f t="shared" ref="H303" si="887">H301+1</f>
        <v>148</v>
      </c>
      <c r="I303">
        <f t="shared" ref="I303" si="888">J302</f>
        <v>7.2618028115557648E-2</v>
      </c>
      <c r="J303">
        <f t="shared" ref="J303" si="889">I303</f>
        <v>7.2618028115557648E-2</v>
      </c>
      <c r="L303">
        <v>2.96</v>
      </c>
      <c r="M303">
        <v>0.66212902279484009</v>
      </c>
      <c r="N303">
        <v>0.66219397270406699</v>
      </c>
      <c r="O303">
        <v>0.66213162104667822</v>
      </c>
      <c r="P303">
        <v>0.66219147887205798</v>
      </c>
      <c r="Q303">
        <v>0.66213401557663254</v>
      </c>
      <c r="R303">
        <v>0.6621891805392689</v>
      </c>
      <c r="S303">
        <v>0.66213622235936131</v>
      </c>
      <c r="T303">
        <v>0.66218706238114577</v>
      </c>
      <c r="U303">
        <v>0.66213825611667598</v>
      </c>
      <c r="V303">
        <v>0.6621851102741918</v>
      </c>
      <c r="W303">
        <v>0.66214013041583075</v>
      </c>
      <c r="X303">
        <v>0.66218331120186269</v>
      </c>
      <c r="Y303">
        <v>0.66214185776009526</v>
      </c>
      <c r="Z303">
        <v>0.66218165316783095</v>
      </c>
      <c r="AA303">
        <v>0.66214344967221817</v>
      </c>
      <c r="AB303">
        <v>0.66218012511604285</v>
      </c>
      <c r="AC303">
        <v>0.66214491677134035</v>
      </c>
      <c r="AD303">
        <v>0.66217871685703666</v>
      </c>
      <c r="AE303">
        <v>0.66214626884387118</v>
      </c>
      <c r="AF303">
        <v>0.66217741900003269</v>
      </c>
      <c r="AG303">
        <v>0.66214751490880397</v>
      </c>
    </row>
    <row r="304" spans="8:33" x14ac:dyDescent="0.3">
      <c r="H304">
        <f t="shared" ref="H304" si="890">H301+1</f>
        <v>148</v>
      </c>
      <c r="I304">
        <f t="shared" ref="I304" si="891">J302</f>
        <v>7.2618028115557648E-2</v>
      </c>
      <c r="J304">
        <f t="shared" ref="J304" si="892">$E$3*I304*(1-I304)</f>
        <v>0.26937860043266293</v>
      </c>
      <c r="L304">
        <v>2.97</v>
      </c>
      <c r="M304">
        <v>0.66310740305932192</v>
      </c>
      <c r="N304">
        <v>0.6634860459497145</v>
      </c>
      <c r="O304">
        <v>0.66311876895579169</v>
      </c>
      <c r="P304">
        <v>0.66347503362661087</v>
      </c>
      <c r="Q304">
        <v>0.66312946274091211</v>
      </c>
      <c r="R304">
        <v>0.66346467180600832</v>
      </c>
      <c r="S304">
        <v>0.66313952418192135</v>
      </c>
      <c r="T304">
        <v>0.663454922079598</v>
      </c>
      <c r="U304">
        <v>0.6631489906904191</v>
      </c>
      <c r="V304">
        <v>0.6634457483049917</v>
      </c>
      <c r="W304">
        <v>0.6631578974622333</v>
      </c>
      <c r="X304">
        <v>0.66343711647223902</v>
      </c>
      <c r="Y304">
        <v>0.6631662776089422</v>
      </c>
      <c r="Z304">
        <v>0.6634289945781876</v>
      </c>
      <c r="AA304">
        <v>0.66317416228155335</v>
      </c>
      <c r="AB304">
        <v>0.66342135250822853</v>
      </c>
      <c r="AC304">
        <v>0.66318158078681244</v>
      </c>
      <c r="AD304">
        <v>0.66341416192499358</v>
      </c>
      <c r="AE304">
        <v>0.66318856069658538</v>
      </c>
      <c r="AF304">
        <v>0.66340739616359734</v>
      </c>
      <c r="AG304">
        <v>0.66319512795072844</v>
      </c>
    </row>
    <row r="305" spans="8:33" x14ac:dyDescent="0.3">
      <c r="H305">
        <f t="shared" ref="H305" si="893">H303+1</f>
        <v>149</v>
      </c>
      <c r="I305">
        <f t="shared" ref="I305" si="894">J304</f>
        <v>0.26937860043266293</v>
      </c>
      <c r="J305">
        <f t="shared" ref="J305" si="895">I305</f>
        <v>0.26937860043266293</v>
      </c>
      <c r="L305">
        <v>2.98</v>
      </c>
      <c r="M305">
        <v>0.66338348592240581</v>
      </c>
      <c r="N305">
        <v>0.66545139285297217</v>
      </c>
      <c r="O305">
        <v>0.66342499307697411</v>
      </c>
      <c r="P305">
        <v>0.66541096948061706</v>
      </c>
      <c r="Q305">
        <v>0.66346484930293748</v>
      </c>
      <c r="R305">
        <v>0.66537214426625646</v>
      </c>
      <c r="S305">
        <v>0.66350312062432582</v>
      </c>
      <c r="T305">
        <v>0.66533485404739934</v>
      </c>
      <c r="U305">
        <v>0.663539870390633</v>
      </c>
      <c r="V305">
        <v>0.66529903816199265</v>
      </c>
      <c r="W305">
        <v>0.66357515938850586</v>
      </c>
      <c r="X305">
        <v>0.66526463834845428</v>
      </c>
      <c r="Y305">
        <v>0.66360904594843273</v>
      </c>
      <c r="Z305">
        <v>0.66523159864985404</v>
      </c>
      <c r="AA305">
        <v>0.66364158604668844</v>
      </c>
      <c r="AB305">
        <v>0.66519986532205033</v>
      </c>
      <c r="AC305">
        <v>0.66367283340277772</v>
      </c>
      <c r="AD305">
        <v>0.66516938674560167</v>
      </c>
      <c r="AE305">
        <v>0.66370283957260401</v>
      </c>
      <c r="AF305">
        <v>0.66514011334128154</v>
      </c>
      <c r="AG305">
        <v>0.6637316540375735</v>
      </c>
    </row>
    <row r="306" spans="8:33" x14ac:dyDescent="0.3">
      <c r="H306">
        <f t="shared" ref="H306" si="896">H303+1</f>
        <v>149</v>
      </c>
      <c r="I306">
        <f t="shared" ref="I306" si="897">J304</f>
        <v>0.26937860043266293</v>
      </c>
      <c r="J306">
        <f t="shared" ref="J306" si="898">$E$3*I306*(1-I306)</f>
        <v>0.78725508024641067</v>
      </c>
      <c r="L306">
        <v>2.99</v>
      </c>
      <c r="M306">
        <v>0.66054588358341348</v>
      </c>
      <c r="N306">
        <v>0.67043280760061896</v>
      </c>
      <c r="O306">
        <v>0.66064844769917752</v>
      </c>
      <c r="P306">
        <v>0.67033430799301552</v>
      </c>
      <c r="Q306">
        <v>0.66074880832641614</v>
      </c>
      <c r="R306">
        <v>0.67023786365869509</v>
      </c>
      <c r="S306">
        <v>0.66084701863300155</v>
      </c>
      <c r="T306">
        <v>0.67014342742465582</v>
      </c>
      <c r="U306">
        <v>0.66094313017153072</v>
      </c>
      <c r="V306">
        <v>0.67005095346326338</v>
      </c>
      <c r="W306">
        <v>0.66103719294644281</v>
      </c>
      <c r="X306">
        <v>0.66996039723891121</v>
      </c>
      <c r="Y306">
        <v>0.6611292554774707</v>
      </c>
      <c r="Z306">
        <v>0.66987171545753521</v>
      </c>
      <c r="AA306">
        <v>0.66121936485966748</v>
      </c>
      <c r="AB306">
        <v>0.66978486601879383</v>
      </c>
      <c r="AC306">
        <v>0.66130756682023084</v>
      </c>
      <c r="AD306">
        <v>0.66969980797074502</v>
      </c>
      <c r="AE306">
        <v>0.66139390577232993</v>
      </c>
      <c r="AF306">
        <v>0.66961650146686136</v>
      </c>
      <c r="AG306">
        <v>0.66147842486612529</v>
      </c>
    </row>
    <row r="307" spans="8:33" x14ac:dyDescent="0.3">
      <c r="H307">
        <f t="shared" ref="H307" si="899">H305+1</f>
        <v>150</v>
      </c>
      <c r="I307">
        <f t="shared" ref="I307" si="900">J306</f>
        <v>0.78725508024641067</v>
      </c>
      <c r="J307">
        <f t="shared" ref="J307" si="901">I307</f>
        <v>0.78725508024641067</v>
      </c>
      <c r="L307">
        <v>3</v>
      </c>
      <c r="M307">
        <v>0.64931055597800968</v>
      </c>
      <c r="N307">
        <v>0.68311907362061286</v>
      </c>
      <c r="O307">
        <v>0.64940221462898573</v>
      </c>
      <c r="P307">
        <v>0.68303693479186345</v>
      </c>
      <c r="Q307">
        <v>0.64949244150599739</v>
      </c>
      <c r="R307">
        <v>0.68295602979772785</v>
      </c>
      <c r="S307">
        <v>0.64958127348195882</v>
      </c>
      <c r="T307">
        <v>0.68287632787054631</v>
      </c>
      <c r="U307">
        <v>0.64966874611375336</v>
      </c>
      <c r="V307">
        <v>0.68279779931021056</v>
      </c>
      <c r="W307">
        <v>0.64975489370203188</v>
      </c>
      <c r="X307">
        <v>0.68272041543687945</v>
      </c>
      <c r="Y307">
        <v>0.6498397493477226</v>
      </c>
      <c r="Z307">
        <v>0.68264414854623501</v>
      </c>
      <c r="AA307">
        <v>0.64992334500546245</v>
      </c>
      <c r="AB307">
        <v>0.68256897186711918</v>
      </c>
      <c r="AC307">
        <v>0.65000571153414921</v>
      </c>
      <c r="AD307">
        <v>0.68249485952140088</v>
      </c>
      <c r="AE307">
        <v>0.65008687874479243</v>
      </c>
      <c r="AF307">
        <v>0.68242178648593788</v>
      </c>
      <c r="AG307">
        <v>0.65016687544583673</v>
      </c>
    </row>
    <row r="308" spans="8:33" x14ac:dyDescent="0.3">
      <c r="H308">
        <f t="shared" ref="H308" si="902">H305+1</f>
        <v>150</v>
      </c>
      <c r="I308">
        <f t="shared" ref="I308" si="903">J306</f>
        <v>0.78725508024641067</v>
      </c>
      <c r="J308">
        <f t="shared" ref="J308" si="904">$E$3*I308*(1-I308)</f>
        <v>0.66993807549051265</v>
      </c>
      <c r="L308">
        <v>3.01</v>
      </c>
      <c r="M308">
        <v>0.6324987399230646</v>
      </c>
      <c r="N308">
        <v>0.69965669259558827</v>
      </c>
      <c r="O308">
        <v>0.63251298735639017</v>
      </c>
      <c r="P308">
        <v>0.69964532762747433</v>
      </c>
      <c r="Q308">
        <v>0.63252664690112048</v>
      </c>
      <c r="R308">
        <v>0.69963443046204865</v>
      </c>
      <c r="S308">
        <v>0.6325397434640212</v>
      </c>
      <c r="T308">
        <v>0.69962398137149917</v>
      </c>
      <c r="U308">
        <v>0.63255230084478786</v>
      </c>
      <c r="V308">
        <v>0.69961396149766597</v>
      </c>
      <c r="W308">
        <v>0.63256434178937704</v>
      </c>
      <c r="X308">
        <v>0.6996043528107071</v>
      </c>
      <c r="Y308">
        <v>0.6325758880404464</v>
      </c>
      <c r="Z308">
        <v>0.69959513806996387</v>
      </c>
      <c r="AA308">
        <v>0.63258696038508444</v>
      </c>
      <c r="AB308">
        <v>0.69958630078689055</v>
      </c>
      <c r="AC308">
        <v>0.63259757869999655</v>
      </c>
      <c r="AD308">
        <v>0.69957782518992362</v>
      </c>
      <c r="AE308">
        <v>0.63260776199430546</v>
      </c>
      <c r="AF308">
        <v>0.69956969619117348</v>
      </c>
      <c r="AG308">
        <v>0.63261752845010977</v>
      </c>
    </row>
    <row r="309" spans="8:33" x14ac:dyDescent="0.3">
      <c r="H309">
        <f t="shared" ref="H309" si="905">H307+1</f>
        <v>151</v>
      </c>
      <c r="I309">
        <f t="shared" ref="I309" si="906">J308</f>
        <v>0.66993807549051265</v>
      </c>
      <c r="J309">
        <f t="shared" ref="J309" si="907">I309</f>
        <v>0.66993807549051265</v>
      </c>
      <c r="L309">
        <v>3.02</v>
      </c>
      <c r="M309">
        <v>0.61861068088507465</v>
      </c>
      <c r="N309">
        <v>0.71251314926753662</v>
      </c>
      <c r="O309">
        <v>0.61861124739294893</v>
      </c>
      <c r="P309">
        <v>0.71251274341550375</v>
      </c>
      <c r="Q309">
        <v>0.61861176833576914</v>
      </c>
      <c r="R309">
        <v>0.71251237020503078</v>
      </c>
      <c r="S309">
        <v>0.61861224737971665</v>
      </c>
      <c r="T309">
        <v>0.71251202701002936</v>
      </c>
      <c r="U309">
        <v>0.61861268789578738</v>
      </c>
      <c r="V309">
        <v>0.71251171141581238</v>
      </c>
      <c r="W309">
        <v>0.61861309298358991</v>
      </c>
      <c r="X309">
        <v>0.71251142120205613</v>
      </c>
      <c r="Y309">
        <v>0.61861346549322049</v>
      </c>
      <c r="Z309">
        <v>0.71251115432713952</v>
      </c>
      <c r="AA309">
        <v>0.61861380804537103</v>
      </c>
      <c r="AB309">
        <v>0.71251090891374713</v>
      </c>
      <c r="AC309">
        <v>0.61861412304981223</v>
      </c>
      <c r="AD309">
        <v>0.71251068323563449</v>
      </c>
      <c r="AE309">
        <v>0.61861441272238604</v>
      </c>
      <c r="AF309">
        <v>0.71251047570546089</v>
      </c>
      <c r="AG309">
        <v>0.61861467910062495</v>
      </c>
    </row>
    <row r="310" spans="8:33" x14ac:dyDescent="0.3">
      <c r="H310">
        <f t="shared" ref="H310" si="908">H307+1</f>
        <v>151</v>
      </c>
      <c r="I310">
        <f t="shared" ref="I310" si="909">J308</f>
        <v>0.66993807549051265</v>
      </c>
      <c r="J310">
        <f t="shared" ref="J310" si="910">$E$3*I310*(1-I310)</f>
        <v>0.88448420199432332</v>
      </c>
      <c r="L310">
        <v>3.03</v>
      </c>
      <c r="M310">
        <v>0.60763908713965264</v>
      </c>
      <c r="N310">
        <v>0.72239389556681899</v>
      </c>
      <c r="O310">
        <v>0.60763909430028284</v>
      </c>
      <c r="P310">
        <v>0.72239389089599082</v>
      </c>
      <c r="Q310">
        <v>0.60763910059519066</v>
      </c>
      <c r="R310">
        <v>0.72239388678986705</v>
      </c>
      <c r="S310">
        <v>0.60763910612904215</v>
      </c>
      <c r="T310">
        <v>0.72239388318017461</v>
      </c>
      <c r="U310">
        <v>0.60763911099384982</v>
      </c>
      <c r="V310">
        <v>0.72239388000689453</v>
      </c>
      <c r="W310">
        <v>0.6076391152705013</v>
      </c>
      <c r="X310">
        <v>0.72239387721726467</v>
      </c>
      <c r="Y310">
        <v>0.6076391190301047</v>
      </c>
      <c r="Z310">
        <v>0.72239387476490147</v>
      </c>
      <c r="AA310">
        <v>0.60763912233517148</v>
      </c>
      <c r="AB310">
        <v>0.72239387260902932</v>
      </c>
      <c r="AC310">
        <v>0.60763912524065522</v>
      </c>
      <c r="AD310">
        <v>0.72239387071380234</v>
      </c>
      <c r="AE310">
        <v>0.60763912779486573</v>
      </c>
      <c r="AF310">
        <v>0.72239386904770853</v>
      </c>
      <c r="AG310">
        <v>0.6076391300402717</v>
      </c>
    </row>
    <row r="311" spans="8:33" x14ac:dyDescent="0.3">
      <c r="H311">
        <f t="shared" ref="H311" si="911">H309+1</f>
        <v>152</v>
      </c>
      <c r="I311">
        <f t="shared" ref="I311" si="912">J310</f>
        <v>0.88448420199432332</v>
      </c>
      <c r="J311">
        <f t="shared" ref="J311" si="913">I311</f>
        <v>0.88448420199432332</v>
      </c>
      <c r="L311">
        <v>3.04</v>
      </c>
      <c r="M311">
        <v>0.5983560824736962</v>
      </c>
      <c r="N311">
        <v>0.73059128636289949</v>
      </c>
      <c r="O311">
        <v>0.59835608230664994</v>
      </c>
      <c r="P311">
        <v>0.73059128646279403</v>
      </c>
      <c r="Q311">
        <v>0.5983560821665983</v>
      </c>
      <c r="R311">
        <v>0.73059128654654559</v>
      </c>
      <c r="S311">
        <v>0.59835608204917901</v>
      </c>
      <c r="T311">
        <v>0.73059128661676298</v>
      </c>
      <c r="U311">
        <v>0.59835608195073464</v>
      </c>
      <c r="V311">
        <v>0.73059128667563322</v>
      </c>
      <c r="W311">
        <v>0.59835608186819889</v>
      </c>
      <c r="X311">
        <v>0.73059128672498996</v>
      </c>
      <c r="Y311">
        <v>0.59835608179900091</v>
      </c>
      <c r="Z311">
        <v>0.73059128676637075</v>
      </c>
      <c r="AA311">
        <v>0.59835608174098531</v>
      </c>
      <c r="AB311">
        <v>0.73059128680106422</v>
      </c>
      <c r="AC311">
        <v>0.59835608169234522</v>
      </c>
      <c r="AD311">
        <v>0.73059128683015129</v>
      </c>
      <c r="AE311">
        <v>0.59835608165156529</v>
      </c>
      <c r="AF311">
        <v>0.73059128685453789</v>
      </c>
      <c r="AG311">
        <v>0.59835608161737541</v>
      </c>
    </row>
    <row r="312" spans="8:33" x14ac:dyDescent="0.3">
      <c r="H312">
        <f t="shared" ref="H312" si="914">H309+1</f>
        <v>152</v>
      </c>
      <c r="I312">
        <f t="shared" ref="I312" si="915">J310</f>
        <v>0.88448420199432332</v>
      </c>
      <c r="J312">
        <f t="shared" ref="J312" si="916">$E$3*I312*(1-I312)</f>
        <v>0.40868759366715357</v>
      </c>
      <c r="L312">
        <v>3.05</v>
      </c>
      <c r="M312">
        <v>0.59016393447358328</v>
      </c>
      <c r="N312">
        <v>0.73770491800674232</v>
      </c>
      <c r="O312">
        <v>0.59016393446399407</v>
      </c>
      <c r="P312">
        <v>0.73770491801201643</v>
      </c>
      <c r="Q312">
        <v>0.59016393445634663</v>
      </c>
      <c r="R312">
        <v>0.7377049180162224</v>
      </c>
      <c r="S312">
        <v>0.59016393445024795</v>
      </c>
      <c r="T312">
        <v>0.73770491801957672</v>
      </c>
      <c r="U312">
        <v>0.59016393444538418</v>
      </c>
      <c r="V312">
        <v>0.73770491802225169</v>
      </c>
      <c r="W312">
        <v>0.5901639344415055</v>
      </c>
      <c r="X312">
        <v>0.73770491802438509</v>
      </c>
      <c r="Y312">
        <v>0.59016393443841209</v>
      </c>
      <c r="Z312">
        <v>0.7377049180260864</v>
      </c>
      <c r="AA312">
        <v>0.59016393443594517</v>
      </c>
      <c r="AB312">
        <v>0.7377049180274432</v>
      </c>
      <c r="AC312">
        <v>0.59016393443397774</v>
      </c>
      <c r="AD312">
        <v>0.73770491802852534</v>
      </c>
      <c r="AE312">
        <v>0.59016393443240867</v>
      </c>
      <c r="AF312">
        <v>0.73770491802938831</v>
      </c>
      <c r="AG312">
        <v>0.59016393443115733</v>
      </c>
    </row>
    <row r="313" spans="8:33" x14ac:dyDescent="0.3">
      <c r="H313">
        <f t="shared" ref="H313" si="917">H311+1</f>
        <v>153</v>
      </c>
      <c r="I313">
        <f t="shared" ref="I313" si="918">J312</f>
        <v>0.40868759366715357</v>
      </c>
      <c r="J313">
        <f t="shared" ref="J313" si="919">I313</f>
        <v>0.40868759366715357</v>
      </c>
      <c r="L313">
        <v>3.06</v>
      </c>
      <c r="M313">
        <v>0.58275187791428484</v>
      </c>
      <c r="N313">
        <v>0.74404550770707745</v>
      </c>
      <c r="O313">
        <v>0.58275187791406413</v>
      </c>
      <c r="P313">
        <v>0.74404550770718925</v>
      </c>
      <c r="Q313">
        <v>0.58275187791389704</v>
      </c>
      <c r="R313">
        <v>0.74404550770727385</v>
      </c>
      <c r="S313">
        <v>0.5827518779137707</v>
      </c>
      <c r="T313">
        <v>0.74404550770733791</v>
      </c>
      <c r="U313">
        <v>0.58275187791367511</v>
      </c>
      <c r="V313">
        <v>0.7440455077073862</v>
      </c>
      <c r="W313">
        <v>0.58275187791360294</v>
      </c>
      <c r="X313">
        <v>0.74404550770742284</v>
      </c>
      <c r="Y313">
        <v>0.58275187791354821</v>
      </c>
      <c r="Z313">
        <v>0.74404550770745048</v>
      </c>
      <c r="AA313">
        <v>0.58275187791350691</v>
      </c>
      <c r="AB313">
        <v>0.74404550770747147</v>
      </c>
      <c r="AC313">
        <v>0.5827518779134756</v>
      </c>
      <c r="AD313">
        <v>0.74404550770748734</v>
      </c>
      <c r="AE313">
        <v>0.58275187791345184</v>
      </c>
      <c r="AF313">
        <v>0.74404550770749933</v>
      </c>
      <c r="AG313">
        <v>0.58275187791343397</v>
      </c>
    </row>
    <row r="314" spans="8:33" x14ac:dyDescent="0.3">
      <c r="H314">
        <f t="shared" ref="H314" si="920">H311+1</f>
        <v>153</v>
      </c>
      <c r="I314">
        <f t="shared" ref="I314" si="921">J312</f>
        <v>0.40868759366715357</v>
      </c>
      <c r="J314">
        <f t="shared" ref="J314" si="922">$E$3*I314*(1-I314)</f>
        <v>0.96664817779882062</v>
      </c>
      <c r="L314">
        <v>3.07</v>
      </c>
      <c r="M314">
        <v>0.57593481338709585</v>
      </c>
      <c r="N314">
        <v>0.74979808563571138</v>
      </c>
      <c r="O314">
        <v>0.57593481338709274</v>
      </c>
      <c r="P314">
        <v>0.74979808563571293</v>
      </c>
      <c r="Q314">
        <v>0.57593481338709041</v>
      </c>
      <c r="R314">
        <v>0.74979808563571404</v>
      </c>
      <c r="S314">
        <v>0.57593481338708863</v>
      </c>
      <c r="T314">
        <v>0.74979808563571482</v>
      </c>
      <c r="U314">
        <v>0.57593481338708752</v>
      </c>
      <c r="V314">
        <v>0.74979808563571537</v>
      </c>
      <c r="W314">
        <v>0.57593481338708663</v>
      </c>
      <c r="X314">
        <v>0.74979808563571582</v>
      </c>
      <c r="Y314">
        <v>0.57593481338708585</v>
      </c>
      <c r="Z314">
        <v>0.74979808563571615</v>
      </c>
      <c r="AA314">
        <v>0.57593481338708541</v>
      </c>
      <c r="AB314">
        <v>0.74979808563571637</v>
      </c>
      <c r="AC314">
        <v>0.57593481338708508</v>
      </c>
      <c r="AD314">
        <v>0.74979808563571648</v>
      </c>
      <c r="AE314">
        <v>0.57593481338708497</v>
      </c>
      <c r="AF314">
        <v>0.74979808563571659</v>
      </c>
      <c r="AG314">
        <v>0.57593481338708474</v>
      </c>
    </row>
    <row r="315" spans="8:33" x14ac:dyDescent="0.3">
      <c r="H315">
        <f t="shared" ref="H315" si="923">H313+1</f>
        <v>154</v>
      </c>
      <c r="I315">
        <f t="shared" ref="I315" si="924">J314</f>
        <v>0.96664817779882062</v>
      </c>
      <c r="J315">
        <f t="shared" ref="J315" si="925">I315</f>
        <v>0.96664817779882062</v>
      </c>
      <c r="L315">
        <v>3.08</v>
      </c>
      <c r="M315">
        <v>0.56959183859035289</v>
      </c>
      <c r="N315">
        <v>0.75508348608497189</v>
      </c>
      <c r="O315">
        <v>0.56959183859035289</v>
      </c>
      <c r="P315">
        <v>0.75508348608497189</v>
      </c>
      <c r="Q315">
        <v>0.56959183859035289</v>
      </c>
      <c r="R315">
        <v>0.75508348608497189</v>
      </c>
      <c r="S315">
        <v>0.56959183859035289</v>
      </c>
      <c r="T315">
        <v>0.75508348608497189</v>
      </c>
      <c r="U315">
        <v>0.56959183859035289</v>
      </c>
      <c r="V315">
        <v>0.75508348608497189</v>
      </c>
      <c r="W315">
        <v>0.56959183859035289</v>
      </c>
      <c r="X315">
        <v>0.75508348608497189</v>
      </c>
      <c r="Y315">
        <v>0.56959183859035289</v>
      </c>
      <c r="Z315">
        <v>0.75508348608497189</v>
      </c>
      <c r="AA315">
        <v>0.56959183859035289</v>
      </c>
      <c r="AB315">
        <v>0.75508348608497189</v>
      </c>
      <c r="AC315">
        <v>0.56959183859035289</v>
      </c>
      <c r="AD315">
        <v>0.75508348608497189</v>
      </c>
      <c r="AE315">
        <v>0.56959183859035289</v>
      </c>
      <c r="AF315">
        <v>0.75508348608497189</v>
      </c>
      <c r="AG315">
        <v>0.56959183859035289</v>
      </c>
    </row>
    <row r="316" spans="8:33" x14ac:dyDescent="0.3">
      <c r="H316">
        <f t="shared" ref="H316" si="926">H313+1</f>
        <v>154</v>
      </c>
      <c r="I316">
        <f t="shared" ref="I316" si="927">J314</f>
        <v>0.96664817779882062</v>
      </c>
      <c r="J316">
        <f t="shared" ref="J316" si="928">$E$3*I316*(1-I316)</f>
        <v>0.1289579126281612</v>
      </c>
      <c r="L316">
        <v>3.09</v>
      </c>
      <c r="M316">
        <v>0.5636387617338674</v>
      </c>
      <c r="N316">
        <v>0.75998583373538831</v>
      </c>
      <c r="O316">
        <v>0.5636387617338674</v>
      </c>
      <c r="P316">
        <v>0.75998583373538831</v>
      </c>
      <c r="Q316">
        <v>0.5636387617338674</v>
      </c>
      <c r="R316">
        <v>0.75998583373538831</v>
      </c>
      <c r="S316">
        <v>0.5636387617338674</v>
      </c>
      <c r="T316">
        <v>0.75998583373538831</v>
      </c>
      <c r="U316">
        <v>0.5636387617338674</v>
      </c>
      <c r="V316">
        <v>0.75998583373538831</v>
      </c>
      <c r="W316">
        <v>0.5636387617338674</v>
      </c>
      <c r="X316">
        <v>0.75998583373538831</v>
      </c>
      <c r="Y316">
        <v>0.5636387617338674</v>
      </c>
      <c r="Z316">
        <v>0.75998583373538831</v>
      </c>
      <c r="AA316">
        <v>0.5636387617338674</v>
      </c>
      <c r="AB316">
        <v>0.75998583373538831</v>
      </c>
      <c r="AC316">
        <v>0.5636387617338674</v>
      </c>
      <c r="AD316">
        <v>0.75998583373538831</v>
      </c>
      <c r="AE316">
        <v>0.5636387617338674</v>
      </c>
      <c r="AF316">
        <v>0.75998583373538831</v>
      </c>
      <c r="AG316">
        <v>0.5636387617338674</v>
      </c>
    </row>
    <row r="317" spans="8:33" x14ac:dyDescent="0.3">
      <c r="H317">
        <f t="shared" ref="H317" si="929">H315+1</f>
        <v>155</v>
      </c>
      <c r="I317">
        <f t="shared" ref="I317" si="930">J316</f>
        <v>0.1289579126281612</v>
      </c>
      <c r="J317">
        <f t="shared" ref="J317" si="931">I317</f>
        <v>0.1289579126281612</v>
      </c>
      <c r="L317">
        <v>3.1</v>
      </c>
      <c r="M317">
        <v>0.55801412520269611</v>
      </c>
      <c r="N317">
        <v>0.76456651995859426</v>
      </c>
      <c r="O317">
        <v>0.55801412520269611</v>
      </c>
      <c r="P317">
        <v>0.76456651995859426</v>
      </c>
      <c r="Q317">
        <v>0.55801412520269611</v>
      </c>
      <c r="R317">
        <v>0.76456651995859426</v>
      </c>
      <c r="S317">
        <v>0.55801412520269611</v>
      </c>
      <c r="T317">
        <v>0.76456651995859426</v>
      </c>
      <c r="U317">
        <v>0.55801412520269611</v>
      </c>
      <c r="V317">
        <v>0.76456651995859426</v>
      </c>
      <c r="W317">
        <v>0.55801412520269611</v>
      </c>
      <c r="X317">
        <v>0.76456651995859426</v>
      </c>
      <c r="Y317">
        <v>0.55801412520269611</v>
      </c>
      <c r="Z317">
        <v>0.76456651995859426</v>
      </c>
      <c r="AA317">
        <v>0.55801412520269611</v>
      </c>
      <c r="AB317">
        <v>0.76456651995859426</v>
      </c>
      <c r="AC317">
        <v>0.55801412520269611</v>
      </c>
      <c r="AD317">
        <v>0.76456651995859426</v>
      </c>
      <c r="AE317">
        <v>0.55801412520269611</v>
      </c>
      <c r="AF317">
        <v>0.76456651995859426</v>
      </c>
      <c r="AG317">
        <v>0.55801412520269611</v>
      </c>
    </row>
    <row r="318" spans="8:33" x14ac:dyDescent="0.3">
      <c r="H318">
        <f t="shared" ref="H318" si="932">H315+1</f>
        <v>155</v>
      </c>
      <c r="I318">
        <f t="shared" ref="I318" si="933">J316</f>
        <v>0.1289579126281612</v>
      </c>
      <c r="J318">
        <f t="shared" ref="J318" si="934">$E$3*I318*(1-I318)</f>
        <v>0.44931107759499495</v>
      </c>
      <c r="L318">
        <v>3.11</v>
      </c>
      <c r="M318">
        <v>0.55267141174267387</v>
      </c>
      <c r="N318">
        <v>0.76887199661745476</v>
      </c>
      <c r="O318">
        <v>0.55267141174267387</v>
      </c>
      <c r="P318">
        <v>0.76887199661745476</v>
      </c>
      <c r="Q318">
        <v>0.55267141174267387</v>
      </c>
      <c r="R318">
        <v>0.76887199661745476</v>
      </c>
      <c r="S318">
        <v>0.55267141174267387</v>
      </c>
      <c r="T318">
        <v>0.76887199661745476</v>
      </c>
      <c r="U318">
        <v>0.55267141174267387</v>
      </c>
      <c r="V318">
        <v>0.76887199661745476</v>
      </c>
      <c r="W318">
        <v>0.55267141174267387</v>
      </c>
      <c r="X318">
        <v>0.76887199661745476</v>
      </c>
      <c r="Y318">
        <v>0.55267141174267387</v>
      </c>
      <c r="Z318">
        <v>0.76887199661745476</v>
      </c>
      <c r="AA318">
        <v>0.55267141174267387</v>
      </c>
      <c r="AB318">
        <v>0.76887199661745476</v>
      </c>
      <c r="AC318">
        <v>0.55267141174267387</v>
      </c>
      <c r="AD318">
        <v>0.76887199661745476</v>
      </c>
      <c r="AE318">
        <v>0.55267141174267387</v>
      </c>
      <c r="AF318">
        <v>0.76887199661745476</v>
      </c>
      <c r="AG318">
        <v>0.55267141174267387</v>
      </c>
    </row>
    <row r="319" spans="8:33" x14ac:dyDescent="0.3">
      <c r="H319">
        <f t="shared" ref="H319" si="935">H317+1</f>
        <v>156</v>
      </c>
      <c r="I319">
        <f t="shared" ref="I319" si="936">J318</f>
        <v>0.44931107759499495</v>
      </c>
      <c r="J319">
        <f t="shared" ref="J319" si="937">I319</f>
        <v>0.44931107759499495</v>
      </c>
      <c r="L319">
        <v>3.12</v>
      </c>
      <c r="M319">
        <v>0.54757438569713501</v>
      </c>
      <c r="N319">
        <v>0.77293843481568558</v>
      </c>
      <c r="O319">
        <v>0.54757438569713501</v>
      </c>
      <c r="P319">
        <v>0.77293843481568558</v>
      </c>
      <c r="Q319">
        <v>0.54757438569713501</v>
      </c>
      <c r="R319">
        <v>0.77293843481568558</v>
      </c>
      <c r="S319">
        <v>0.54757438569713501</v>
      </c>
      <c r="T319">
        <v>0.77293843481568558</v>
      </c>
      <c r="U319">
        <v>0.54757438569713501</v>
      </c>
      <c r="V319">
        <v>0.77293843481568558</v>
      </c>
      <c r="W319">
        <v>0.54757438569713501</v>
      </c>
      <c r="X319">
        <v>0.77293843481568558</v>
      </c>
      <c r="Y319">
        <v>0.54757438569713501</v>
      </c>
      <c r="Z319">
        <v>0.77293843481568558</v>
      </c>
      <c r="AA319">
        <v>0.54757438569713501</v>
      </c>
      <c r="AB319">
        <v>0.77293843481568558</v>
      </c>
      <c r="AC319">
        <v>0.54757438569713501</v>
      </c>
      <c r="AD319">
        <v>0.77293843481568558</v>
      </c>
      <c r="AE319">
        <v>0.54757438569713501</v>
      </c>
      <c r="AF319">
        <v>0.77293843481568558</v>
      </c>
      <c r="AG319">
        <v>0.54757438569713501</v>
      </c>
    </row>
    <row r="320" spans="8:33" x14ac:dyDescent="0.3">
      <c r="H320">
        <f t="shared" ref="H320" si="938">H317+1</f>
        <v>156</v>
      </c>
      <c r="I320">
        <f t="shared" ref="I320" si="939">J318</f>
        <v>0.44931107759499495</v>
      </c>
      <c r="J320">
        <f t="shared" ref="J320" si="940">$E$3*I320*(1-I320)</f>
        <v>0.98972253258167764</v>
      </c>
      <c r="L320">
        <v>3.13</v>
      </c>
      <c r="M320">
        <v>0.54269415270464949</v>
      </c>
      <c r="N320">
        <v>0.77679466518672435</v>
      </c>
      <c r="O320">
        <v>0.54269415270464949</v>
      </c>
      <c r="P320">
        <v>0.77679466518672435</v>
      </c>
      <c r="Q320">
        <v>0.54269415270464949</v>
      </c>
      <c r="R320">
        <v>0.77679466518672435</v>
      </c>
      <c r="S320">
        <v>0.54269415270464949</v>
      </c>
      <c r="T320">
        <v>0.77679466518672435</v>
      </c>
      <c r="U320">
        <v>0.54269415270464949</v>
      </c>
      <c r="V320">
        <v>0.77679466518672435</v>
      </c>
      <c r="W320">
        <v>0.54269415270464949</v>
      </c>
      <c r="X320">
        <v>0.77679466518672435</v>
      </c>
      <c r="Y320">
        <v>0.54269415270464949</v>
      </c>
      <c r="Z320">
        <v>0.77679466518672435</v>
      </c>
      <c r="AA320">
        <v>0.54269415270464949</v>
      </c>
      <c r="AB320">
        <v>0.77679466518672435</v>
      </c>
      <c r="AC320">
        <v>0.54269415270464949</v>
      </c>
      <c r="AD320">
        <v>0.77679466518672435</v>
      </c>
      <c r="AE320">
        <v>0.54269415270464949</v>
      </c>
      <c r="AF320">
        <v>0.77679466518672435</v>
      </c>
      <c r="AG320">
        <v>0.54269415270464949</v>
      </c>
    </row>
    <row r="321" spans="8:33" x14ac:dyDescent="0.3">
      <c r="H321">
        <f t="shared" ref="H321" si="941">H319+1</f>
        <v>157</v>
      </c>
      <c r="I321">
        <f t="shared" ref="I321" si="942">J320</f>
        <v>0.98972253258167764</v>
      </c>
      <c r="J321">
        <f t="shared" ref="J321" si="943">I321</f>
        <v>0.98972253258167764</v>
      </c>
      <c r="L321">
        <v>3.14</v>
      </c>
      <c r="M321">
        <v>0.5380072209511193</v>
      </c>
      <c r="N321">
        <v>0.78046411662849868</v>
      </c>
      <c r="O321">
        <v>0.53800722095111919</v>
      </c>
      <c r="P321">
        <v>0.78046411662849857</v>
      </c>
      <c r="Q321">
        <v>0.5380072209511193</v>
      </c>
      <c r="R321">
        <v>0.78046411662849868</v>
      </c>
      <c r="S321">
        <v>0.53800722095111919</v>
      </c>
      <c r="T321">
        <v>0.78046411662849857</v>
      </c>
      <c r="U321">
        <v>0.5380072209511193</v>
      </c>
      <c r="V321">
        <v>0.78046411662849868</v>
      </c>
      <c r="W321">
        <v>0.53800722095111919</v>
      </c>
      <c r="X321">
        <v>0.78046411662849857</v>
      </c>
      <c r="Y321">
        <v>0.5380072209511193</v>
      </c>
      <c r="Z321">
        <v>0.78046411662849868</v>
      </c>
      <c r="AA321">
        <v>0.53800722095111919</v>
      </c>
      <c r="AB321">
        <v>0.78046411662849857</v>
      </c>
      <c r="AC321">
        <v>0.5380072209511193</v>
      </c>
      <c r="AD321">
        <v>0.78046411662849868</v>
      </c>
      <c r="AE321">
        <v>0.53800722095111919</v>
      </c>
      <c r="AF321">
        <v>0.78046411662849857</v>
      </c>
      <c r="AG321">
        <v>0.5380072209511193</v>
      </c>
    </row>
    <row r="322" spans="8:33" x14ac:dyDescent="0.3">
      <c r="H322">
        <f t="shared" ref="H322" si="944">H319+1</f>
        <v>157</v>
      </c>
      <c r="I322">
        <f t="shared" ref="I322" si="945">J320</f>
        <v>0.98972253258167764</v>
      </c>
      <c r="J322">
        <f t="shared" ref="J322" si="946">$E$3*I322*(1-I322)</f>
        <v>4.0687364327150734E-2</v>
      </c>
      <c r="L322">
        <v>3.15</v>
      </c>
      <c r="M322">
        <v>0.53349417588841663</v>
      </c>
      <c r="N322">
        <v>0.78396614157190081</v>
      </c>
      <c r="O322">
        <v>0.53349417588841663</v>
      </c>
      <c r="P322">
        <v>0.78396614157190081</v>
      </c>
      <c r="Q322">
        <v>0.53349417588841663</v>
      </c>
      <c r="R322">
        <v>0.78396614157190081</v>
      </c>
      <c r="S322">
        <v>0.53349417588841663</v>
      </c>
      <c r="T322">
        <v>0.78396614157190081</v>
      </c>
      <c r="U322">
        <v>0.53349417588841663</v>
      </c>
      <c r="V322">
        <v>0.78396614157190081</v>
      </c>
      <c r="W322">
        <v>0.53349417588841663</v>
      </c>
      <c r="X322">
        <v>0.78396614157190081</v>
      </c>
      <c r="Y322">
        <v>0.53349417588841663</v>
      </c>
      <c r="Z322">
        <v>0.78396614157190081</v>
      </c>
      <c r="AA322">
        <v>0.53349417588841663</v>
      </c>
      <c r="AB322">
        <v>0.78396614157190081</v>
      </c>
      <c r="AC322">
        <v>0.53349417588841663</v>
      </c>
      <c r="AD322">
        <v>0.78396614157190081</v>
      </c>
      <c r="AE322">
        <v>0.53349417588841663</v>
      </c>
      <c r="AF322">
        <v>0.78396614157190081</v>
      </c>
      <c r="AG322">
        <v>0.53349417588841663</v>
      </c>
    </row>
    <row r="323" spans="8:33" x14ac:dyDescent="0.3">
      <c r="H323">
        <f t="shared" ref="H323" si="947">H321+1</f>
        <v>158</v>
      </c>
      <c r="I323">
        <f t="shared" ref="I323" si="948">J322</f>
        <v>4.0687364327150734E-2</v>
      </c>
      <c r="J323">
        <f t="shared" ref="J323" si="949">I323</f>
        <v>4.0687364327150734E-2</v>
      </c>
      <c r="L323">
        <v>3.16</v>
      </c>
      <c r="M323">
        <v>0.52913874649132209</v>
      </c>
      <c r="N323">
        <v>0.78731694971120969</v>
      </c>
      <c r="O323">
        <v>0.52913874649132209</v>
      </c>
      <c r="P323">
        <v>0.78731694971120969</v>
      </c>
      <c r="Q323">
        <v>0.52913874649132209</v>
      </c>
      <c r="R323">
        <v>0.78731694971120969</v>
      </c>
      <c r="S323">
        <v>0.52913874649132209</v>
      </c>
      <c r="T323">
        <v>0.78731694971120969</v>
      </c>
      <c r="U323">
        <v>0.52913874649132209</v>
      </c>
      <c r="V323">
        <v>0.78731694971120969</v>
      </c>
      <c r="W323">
        <v>0.52913874649132209</v>
      </c>
      <c r="X323">
        <v>0.78731694971120969</v>
      </c>
      <c r="Y323">
        <v>0.52913874649132209</v>
      </c>
      <c r="Z323">
        <v>0.78731694971120969</v>
      </c>
      <c r="AA323">
        <v>0.52913874649132209</v>
      </c>
      <c r="AB323">
        <v>0.78731694971120969</v>
      </c>
      <c r="AC323">
        <v>0.52913874649132209</v>
      </c>
      <c r="AD323">
        <v>0.78731694971120969</v>
      </c>
      <c r="AE323">
        <v>0.52913874649132209</v>
      </c>
      <c r="AF323">
        <v>0.78731694971120969</v>
      </c>
      <c r="AG323">
        <v>0.52913874649132209</v>
      </c>
    </row>
    <row r="324" spans="8:33" x14ac:dyDescent="0.3">
      <c r="H324">
        <f t="shared" ref="H324" si="950">H321+1</f>
        <v>158</v>
      </c>
      <c r="I324">
        <f t="shared" ref="I324" si="951">J322</f>
        <v>4.0687364327150734E-2</v>
      </c>
      <c r="J324">
        <f t="shared" ref="J324" si="952">$E$3*I324*(1-I324)</f>
        <v>0.15612761084504176</v>
      </c>
      <c r="L324">
        <v>3.17</v>
      </c>
      <c r="M324">
        <v>0.524927130222134</v>
      </c>
      <c r="N324">
        <v>0.7905302830270774</v>
      </c>
      <c r="O324">
        <v>0.524927130222134</v>
      </c>
      <c r="P324">
        <v>0.7905302830270774</v>
      </c>
      <c r="Q324">
        <v>0.524927130222134</v>
      </c>
      <c r="R324">
        <v>0.7905302830270774</v>
      </c>
      <c r="S324">
        <v>0.524927130222134</v>
      </c>
      <c r="T324">
        <v>0.7905302830270774</v>
      </c>
      <c r="U324">
        <v>0.524927130222134</v>
      </c>
      <c r="V324">
        <v>0.7905302830270774</v>
      </c>
      <c r="W324">
        <v>0.524927130222134</v>
      </c>
      <c r="X324">
        <v>0.7905302830270774</v>
      </c>
      <c r="Y324">
        <v>0.524927130222134</v>
      </c>
      <c r="Z324">
        <v>0.7905302830270774</v>
      </c>
      <c r="AA324">
        <v>0.524927130222134</v>
      </c>
      <c r="AB324">
        <v>0.7905302830270774</v>
      </c>
      <c r="AC324">
        <v>0.524927130222134</v>
      </c>
      <c r="AD324">
        <v>0.7905302830270774</v>
      </c>
      <c r="AE324">
        <v>0.524927130222134</v>
      </c>
      <c r="AF324">
        <v>0.7905302830270774</v>
      </c>
      <c r="AG324">
        <v>0.524927130222134</v>
      </c>
    </row>
    <row r="325" spans="8:33" x14ac:dyDescent="0.3">
      <c r="H325">
        <f t="shared" ref="H325" si="953">H323+1</f>
        <v>159</v>
      </c>
      <c r="I325">
        <f t="shared" ref="I325" si="954">J324</f>
        <v>0.15612761084504176</v>
      </c>
      <c r="J325">
        <f t="shared" ref="J325" si="955">I325</f>
        <v>0.15612761084504176</v>
      </c>
      <c r="L325">
        <v>3.18</v>
      </c>
      <c r="M325">
        <v>0.52084749407420483</v>
      </c>
      <c r="N325">
        <v>0.79361791473082666</v>
      </c>
      <c r="O325">
        <v>0.52084749407420483</v>
      </c>
      <c r="P325">
        <v>0.79361791473082666</v>
      </c>
      <c r="Q325">
        <v>0.52084749407420483</v>
      </c>
      <c r="R325">
        <v>0.79361791473082666</v>
      </c>
      <c r="S325">
        <v>0.52084749407420483</v>
      </c>
      <c r="T325">
        <v>0.79361791473082666</v>
      </c>
      <c r="U325">
        <v>0.52084749407420483</v>
      </c>
      <c r="V325">
        <v>0.79361791473082666</v>
      </c>
      <c r="W325">
        <v>0.52084749407420483</v>
      </c>
      <c r="X325">
        <v>0.79361791473082666</v>
      </c>
      <c r="Y325">
        <v>0.52084749407420483</v>
      </c>
      <c r="Z325">
        <v>0.79361791473082666</v>
      </c>
      <c r="AA325">
        <v>0.52084749407420483</v>
      </c>
      <c r="AB325">
        <v>0.79361791473082666</v>
      </c>
      <c r="AC325">
        <v>0.52084749407420483</v>
      </c>
      <c r="AD325">
        <v>0.79361791473082666</v>
      </c>
      <c r="AE325">
        <v>0.52084749407420483</v>
      </c>
      <c r="AF325">
        <v>0.79361791473082666</v>
      </c>
      <c r="AG325">
        <v>0.52084749407420483</v>
      </c>
    </row>
    <row r="326" spans="8:33" x14ac:dyDescent="0.3">
      <c r="H326">
        <f t="shared" ref="H326" si="956">H323+1</f>
        <v>159</v>
      </c>
      <c r="I326">
        <f t="shared" ref="I326" si="957">J324</f>
        <v>0.15612761084504176</v>
      </c>
      <c r="J326">
        <f t="shared" ref="J326" si="958">$E$3*I326*(1-I326)</f>
        <v>0.52700711990744387</v>
      </c>
      <c r="L326">
        <v>3.19</v>
      </c>
      <c r="M326">
        <v>0.51688959856617955</v>
      </c>
      <c r="N326">
        <v>0.79659002525827183</v>
      </c>
      <c r="O326">
        <v>0.51688959856617955</v>
      </c>
      <c r="P326">
        <v>0.79659002525827183</v>
      </c>
      <c r="Q326">
        <v>0.51688959856617955</v>
      </c>
      <c r="R326">
        <v>0.79659002525827183</v>
      </c>
      <c r="S326">
        <v>0.51688959856617955</v>
      </c>
      <c r="T326">
        <v>0.79659002525827183</v>
      </c>
      <c r="U326">
        <v>0.51688959856617955</v>
      </c>
      <c r="V326">
        <v>0.79659002525827183</v>
      </c>
      <c r="W326">
        <v>0.51688959856617955</v>
      </c>
      <c r="X326">
        <v>0.79659002525827183</v>
      </c>
      <c r="Y326">
        <v>0.51688959856617955</v>
      </c>
      <c r="Z326">
        <v>0.79659002525827183</v>
      </c>
      <c r="AA326">
        <v>0.51688959856617955</v>
      </c>
      <c r="AB326">
        <v>0.79659002525827183</v>
      </c>
      <c r="AC326">
        <v>0.51688959856617955</v>
      </c>
      <c r="AD326">
        <v>0.79659002525827183</v>
      </c>
      <c r="AE326">
        <v>0.51688959856617955</v>
      </c>
      <c r="AF326">
        <v>0.79659002525827183</v>
      </c>
      <c r="AG326">
        <v>0.51688959856617955</v>
      </c>
    </row>
    <row r="327" spans="8:33" x14ac:dyDescent="0.3">
      <c r="H327">
        <f t="shared" ref="H327" si="959">H325+1</f>
        <v>160</v>
      </c>
      <c r="I327">
        <f t="shared" ref="I327" si="960">J326</f>
        <v>0.52700711990744387</v>
      </c>
      <c r="J327">
        <f t="shared" ref="J327" si="961">I327</f>
        <v>0.52700711990744387</v>
      </c>
      <c r="L327">
        <v>3.2</v>
      </c>
      <c r="M327">
        <v>0.51304450953262981</v>
      </c>
      <c r="N327">
        <v>0.79945549046737008</v>
      </c>
      <c r="O327">
        <v>0.51304450953262981</v>
      </c>
      <c r="P327">
        <v>0.79945549046737008</v>
      </c>
      <c r="Q327">
        <v>0.51304450953262981</v>
      </c>
      <c r="R327">
        <v>0.79945549046737008</v>
      </c>
      <c r="S327">
        <v>0.51304450953262981</v>
      </c>
      <c r="T327">
        <v>0.79945549046737008</v>
      </c>
      <c r="U327">
        <v>0.51304450953262981</v>
      </c>
      <c r="V327">
        <v>0.79945549046737008</v>
      </c>
      <c r="W327">
        <v>0.51304450953262981</v>
      </c>
      <c r="X327">
        <v>0.79945549046737008</v>
      </c>
      <c r="Y327">
        <v>0.51304450953262981</v>
      </c>
      <c r="Z327">
        <v>0.79945549046737008</v>
      </c>
      <c r="AA327">
        <v>0.51304450953262981</v>
      </c>
      <c r="AB327">
        <v>0.79945549046737008</v>
      </c>
      <c r="AC327">
        <v>0.51304450953262981</v>
      </c>
      <c r="AD327">
        <v>0.79945549046737008</v>
      </c>
      <c r="AE327">
        <v>0.51304450953262981</v>
      </c>
      <c r="AF327">
        <v>0.79945549046737008</v>
      </c>
      <c r="AG327">
        <v>0.51304450953262981</v>
      </c>
    </row>
    <row r="328" spans="8:33" x14ac:dyDescent="0.3">
      <c r="H328">
        <f t="shared" ref="H328" si="962">H325+1</f>
        <v>160</v>
      </c>
      <c r="I328">
        <f t="shared" ref="I328" si="963">J326</f>
        <v>0.52700711990744387</v>
      </c>
      <c r="J328">
        <f t="shared" ref="J328" si="964">$E$3*I328*(1-I328)</f>
        <v>0.99708246189721983</v>
      </c>
      <c r="L328">
        <v>3.21</v>
      </c>
      <c r="M328">
        <v>0.50930437385773819</v>
      </c>
      <c r="N328">
        <v>0.80222210589304055</v>
      </c>
      <c r="O328">
        <v>0.50930437385773819</v>
      </c>
      <c r="P328">
        <v>0.80222210589304055</v>
      </c>
      <c r="Q328">
        <v>0.50930437385773819</v>
      </c>
      <c r="R328">
        <v>0.80222210589304055</v>
      </c>
      <c r="S328">
        <v>0.50930437385773819</v>
      </c>
      <c r="T328">
        <v>0.80222210589304055</v>
      </c>
      <c r="U328">
        <v>0.50930437385773819</v>
      </c>
      <c r="V328">
        <v>0.80222210589304055</v>
      </c>
      <c r="W328">
        <v>0.50930437385773819</v>
      </c>
      <c r="X328">
        <v>0.80222210589304055</v>
      </c>
      <c r="Y328">
        <v>0.50930437385773819</v>
      </c>
      <c r="Z328">
        <v>0.80222210589304055</v>
      </c>
      <c r="AA328">
        <v>0.50930437385773819</v>
      </c>
      <c r="AB328">
        <v>0.80222210589304055</v>
      </c>
      <c r="AC328">
        <v>0.50930437385773819</v>
      </c>
      <c r="AD328">
        <v>0.80222210589304055</v>
      </c>
      <c r="AE328">
        <v>0.50930437385773819</v>
      </c>
      <c r="AF328">
        <v>0.80222210589304055</v>
      </c>
      <c r="AG328">
        <v>0.50930437385773819</v>
      </c>
    </row>
    <row r="329" spans="8:33" x14ac:dyDescent="0.3">
      <c r="H329">
        <f t="shared" ref="H329" si="965">H327+1</f>
        <v>161</v>
      </c>
      <c r="I329">
        <f t="shared" ref="I329" si="966">J328</f>
        <v>0.99708246189721983</v>
      </c>
      <c r="J329">
        <f t="shared" ref="J329" si="967">I329</f>
        <v>0.99708246189721983</v>
      </c>
      <c r="L329">
        <v>3.22</v>
      </c>
      <c r="M329">
        <v>0.50566224260315629</v>
      </c>
      <c r="N329">
        <v>0.80489676360802365</v>
      </c>
      <c r="O329">
        <v>0.50566224260315651</v>
      </c>
      <c r="P329">
        <v>0.80489676360802376</v>
      </c>
      <c r="Q329">
        <v>0.50566224260315629</v>
      </c>
      <c r="R329">
        <v>0.80489676360802365</v>
      </c>
      <c r="S329">
        <v>0.50566224260315651</v>
      </c>
      <c r="T329">
        <v>0.80489676360802376</v>
      </c>
      <c r="U329">
        <v>0.50566224260315629</v>
      </c>
      <c r="V329">
        <v>0.80489676360802365</v>
      </c>
      <c r="W329">
        <v>0.50566224260315651</v>
      </c>
      <c r="X329">
        <v>0.80489676360802376</v>
      </c>
      <c r="Y329">
        <v>0.50566224260315629</v>
      </c>
      <c r="Z329">
        <v>0.80489676360802365</v>
      </c>
      <c r="AA329">
        <v>0.50566224260315651</v>
      </c>
      <c r="AB329">
        <v>0.80489676360802376</v>
      </c>
      <c r="AC329">
        <v>0.50566224260315629</v>
      </c>
      <c r="AD329">
        <v>0.80489676360802365</v>
      </c>
      <c r="AE329">
        <v>0.50566224260315651</v>
      </c>
      <c r="AF329">
        <v>0.80489676360802376</v>
      </c>
      <c r="AG329">
        <v>0.50566224260315629</v>
      </c>
    </row>
    <row r="330" spans="8:33" x14ac:dyDescent="0.3">
      <c r="H330">
        <f t="shared" ref="H330" si="968">H327+1</f>
        <v>161</v>
      </c>
      <c r="I330">
        <f t="shared" ref="I330" si="969">J328</f>
        <v>0.99708246189721983</v>
      </c>
      <c r="J330">
        <f t="shared" ref="J330" si="970">$E$3*I330*(1-I330)</f>
        <v>1.1636104296795987E-2</v>
      </c>
      <c r="L330">
        <v>3.23</v>
      </c>
      <c r="M330">
        <v>0.50211192981944031</v>
      </c>
      <c r="N330">
        <v>0.80748559340037396</v>
      </c>
      <c r="O330">
        <v>0.50211192981944031</v>
      </c>
      <c r="P330">
        <v>0.80748559340037396</v>
      </c>
      <c r="Q330">
        <v>0.50211192981944031</v>
      </c>
      <c r="R330">
        <v>0.80748559340037396</v>
      </c>
      <c r="S330">
        <v>0.50211192981944031</v>
      </c>
      <c r="T330">
        <v>0.80748559340037396</v>
      </c>
      <c r="U330">
        <v>0.50211192981944031</v>
      </c>
      <c r="V330">
        <v>0.80748559340037396</v>
      </c>
      <c r="W330">
        <v>0.50211192981944031</v>
      </c>
      <c r="X330">
        <v>0.80748559340037396</v>
      </c>
      <c r="Y330">
        <v>0.50211192981944031</v>
      </c>
      <c r="Z330">
        <v>0.80748559340037396</v>
      </c>
      <c r="AA330">
        <v>0.50211192981944031</v>
      </c>
      <c r="AB330">
        <v>0.80748559340037396</v>
      </c>
      <c r="AC330">
        <v>0.50211192981944031</v>
      </c>
      <c r="AD330">
        <v>0.80748559340037396</v>
      </c>
      <c r="AE330">
        <v>0.50211192981944031</v>
      </c>
      <c r="AF330">
        <v>0.80748559340037396</v>
      </c>
      <c r="AG330">
        <v>0.50211192981944031</v>
      </c>
    </row>
    <row r="331" spans="8:33" x14ac:dyDescent="0.3">
      <c r="H331">
        <f t="shared" ref="H331" si="971">H329+1</f>
        <v>162</v>
      </c>
      <c r="I331">
        <f t="shared" ref="I331" si="972">J330</f>
        <v>1.1636104296795987E-2</v>
      </c>
      <c r="J331">
        <f t="shared" ref="J331" si="973">I331</f>
        <v>1.1636104296795987E-2</v>
      </c>
      <c r="L331">
        <v>3.24</v>
      </c>
      <c r="M331">
        <v>0.49864789860594461</v>
      </c>
      <c r="N331">
        <v>0.80999407670269752</v>
      </c>
      <c r="O331">
        <v>0.49864789860594438</v>
      </c>
      <c r="P331">
        <v>0.80999407670269741</v>
      </c>
      <c r="Q331">
        <v>0.49864789860594461</v>
      </c>
      <c r="R331">
        <v>0.80999407670269752</v>
      </c>
      <c r="S331">
        <v>0.49864789860594438</v>
      </c>
      <c r="T331">
        <v>0.80999407670269741</v>
      </c>
      <c r="U331">
        <v>0.49864789860594461</v>
      </c>
      <c r="V331">
        <v>0.80999407670269752</v>
      </c>
      <c r="W331">
        <v>0.49864789860594438</v>
      </c>
      <c r="X331">
        <v>0.80999407670269741</v>
      </c>
      <c r="Y331">
        <v>0.49864789860594461</v>
      </c>
      <c r="Z331">
        <v>0.80999407670269752</v>
      </c>
      <c r="AA331">
        <v>0.49864789860594438</v>
      </c>
      <c r="AB331">
        <v>0.80999407670269741</v>
      </c>
      <c r="AC331">
        <v>0.49864789860594461</v>
      </c>
      <c r="AD331">
        <v>0.80999407670269752</v>
      </c>
      <c r="AE331">
        <v>0.49864789860594438</v>
      </c>
      <c r="AF331">
        <v>0.80999407670269741</v>
      </c>
      <c r="AG331">
        <v>0.49864789860594461</v>
      </c>
    </row>
    <row r="332" spans="8:33" x14ac:dyDescent="0.3">
      <c r="H332">
        <f t="shared" ref="H332" si="974">H329+1</f>
        <v>162</v>
      </c>
      <c r="I332">
        <f t="shared" ref="I332" si="975">J330</f>
        <v>1.1636104296795987E-2</v>
      </c>
      <c r="J332">
        <f t="shared" ref="J332" si="976">$E$3*I332*(1-I332)</f>
        <v>4.6002821494360295E-2</v>
      </c>
      <c r="L332">
        <v>3.25</v>
      </c>
      <c r="M332">
        <v>0.49526516824547462</v>
      </c>
      <c r="N332">
        <v>0.81242713944683309</v>
      </c>
      <c r="O332">
        <v>0.49526516824547462</v>
      </c>
      <c r="P332">
        <v>0.81242713944683309</v>
      </c>
      <c r="Q332">
        <v>0.49526516824547462</v>
      </c>
      <c r="R332">
        <v>0.81242713944683309</v>
      </c>
      <c r="S332">
        <v>0.49526516824547462</v>
      </c>
      <c r="T332">
        <v>0.81242713944683309</v>
      </c>
      <c r="U332">
        <v>0.49526516824547462</v>
      </c>
      <c r="V332">
        <v>0.81242713944683309</v>
      </c>
      <c r="W332">
        <v>0.49526516824547462</v>
      </c>
      <c r="X332">
        <v>0.81242713944683309</v>
      </c>
      <c r="Y332">
        <v>0.49526516824547462</v>
      </c>
      <c r="Z332">
        <v>0.81242713944683309</v>
      </c>
      <c r="AA332">
        <v>0.49526516824547462</v>
      </c>
      <c r="AB332">
        <v>0.81242713944683309</v>
      </c>
      <c r="AC332">
        <v>0.49526516824547462</v>
      </c>
      <c r="AD332">
        <v>0.81242713944683309</v>
      </c>
      <c r="AE332">
        <v>0.49526516824547462</v>
      </c>
      <c r="AF332">
        <v>0.81242713944683309</v>
      </c>
      <c r="AG332">
        <v>0.49526516824547462</v>
      </c>
    </row>
    <row r="333" spans="8:33" x14ac:dyDescent="0.3">
      <c r="H333">
        <f t="shared" ref="H333" si="977">H331+1</f>
        <v>163</v>
      </c>
      <c r="I333">
        <f t="shared" ref="I333" si="978">J332</f>
        <v>4.6002821494360295E-2</v>
      </c>
      <c r="J333">
        <f t="shared" ref="J333" si="979">I333</f>
        <v>4.6002821494360295E-2</v>
      </c>
      <c r="L333">
        <v>3.26</v>
      </c>
      <c r="M333">
        <v>0.49195923782916745</v>
      </c>
      <c r="N333">
        <v>0.81478922842850132</v>
      </c>
      <c r="O333">
        <v>0.49195923782916745</v>
      </c>
      <c r="P333">
        <v>0.81478922842850132</v>
      </c>
      <c r="Q333">
        <v>0.49195923782916745</v>
      </c>
      <c r="R333">
        <v>0.81478922842850132</v>
      </c>
      <c r="S333">
        <v>0.49195923782916745</v>
      </c>
      <c r="T333">
        <v>0.81478922842850132</v>
      </c>
      <c r="U333">
        <v>0.49195923782916745</v>
      </c>
      <c r="V333">
        <v>0.81478922842850132</v>
      </c>
      <c r="W333">
        <v>0.49195923782916745</v>
      </c>
      <c r="X333">
        <v>0.81478922842850132</v>
      </c>
      <c r="Y333">
        <v>0.49195923782916745</v>
      </c>
      <c r="Z333">
        <v>0.81478922842850132</v>
      </c>
      <c r="AA333">
        <v>0.49195923782916745</v>
      </c>
      <c r="AB333">
        <v>0.81478922842850132</v>
      </c>
      <c r="AC333">
        <v>0.49195923782916745</v>
      </c>
      <c r="AD333">
        <v>0.81478922842850132</v>
      </c>
      <c r="AE333">
        <v>0.49195923782916745</v>
      </c>
      <c r="AF333">
        <v>0.81478922842850132</v>
      </c>
      <c r="AG333">
        <v>0.49195923782916745</v>
      </c>
    </row>
    <row r="334" spans="8:33" x14ac:dyDescent="0.3">
      <c r="H334">
        <f t="shared" ref="H334" si="980">H331+1</f>
        <v>163</v>
      </c>
      <c r="I334">
        <f t="shared" ref="I334" si="981">J332</f>
        <v>4.6002821494360295E-2</v>
      </c>
      <c r="J334">
        <f t="shared" ref="J334" si="982">$E$3*I334*(1-I334)</f>
        <v>0.17554624763567328</v>
      </c>
      <c r="L334">
        <v>3.27</v>
      </c>
      <c r="M334">
        <v>0.48872602292195766</v>
      </c>
      <c r="N334">
        <v>0.81708437463155914</v>
      </c>
      <c r="O334">
        <v>0.48872602292195766</v>
      </c>
      <c r="P334">
        <v>0.81708437463155914</v>
      </c>
      <c r="Q334">
        <v>0.48872602292195766</v>
      </c>
      <c r="R334">
        <v>0.81708437463155914</v>
      </c>
      <c r="S334">
        <v>0.48872602292195766</v>
      </c>
      <c r="T334">
        <v>0.81708437463155914</v>
      </c>
      <c r="U334">
        <v>0.48872602292195766</v>
      </c>
      <c r="V334">
        <v>0.81708437463155914</v>
      </c>
      <c r="W334">
        <v>0.48872602292195766</v>
      </c>
      <c r="X334">
        <v>0.81708437463155914</v>
      </c>
      <c r="Y334">
        <v>0.48872602292195766</v>
      </c>
      <c r="Z334">
        <v>0.81708437463155914</v>
      </c>
      <c r="AA334">
        <v>0.48872602292195766</v>
      </c>
      <c r="AB334">
        <v>0.81708437463155914</v>
      </c>
      <c r="AC334">
        <v>0.48872602292195766</v>
      </c>
      <c r="AD334">
        <v>0.81708437463155914</v>
      </c>
      <c r="AE334">
        <v>0.48872602292195766</v>
      </c>
      <c r="AF334">
        <v>0.81708437463155914</v>
      </c>
      <c r="AG334">
        <v>0.48872602292195766</v>
      </c>
    </row>
    <row r="335" spans="8:33" x14ac:dyDescent="0.3">
      <c r="H335">
        <f t="shared" ref="H335" si="983">H333+1</f>
        <v>164</v>
      </c>
      <c r="I335">
        <f t="shared" ref="I335" si="984">J334</f>
        <v>0.17554624763567328</v>
      </c>
      <c r="J335">
        <f t="shared" ref="J335" si="985">I335</f>
        <v>0.17554624763567328</v>
      </c>
      <c r="L335">
        <v>3.28</v>
      </c>
      <c r="M335">
        <v>0.48556180264141452</v>
      </c>
      <c r="N335">
        <v>0.81931624613907317</v>
      </c>
      <c r="O335">
        <v>0.48556180264141469</v>
      </c>
      <c r="P335">
        <v>0.81931624613907328</v>
      </c>
      <c r="Q335">
        <v>0.48556180264141452</v>
      </c>
      <c r="R335">
        <v>0.81931624613907317</v>
      </c>
      <c r="S335">
        <v>0.48556180264141469</v>
      </c>
      <c r="T335">
        <v>0.81931624613907328</v>
      </c>
      <c r="U335">
        <v>0.48556180264141452</v>
      </c>
      <c r="V335">
        <v>0.81931624613907317</v>
      </c>
      <c r="W335">
        <v>0.48556180264141469</v>
      </c>
      <c r="X335">
        <v>0.81931624613907328</v>
      </c>
      <c r="Y335">
        <v>0.48556180264141452</v>
      </c>
      <c r="Z335">
        <v>0.81931624613907317</v>
      </c>
      <c r="AA335">
        <v>0.48556180264141469</v>
      </c>
      <c r="AB335">
        <v>0.81931624613907328</v>
      </c>
      <c r="AC335">
        <v>0.48556180264141452</v>
      </c>
      <c r="AD335">
        <v>0.81931624613907317</v>
      </c>
      <c r="AE335">
        <v>0.48556180264141469</v>
      </c>
      <c r="AF335">
        <v>0.81931624613907328</v>
      </c>
      <c r="AG335">
        <v>0.48556180264141452</v>
      </c>
    </row>
    <row r="336" spans="8:33" x14ac:dyDescent="0.3">
      <c r="H336">
        <f t="shared" ref="H336" si="986">H333+1</f>
        <v>164</v>
      </c>
      <c r="I336">
        <f t="shared" ref="I336" si="987">J334</f>
        <v>0.17554624763567328</v>
      </c>
      <c r="J336">
        <f t="shared" ref="J336" si="988">$E$3*I336*(1-I336)</f>
        <v>0.57891905030683266</v>
      </c>
      <c r="L336">
        <v>3.29</v>
      </c>
      <c r="M336">
        <v>0.48246317512678061</v>
      </c>
      <c r="N336">
        <v>0.82148819265437434</v>
      </c>
      <c r="O336">
        <v>0.48246317512678061</v>
      </c>
      <c r="P336">
        <v>0.82148819265437434</v>
      </c>
      <c r="Q336">
        <v>0.48246317512678061</v>
      </c>
      <c r="R336">
        <v>0.82148819265437434</v>
      </c>
      <c r="S336">
        <v>0.48246317512678061</v>
      </c>
      <c r="T336">
        <v>0.82148819265437434</v>
      </c>
      <c r="U336">
        <v>0.48246317512678061</v>
      </c>
      <c r="V336">
        <v>0.82148819265437434</v>
      </c>
      <c r="W336">
        <v>0.48246317512678061</v>
      </c>
      <c r="X336">
        <v>0.82148819265437434</v>
      </c>
      <c r="Y336">
        <v>0.48246317512678061</v>
      </c>
      <c r="Z336">
        <v>0.82148819265437434</v>
      </c>
      <c r="AA336">
        <v>0.48246317512678061</v>
      </c>
      <c r="AB336">
        <v>0.82148819265437434</v>
      </c>
      <c r="AC336">
        <v>0.48246317512678061</v>
      </c>
      <c r="AD336">
        <v>0.82148819265437434</v>
      </c>
      <c r="AE336">
        <v>0.48246317512678061</v>
      </c>
      <c r="AF336">
        <v>0.82148819265437434</v>
      </c>
      <c r="AG336">
        <v>0.48246317512678061</v>
      </c>
    </row>
    <row r="337" spans="8:33" x14ac:dyDescent="0.3">
      <c r="H337">
        <f t="shared" ref="H337" si="989">H335+1</f>
        <v>165</v>
      </c>
      <c r="I337">
        <f t="shared" ref="I337" si="990">J336</f>
        <v>0.57891905030683266</v>
      </c>
      <c r="J337">
        <f t="shared" ref="J337" si="991">I337</f>
        <v>0.57891905030683266</v>
      </c>
      <c r="L337">
        <v>3.3</v>
      </c>
      <c r="M337">
        <v>0.47942701982423414</v>
      </c>
      <c r="N337">
        <v>0.82360328320606901</v>
      </c>
      <c r="O337">
        <v>0.4794270198242338</v>
      </c>
      <c r="P337">
        <v>0.82360328320606868</v>
      </c>
      <c r="Q337">
        <v>0.47942701982423458</v>
      </c>
      <c r="R337">
        <v>0.8236032832060689</v>
      </c>
      <c r="S337">
        <v>0.47942701982423414</v>
      </c>
      <c r="T337">
        <v>0.82360328320606901</v>
      </c>
      <c r="U337">
        <v>0.4794270198242338</v>
      </c>
      <c r="V337">
        <v>0.82360328320606868</v>
      </c>
      <c r="W337">
        <v>0.47942701982423458</v>
      </c>
      <c r="X337">
        <v>0.8236032832060689</v>
      </c>
      <c r="Y337">
        <v>0.47942701982423414</v>
      </c>
      <c r="Z337">
        <v>0.82360328320606901</v>
      </c>
      <c r="AA337">
        <v>0.4794270198242338</v>
      </c>
      <c r="AB337">
        <v>0.82360328320606868</v>
      </c>
      <c r="AC337">
        <v>0.47942701982423458</v>
      </c>
      <c r="AD337">
        <v>0.8236032832060689</v>
      </c>
      <c r="AE337">
        <v>0.47942701982423414</v>
      </c>
      <c r="AF337">
        <v>0.82360328320606901</v>
      </c>
      <c r="AG337">
        <v>0.4794270198242338</v>
      </c>
    </row>
    <row r="338" spans="8:33" x14ac:dyDescent="0.3">
      <c r="H338">
        <f t="shared" ref="H338" si="992">H335+1</f>
        <v>165</v>
      </c>
      <c r="I338">
        <f t="shared" ref="I338" si="993">J336</f>
        <v>0.57891905030683266</v>
      </c>
      <c r="J338">
        <f t="shared" ref="J338" si="994">$E$3*I338*(1-I338)</f>
        <v>0.97508713399467051</v>
      </c>
      <c r="L338">
        <v>3.31</v>
      </c>
      <c r="M338">
        <v>0.47645046535221819</v>
      </c>
      <c r="N338">
        <v>0.82566433827315944</v>
      </c>
      <c r="O338">
        <v>0.47645046535221819</v>
      </c>
      <c r="P338">
        <v>0.82566433827315944</v>
      </c>
      <c r="Q338">
        <v>0.47645046535221819</v>
      </c>
      <c r="R338">
        <v>0.82566433827315944</v>
      </c>
      <c r="S338">
        <v>0.47645046535221819</v>
      </c>
      <c r="T338">
        <v>0.82566433827315944</v>
      </c>
      <c r="U338">
        <v>0.47645046535221819</v>
      </c>
      <c r="V338">
        <v>0.82566433827315944</v>
      </c>
      <c r="W338">
        <v>0.47645046535221819</v>
      </c>
      <c r="X338">
        <v>0.82566433827315944</v>
      </c>
      <c r="Y338">
        <v>0.47645046535221819</v>
      </c>
      <c r="Z338">
        <v>0.82566433827315944</v>
      </c>
      <c r="AA338">
        <v>0.47645046535221819</v>
      </c>
      <c r="AB338">
        <v>0.82566433827315944</v>
      </c>
      <c r="AC338">
        <v>0.47645046535221819</v>
      </c>
      <c r="AD338">
        <v>0.82566433827315944</v>
      </c>
      <c r="AE338">
        <v>0.47645046535221819</v>
      </c>
      <c r="AF338">
        <v>0.82566433827315944</v>
      </c>
      <c r="AG338">
        <v>0.47645046535221819</v>
      </c>
    </row>
    <row r="339" spans="8:33" x14ac:dyDescent="0.3">
      <c r="H339">
        <f t="shared" ref="H339" si="995">H337+1</f>
        <v>166</v>
      </c>
      <c r="I339">
        <f t="shared" ref="I339" si="996">J338</f>
        <v>0.97508713399467051</v>
      </c>
      <c r="J339">
        <f t="shared" ref="J339" si="997">I339</f>
        <v>0.97508713399467051</v>
      </c>
      <c r="L339">
        <v>3.32</v>
      </c>
      <c r="M339">
        <v>0.47353086196748106</v>
      </c>
      <c r="N339">
        <v>0.82767395730962734</v>
      </c>
      <c r="O339">
        <v>0.47353086196748106</v>
      </c>
      <c r="P339">
        <v>0.82767395730962734</v>
      </c>
      <c r="Q339">
        <v>0.47353086196748106</v>
      </c>
      <c r="R339">
        <v>0.82767395730962734</v>
      </c>
      <c r="S339">
        <v>0.47353086196748106</v>
      </c>
      <c r="T339">
        <v>0.82767395730962734</v>
      </c>
      <c r="U339">
        <v>0.47353086196748106</v>
      </c>
      <c r="V339">
        <v>0.82767395730962734</v>
      </c>
      <c r="W339">
        <v>0.47353086196748106</v>
      </c>
      <c r="X339">
        <v>0.82767395730962734</v>
      </c>
      <c r="Y339">
        <v>0.47353086196748106</v>
      </c>
      <c r="Z339">
        <v>0.82767395730962734</v>
      </c>
      <c r="AA339">
        <v>0.47353086196748106</v>
      </c>
      <c r="AB339">
        <v>0.82767395730962734</v>
      </c>
      <c r="AC339">
        <v>0.47353086196748106</v>
      </c>
      <c r="AD339">
        <v>0.82767395730962734</v>
      </c>
      <c r="AE339">
        <v>0.47353086196748106</v>
      </c>
      <c r="AF339">
        <v>0.82767395730962734</v>
      </c>
      <c r="AG339">
        <v>0.47353086196748106</v>
      </c>
    </row>
    <row r="340" spans="8:33" x14ac:dyDescent="0.3">
      <c r="H340">
        <f t="shared" ref="H340" si="998">H337+1</f>
        <v>166</v>
      </c>
      <c r="I340">
        <f t="shared" ref="I340" si="999">J338</f>
        <v>0.97508713399467051</v>
      </c>
      <c r="J340">
        <f t="shared" ref="J340" si="1000">$E$3*I340*(1-I340)</f>
        <v>9.7168860450919964E-2</v>
      </c>
      <c r="L340">
        <v>3.33</v>
      </c>
      <c r="M340">
        <v>0.47066575784956027</v>
      </c>
      <c r="N340">
        <v>0.82963454245073964</v>
      </c>
      <c r="O340">
        <v>0.47066575784956083</v>
      </c>
      <c r="P340">
        <v>0.82963454245073986</v>
      </c>
      <c r="Q340">
        <v>0.47066575784956027</v>
      </c>
      <c r="R340">
        <v>0.82963454245073964</v>
      </c>
      <c r="S340">
        <v>0.47066575784956083</v>
      </c>
      <c r="T340">
        <v>0.82963454245073986</v>
      </c>
      <c r="U340">
        <v>0.47066575784956027</v>
      </c>
      <c r="V340">
        <v>0.82963454245073964</v>
      </c>
      <c r="W340">
        <v>0.47066575784956083</v>
      </c>
      <c r="X340">
        <v>0.82963454245073986</v>
      </c>
      <c r="Y340">
        <v>0.47066575784956027</v>
      </c>
      <c r="Z340">
        <v>0.82963454245073964</v>
      </c>
      <c r="AA340">
        <v>0.47066575784956083</v>
      </c>
      <c r="AB340">
        <v>0.82963454245073986</v>
      </c>
      <c r="AC340">
        <v>0.47066575784956027</v>
      </c>
      <c r="AD340">
        <v>0.82963454245073964</v>
      </c>
      <c r="AE340">
        <v>0.47066575784956083</v>
      </c>
      <c r="AF340">
        <v>0.82963454245073986</v>
      </c>
      <c r="AG340">
        <v>0.47066575784956027</v>
      </c>
    </row>
    <row r="341" spans="8:33" x14ac:dyDescent="0.3">
      <c r="H341">
        <f t="shared" ref="H341" si="1001">H339+1</f>
        <v>167</v>
      </c>
      <c r="I341">
        <f t="shared" ref="I341" si="1002">J340</f>
        <v>9.7168860450919964E-2</v>
      </c>
      <c r="J341">
        <f t="shared" ref="J341" si="1003">I341</f>
        <v>9.7168860450919964E-2</v>
      </c>
      <c r="L341">
        <v>3.34</v>
      </c>
      <c r="M341">
        <v>0.83154831903066118</v>
      </c>
      <c r="N341">
        <v>0.46785287857412933</v>
      </c>
      <c r="O341">
        <v>0.83154831903066118</v>
      </c>
      <c r="P341">
        <v>0.46785287857412933</v>
      </c>
      <c r="Q341">
        <v>0.83154831903066118</v>
      </c>
      <c r="R341">
        <v>0.46785287857412933</v>
      </c>
      <c r="S341">
        <v>0.83154831903066118</v>
      </c>
      <c r="T341">
        <v>0.46785287857412933</v>
      </c>
      <c r="U341">
        <v>0.83154831903066118</v>
      </c>
      <c r="V341">
        <v>0.46785287857412933</v>
      </c>
      <c r="W341">
        <v>0.83154831903066118</v>
      </c>
      <c r="X341">
        <v>0.46785287857412933</v>
      </c>
      <c r="Y341">
        <v>0.83154831903066118</v>
      </c>
      <c r="Z341">
        <v>0.46785287857412933</v>
      </c>
      <c r="AA341">
        <v>0.83154831903066118</v>
      </c>
      <c r="AB341">
        <v>0.46785287857412933</v>
      </c>
      <c r="AC341">
        <v>0.83154831903066118</v>
      </c>
      <c r="AD341">
        <v>0.46785287857412933</v>
      </c>
      <c r="AE341">
        <v>0.83154831903066118</v>
      </c>
      <c r="AF341">
        <v>0.46785287857412933</v>
      </c>
      <c r="AG341">
        <v>0.83154831903066118</v>
      </c>
    </row>
    <row r="342" spans="8:33" x14ac:dyDescent="0.3">
      <c r="H342">
        <f t="shared" ref="H342" si="1004">H339+1</f>
        <v>167</v>
      </c>
      <c r="I342">
        <f t="shared" ref="I342" si="1005">J340</f>
        <v>9.7168860450919964E-2</v>
      </c>
      <c r="J342">
        <f t="shared" ref="J342" si="1006">$E$3*I342*(1-I342)</f>
        <v>0.35090829203835844</v>
      </c>
      <c r="L342">
        <v>3.35</v>
      </c>
      <c r="M342">
        <v>0.83341735342168777</v>
      </c>
      <c r="N342">
        <v>0.46509010926487909</v>
      </c>
      <c r="O342">
        <v>0.83341735342168732</v>
      </c>
      <c r="P342">
        <v>0.46509010926488015</v>
      </c>
      <c r="Q342">
        <v>0.83341735342168777</v>
      </c>
      <c r="R342">
        <v>0.46509010926487909</v>
      </c>
      <c r="S342">
        <v>0.83341735342168732</v>
      </c>
      <c r="T342">
        <v>0.46509010926488015</v>
      </c>
      <c r="U342">
        <v>0.83341735342168777</v>
      </c>
      <c r="V342">
        <v>0.46509010926487909</v>
      </c>
      <c r="W342">
        <v>0.83341735342168732</v>
      </c>
      <c r="X342">
        <v>0.46509010926488015</v>
      </c>
      <c r="Y342">
        <v>0.83341735342168777</v>
      </c>
      <c r="Z342">
        <v>0.46509010926487909</v>
      </c>
      <c r="AA342">
        <v>0.83341735342168732</v>
      </c>
      <c r="AB342">
        <v>0.46509010926488015</v>
      </c>
      <c r="AC342">
        <v>0.83341735342168777</v>
      </c>
      <c r="AD342">
        <v>0.46509010926487909</v>
      </c>
      <c r="AE342">
        <v>0.83341735342168732</v>
      </c>
      <c r="AF342">
        <v>0.46509010926488015</v>
      </c>
      <c r="AG342">
        <v>0.83341735342168777</v>
      </c>
    </row>
    <row r="343" spans="8:33" x14ac:dyDescent="0.3">
      <c r="H343">
        <f t="shared" ref="H343" si="1007">H341+1</f>
        <v>168</v>
      </c>
      <c r="I343">
        <f t="shared" ref="I343" si="1008">J342</f>
        <v>0.35090829203835844</v>
      </c>
      <c r="J343">
        <f t="shared" ref="J343" si="1009">I343</f>
        <v>0.35090829203835844</v>
      </c>
      <c r="L343">
        <v>3.36</v>
      </c>
      <c r="M343">
        <v>0.83524356861149762</v>
      </c>
      <c r="N343">
        <v>0.46237547900755038</v>
      </c>
      <c r="O343">
        <v>0.83524356861149807</v>
      </c>
      <c r="P343">
        <v>0.46237547900754933</v>
      </c>
      <c r="Q343">
        <v>0.83524356861149762</v>
      </c>
      <c r="R343">
        <v>0.46237547900755038</v>
      </c>
      <c r="S343">
        <v>0.83524356861149807</v>
      </c>
      <c r="T343">
        <v>0.46237547900754933</v>
      </c>
      <c r="U343">
        <v>0.83524356861149762</v>
      </c>
      <c r="V343">
        <v>0.46237547900755038</v>
      </c>
      <c r="W343">
        <v>0.83524356861149807</v>
      </c>
      <c r="X343">
        <v>0.46237547900754933</v>
      </c>
      <c r="Y343">
        <v>0.83524356861149762</v>
      </c>
      <c r="Z343">
        <v>0.46237547900755038</v>
      </c>
      <c r="AA343">
        <v>0.83524356861149807</v>
      </c>
      <c r="AB343">
        <v>0.46237547900754933</v>
      </c>
      <c r="AC343">
        <v>0.83524356861149762</v>
      </c>
      <c r="AD343">
        <v>0.46237547900755038</v>
      </c>
      <c r="AE343">
        <v>0.83524356861149807</v>
      </c>
      <c r="AF343">
        <v>0.46237547900754933</v>
      </c>
      <c r="AG343">
        <v>0.83524356861149762</v>
      </c>
    </row>
    <row r="344" spans="8:33" x14ac:dyDescent="0.3">
      <c r="H344">
        <f t="shared" ref="H344" si="1010">H341+1</f>
        <v>168</v>
      </c>
      <c r="I344">
        <f t="shared" ref="I344" si="1011">J342</f>
        <v>0.35090829203835844</v>
      </c>
      <c r="J344">
        <f t="shared" ref="J344" si="1012">$E$3*I344*(1-I344)</f>
        <v>0.91108665046832238</v>
      </c>
      <c r="L344">
        <v>3.37</v>
      </c>
      <c r="M344">
        <v>0.83702875786031761</v>
      </c>
      <c r="N344">
        <v>0.45970714718419287</v>
      </c>
      <c r="O344">
        <v>0.83702875786031761</v>
      </c>
      <c r="P344">
        <v>0.45970714718419287</v>
      </c>
      <c r="Q344">
        <v>0.83702875786031761</v>
      </c>
      <c r="R344">
        <v>0.45970714718419287</v>
      </c>
      <c r="S344">
        <v>0.83702875786031761</v>
      </c>
      <c r="T344">
        <v>0.45970714718419287</v>
      </c>
      <c r="U344">
        <v>0.83702875786031761</v>
      </c>
      <c r="V344">
        <v>0.45970714718419287</v>
      </c>
      <c r="W344">
        <v>0.83702875786031761</v>
      </c>
      <c r="X344">
        <v>0.45970714718419287</v>
      </c>
      <c r="Y344">
        <v>0.83702875786031761</v>
      </c>
      <c r="Z344">
        <v>0.45970714718419287</v>
      </c>
      <c r="AA344">
        <v>0.83702875786031761</v>
      </c>
      <c r="AB344">
        <v>0.45970714718419287</v>
      </c>
      <c r="AC344">
        <v>0.83702875786031761</v>
      </c>
      <c r="AD344">
        <v>0.45970714718419287</v>
      </c>
      <c r="AE344">
        <v>0.83702875786031761</v>
      </c>
      <c r="AF344">
        <v>0.45970714718419287</v>
      </c>
      <c r="AG344">
        <v>0.83702875786031761</v>
      </c>
    </row>
    <row r="345" spans="8:33" x14ac:dyDescent="0.3">
      <c r="H345">
        <f t="shared" ref="H345" si="1013">H343+1</f>
        <v>169</v>
      </c>
      <c r="I345">
        <f t="shared" ref="I345" si="1014">J344</f>
        <v>0.91108665046832238</v>
      </c>
      <c r="J345">
        <f t="shared" ref="J345" si="1015">I345</f>
        <v>0.91108665046832238</v>
      </c>
      <c r="L345">
        <v>3.38</v>
      </c>
      <c r="M345">
        <v>0.83877459672035659</v>
      </c>
      <c r="N345">
        <v>0.45708339144532401</v>
      </c>
      <c r="O345">
        <v>0.83877459672035659</v>
      </c>
      <c r="P345">
        <v>0.45708339144532401</v>
      </c>
      <c r="Q345">
        <v>0.83877459672035659</v>
      </c>
      <c r="R345">
        <v>0.45708339144532401</v>
      </c>
      <c r="S345">
        <v>0.83877459672035659</v>
      </c>
      <c r="T345">
        <v>0.45708339144532401</v>
      </c>
      <c r="U345">
        <v>0.83877459672035659</v>
      </c>
      <c r="V345">
        <v>0.45708339144532401</v>
      </c>
      <c r="W345">
        <v>0.83877459672035659</v>
      </c>
      <c r="X345">
        <v>0.45708339144532401</v>
      </c>
      <c r="Y345">
        <v>0.83877459672035659</v>
      </c>
      <c r="Z345">
        <v>0.45708339144532401</v>
      </c>
      <c r="AA345">
        <v>0.83877459672035659</v>
      </c>
      <c r="AB345">
        <v>0.45708339144532401</v>
      </c>
      <c r="AC345">
        <v>0.83877459672035659</v>
      </c>
      <c r="AD345">
        <v>0.45708339144532401</v>
      </c>
      <c r="AE345">
        <v>0.83877459672035659</v>
      </c>
      <c r="AF345">
        <v>0.45708339144532401</v>
      </c>
      <c r="AG345">
        <v>0.83877459672035659</v>
      </c>
    </row>
    <row r="346" spans="8:33" x14ac:dyDescent="0.3">
      <c r="H346">
        <f t="shared" ref="H346" si="1016">H343+1</f>
        <v>169</v>
      </c>
      <c r="I346">
        <f t="shared" ref="I346" si="1017">J344</f>
        <v>0.91108665046832238</v>
      </c>
      <c r="J346">
        <f t="shared" ref="J346" si="1018">$E$3*I346*(1-I346)</f>
        <v>0.32403106322694136</v>
      </c>
      <c r="L346">
        <v>3.39</v>
      </c>
      <c r="M346">
        <v>0.84048265365202401</v>
      </c>
      <c r="N346">
        <v>0.45450259708543717</v>
      </c>
      <c r="O346">
        <v>0.84048265365202157</v>
      </c>
      <c r="P346">
        <v>0.45450259708544283</v>
      </c>
      <c r="Q346">
        <v>0.84048265365202324</v>
      </c>
      <c r="R346">
        <v>0.454502597085439</v>
      </c>
      <c r="S346">
        <v>0.84048265365202202</v>
      </c>
      <c r="T346">
        <v>0.45450259708544183</v>
      </c>
      <c r="U346">
        <v>0.8404826536520229</v>
      </c>
      <c r="V346">
        <v>0.45450259708543972</v>
      </c>
      <c r="W346">
        <v>0.84048265365202235</v>
      </c>
      <c r="X346">
        <v>0.454502597085441</v>
      </c>
      <c r="Y346">
        <v>0.84048265365202257</v>
      </c>
      <c r="Z346">
        <v>0.4545025970854405</v>
      </c>
      <c r="AA346">
        <v>0.84048265365202257</v>
      </c>
      <c r="AB346">
        <v>0.4545025970854405</v>
      </c>
      <c r="AC346">
        <v>0.84048265365202257</v>
      </c>
      <c r="AD346">
        <v>0.4545025970854405</v>
      </c>
      <c r="AE346">
        <v>0.84048265365202257</v>
      </c>
      <c r="AF346">
        <v>0.4545025970854405</v>
      </c>
      <c r="AG346">
        <v>0.84048265365202257</v>
      </c>
    </row>
    <row r="347" spans="8:33" x14ac:dyDescent="0.3">
      <c r="H347">
        <f t="shared" ref="H347" si="1019">H345+1</f>
        <v>170</v>
      </c>
      <c r="I347">
        <f t="shared" ref="I347" si="1020">J346</f>
        <v>0.32403106322694136</v>
      </c>
      <c r="J347">
        <f t="shared" ref="J347" si="1021">I347</f>
        <v>0.32403106322694136</v>
      </c>
      <c r="L347">
        <v>3.4</v>
      </c>
      <c r="M347">
        <v>0.84215439943231685</v>
      </c>
      <c r="N347">
        <v>0.45196324762697593</v>
      </c>
      <c r="O347">
        <v>0.84215439943293935</v>
      </c>
      <c r="P347">
        <v>0.45196324762552759</v>
      </c>
      <c r="Q347">
        <v>0.84215439943246639</v>
      </c>
      <c r="R347">
        <v>0.45196324762662798</v>
      </c>
      <c r="S347">
        <v>0.84215439943282566</v>
      </c>
      <c r="T347">
        <v>0.45196324762579215</v>
      </c>
      <c r="U347">
        <v>0.84215439943255266</v>
      </c>
      <c r="V347">
        <v>0.45196324762642726</v>
      </c>
      <c r="W347">
        <v>0.84215439943276016</v>
      </c>
      <c r="X347">
        <v>0.45196324762594453</v>
      </c>
      <c r="Y347">
        <v>0.84215439943260251</v>
      </c>
      <c r="Z347">
        <v>0.45196324762631129</v>
      </c>
      <c r="AA347">
        <v>0.84215439943272219</v>
      </c>
      <c r="AB347">
        <v>0.45196324762603285</v>
      </c>
      <c r="AC347">
        <v>0.84215439943263115</v>
      </c>
      <c r="AD347">
        <v>0.45196324762624462</v>
      </c>
      <c r="AE347">
        <v>0.84215439943270054</v>
      </c>
      <c r="AF347">
        <v>0.45196324762608325</v>
      </c>
      <c r="AG347">
        <v>0.84215439943264769</v>
      </c>
    </row>
    <row r="348" spans="8:33" x14ac:dyDescent="0.3">
      <c r="H348">
        <f t="shared" ref="H348" si="1022">H345+1</f>
        <v>170</v>
      </c>
      <c r="I348">
        <f t="shared" ref="I348" si="1023">J346</f>
        <v>0.32403106322694136</v>
      </c>
      <c r="J348">
        <f t="shared" ref="J348" si="1024">$E$3*I348*(1-I348)</f>
        <v>0.87613973316383709</v>
      </c>
      <c r="L348">
        <v>3.41</v>
      </c>
      <c r="M348">
        <v>0.8437912154041759</v>
      </c>
      <c r="N348">
        <v>0.44946391671923563</v>
      </c>
      <c r="O348">
        <v>0.84379121561744141</v>
      </c>
      <c r="P348">
        <v>0.44946391621920129</v>
      </c>
      <c r="Q348">
        <v>0.84379121544510127</v>
      </c>
      <c r="R348">
        <v>0.44946391662327972</v>
      </c>
      <c r="S348">
        <v>0.84379121558436954</v>
      </c>
      <c r="T348">
        <v>0.44946391629674348</v>
      </c>
      <c r="U348">
        <v>0.84379121547182667</v>
      </c>
      <c r="V348">
        <v>0.44946391656061779</v>
      </c>
      <c r="W348">
        <v>0.84379121556277259</v>
      </c>
      <c r="X348">
        <v>0.44946391634738092</v>
      </c>
      <c r="Y348">
        <v>0.84379121548927927</v>
      </c>
      <c r="Z348">
        <v>0.44946391651969753</v>
      </c>
      <c r="AA348">
        <v>0.8437912155486692</v>
      </c>
      <c r="AB348">
        <v>0.44946391638044847</v>
      </c>
      <c r="AC348">
        <v>0.84379121550067615</v>
      </c>
      <c r="AD348">
        <v>0.44946391649297568</v>
      </c>
      <c r="AE348">
        <v>0.84379121553945935</v>
      </c>
      <c r="AF348">
        <v>0.44946391640204242</v>
      </c>
      <c r="AG348">
        <v>0.84379121550811864</v>
      </c>
    </row>
    <row r="349" spans="8:33" x14ac:dyDescent="0.3">
      <c r="H349">
        <f t="shared" ref="H349" si="1025">H347+1</f>
        <v>171</v>
      </c>
      <c r="I349">
        <f t="shared" ref="I349" si="1026">J348</f>
        <v>0.87613973316383709</v>
      </c>
      <c r="J349">
        <f t="shared" ref="J349" si="1027">I349</f>
        <v>0.87613973316383709</v>
      </c>
      <c r="L349">
        <v>3.42</v>
      </c>
      <c r="M349">
        <v>0.84539438833095393</v>
      </c>
      <c r="N349">
        <v>0.4470032904624428</v>
      </c>
      <c r="O349">
        <v>0.84539441282141592</v>
      </c>
      <c r="P349">
        <v>0.44700323260378266</v>
      </c>
      <c r="Q349">
        <v>0.84539439184778509</v>
      </c>
      <c r="R349">
        <v>0.44700328215393748</v>
      </c>
      <c r="S349">
        <v>0.84539440980960334</v>
      </c>
      <c r="T349">
        <v>0.44700323971918315</v>
      </c>
      <c r="U349">
        <v>0.84539439442710262</v>
      </c>
      <c r="V349">
        <v>0.44700327606030588</v>
      </c>
      <c r="W349">
        <v>0.84539440760067674</v>
      </c>
      <c r="X349">
        <v>0.44700324493776727</v>
      </c>
      <c r="Y349">
        <v>0.84539439631882818</v>
      </c>
      <c r="Z349">
        <v>0.4470032715911087</v>
      </c>
      <c r="AA349">
        <v>0.84539440598060334</v>
      </c>
      <c r="AB349">
        <v>0.44700324876518704</v>
      </c>
      <c r="AC349">
        <v>0.84539439770625924</v>
      </c>
      <c r="AD349">
        <v>0.44700326831330606</v>
      </c>
      <c r="AE349">
        <v>0.84539440479240768</v>
      </c>
      <c r="AF349">
        <v>0.44700325157229659</v>
      </c>
      <c r="AG349">
        <v>0.84539439872383026</v>
      </c>
    </row>
    <row r="350" spans="8:33" x14ac:dyDescent="0.3">
      <c r="H350">
        <f t="shared" ref="H350" si="1028">H347+1</f>
        <v>171</v>
      </c>
      <c r="I350">
        <f t="shared" ref="I350" si="1029">J348</f>
        <v>0.87613973316383709</v>
      </c>
      <c r="J350">
        <f t="shared" ref="J350" si="1030">$E$3*I350*(1-I350)</f>
        <v>0.43407560454174976</v>
      </c>
      <c r="L350">
        <v>3.43</v>
      </c>
      <c r="M350">
        <v>0.84696498229767514</v>
      </c>
      <c r="N350">
        <v>0.44458048263296679</v>
      </c>
      <c r="O350">
        <v>0.8469653624351815</v>
      </c>
      <c r="P350">
        <v>0.44457957783686536</v>
      </c>
      <c r="Q350">
        <v>0.84696501844890171</v>
      </c>
      <c r="R350">
        <v>0.4445803965865438</v>
      </c>
      <c r="S350">
        <v>0.84696532972220862</v>
      </c>
      <c r="T350">
        <v>0.44457965569970359</v>
      </c>
      <c r="U350">
        <v>0.84696504805109363</v>
      </c>
      <c r="V350">
        <v>0.44458032612799492</v>
      </c>
      <c r="W350">
        <v>0.84696530293536765</v>
      </c>
      <c r="X350">
        <v>0.44457971945726216</v>
      </c>
      <c r="Y350">
        <v>0.84696507229065532</v>
      </c>
      <c r="Z350">
        <v>0.44458026843346732</v>
      </c>
      <c r="AA350">
        <v>0.84696528100111057</v>
      </c>
      <c r="AB350">
        <v>0.44457977166478396</v>
      </c>
      <c r="AC350">
        <v>0.8469650921390649</v>
      </c>
      <c r="AD350">
        <v>0.44458022119067064</v>
      </c>
      <c r="AE350">
        <v>0.84696526304036679</v>
      </c>
      <c r="AF350">
        <v>0.4445798144146188</v>
      </c>
      <c r="AG350">
        <v>0.84696510839180894</v>
      </c>
    </row>
    <row r="351" spans="8:33" x14ac:dyDescent="0.3">
      <c r="H351">
        <f t="shared" ref="H351" si="1031">H349+1</f>
        <v>172</v>
      </c>
      <c r="I351">
        <f t="shared" ref="I351" si="1032">J350</f>
        <v>0.43407560454174976</v>
      </c>
      <c r="J351">
        <f t="shared" ref="J351" si="1033">I351</f>
        <v>0.43407560454174976</v>
      </c>
      <c r="L351">
        <v>3.44</v>
      </c>
      <c r="M351">
        <v>0.84860132491649998</v>
      </c>
      <c r="N351">
        <v>0.44196127995662521</v>
      </c>
      <c r="O351">
        <v>0.84841238399649999</v>
      </c>
      <c r="P351">
        <v>0.44241430873189147</v>
      </c>
      <c r="Q351">
        <v>0.84859257527443888</v>
      </c>
      <c r="R351">
        <v>0.44198226463455925</v>
      </c>
      <c r="S351">
        <v>0.84842076179774595</v>
      </c>
      <c r="T351">
        <v>0.44239422625407759</v>
      </c>
      <c r="U351">
        <v>0.84858461741909941</v>
      </c>
      <c r="V351">
        <v>0.44200134987580353</v>
      </c>
      <c r="W351">
        <v>0.84842837864817244</v>
      </c>
      <c r="X351">
        <v>0.44237596743696384</v>
      </c>
      <c r="Y351">
        <v>0.848577379796839</v>
      </c>
      <c r="Z351">
        <v>0.44201870741125771</v>
      </c>
      <c r="AA351">
        <v>0.84843530380150101</v>
      </c>
      <c r="AB351">
        <v>0.44235936638275958</v>
      </c>
      <c r="AC351">
        <v>0.84857079730533846</v>
      </c>
      <c r="AD351">
        <v>0.44203449347476703</v>
      </c>
      <c r="AE351">
        <v>0.84844160018325965</v>
      </c>
      <c r="AF351">
        <v>0.44234427234034923</v>
      </c>
      <c r="AG351">
        <v>0.84856481071404444</v>
      </c>
    </row>
    <row r="352" spans="8:33" x14ac:dyDescent="0.3">
      <c r="H352">
        <f t="shared" ref="H352" si="1034">H349+1</f>
        <v>172</v>
      </c>
      <c r="I352">
        <f t="shared" ref="I352" si="1035">J350</f>
        <v>0.43407560454174976</v>
      </c>
      <c r="J352">
        <f t="shared" ref="J352" si="1036">$E$3*I352*(1-I352)</f>
        <v>0.98261589633385693</v>
      </c>
      <c r="L352">
        <v>3.45</v>
      </c>
      <c r="M352">
        <v>0.85384673223579532</v>
      </c>
      <c r="N352">
        <v>0.43053409079687033</v>
      </c>
      <c r="O352">
        <v>0.84585198173210985</v>
      </c>
      <c r="P352">
        <v>0.44983310322530468</v>
      </c>
      <c r="Q352">
        <v>0.85381732451458991</v>
      </c>
      <c r="R352">
        <v>0.43060588801301397</v>
      </c>
      <c r="S352">
        <v>0.84588637741430495</v>
      </c>
      <c r="T352">
        <v>0.4497510180212711</v>
      </c>
      <c r="U352">
        <v>0.85378888734484981</v>
      </c>
      <c r="V352">
        <v>0.43067531000996145</v>
      </c>
      <c r="W352">
        <v>0.84591960138435851</v>
      </c>
      <c r="X352">
        <v>0.44967172135439853</v>
      </c>
      <c r="Y352">
        <v>0.85376137207156888</v>
      </c>
      <c r="Z352">
        <v>0.43074247612364147</v>
      </c>
      <c r="AA352">
        <v>0.84595171408347891</v>
      </c>
      <c r="AB352">
        <v>0.44959506975332492</v>
      </c>
      <c r="AC352">
        <v>0.8537347333735561</v>
      </c>
      <c r="AD352">
        <v>0.43080749749773017</v>
      </c>
      <c r="AE352">
        <v>0.84598277171128322</v>
      </c>
      <c r="AF352">
        <v>0.44952092979247438</v>
      </c>
      <c r="AG352">
        <v>0.85370892897489381</v>
      </c>
    </row>
    <row r="353" spans="8:33" x14ac:dyDescent="0.3">
      <c r="H353">
        <f t="shared" ref="H353" si="1037">H351+1</f>
        <v>173</v>
      </c>
      <c r="I353">
        <f t="shared" ref="I353" si="1038">J352</f>
        <v>0.98261589633385693</v>
      </c>
      <c r="J353">
        <f t="shared" ref="J353" si="1039">I353</f>
        <v>0.98261589633385693</v>
      </c>
      <c r="L353">
        <v>3.46</v>
      </c>
      <c r="M353">
        <v>0.86134235527164804</v>
      </c>
      <c r="N353">
        <v>0.41323368991211379</v>
      </c>
      <c r="O353">
        <v>0.83895176172071528</v>
      </c>
      <c r="P353">
        <v>0.46748649316342517</v>
      </c>
      <c r="Q353">
        <v>0.8613423366812305</v>
      </c>
      <c r="R353">
        <v>0.41323373639724897</v>
      </c>
      <c r="S353">
        <v>0.83895178963144612</v>
      </c>
      <c r="T353">
        <v>0.46748642769751403</v>
      </c>
      <c r="U353">
        <v>0.86134232195181326</v>
      </c>
      <c r="V353">
        <v>0.41323377322799354</v>
      </c>
      <c r="W353">
        <v>0.83895181174545053</v>
      </c>
      <c r="X353">
        <v>0.46748637582808922</v>
      </c>
      <c r="Y353">
        <v>0.86134231028149888</v>
      </c>
      <c r="Z353">
        <v>0.41323380240948432</v>
      </c>
      <c r="AA353">
        <v>0.83895182926666523</v>
      </c>
      <c r="AB353">
        <v>0.46748633473126378</v>
      </c>
      <c r="AC353">
        <v>0.86134230103494236</v>
      </c>
      <c r="AD353">
        <v>0.41323382553039489</v>
      </c>
      <c r="AE353">
        <v>0.83895184314896876</v>
      </c>
      <c r="AF353">
        <v>0.46748630216967246</v>
      </c>
      <c r="AG353">
        <v>0.86134229370875759</v>
      </c>
    </row>
    <row r="354" spans="8:33" x14ac:dyDescent="0.3">
      <c r="H354">
        <f t="shared" ref="H354" si="1040">H351+1</f>
        <v>173</v>
      </c>
      <c r="I354">
        <f t="shared" ref="I354" si="1041">J352</f>
        <v>0.98261589633385693</v>
      </c>
      <c r="J354">
        <f t="shared" ref="J354" si="1042">$E$3*I354*(1-I354)</f>
        <v>6.8327586423471448E-2</v>
      </c>
      <c r="L354">
        <v>3.47</v>
      </c>
      <c r="M354">
        <v>0.86590511786332836</v>
      </c>
      <c r="N354">
        <v>0.40291365318334055</v>
      </c>
      <c r="O354">
        <v>0.83479261717842967</v>
      </c>
      <c r="P354">
        <v>0.47856124508537656</v>
      </c>
      <c r="Q354">
        <v>0.86590511786335622</v>
      </c>
      <c r="R354">
        <v>0.40291365318326977</v>
      </c>
      <c r="S354">
        <v>0.83479261717838216</v>
      </c>
      <c r="T354">
        <v>0.47856124508548697</v>
      </c>
      <c r="U354">
        <v>0.86590511786337254</v>
      </c>
      <c r="V354">
        <v>0.40291365318322836</v>
      </c>
      <c r="W354">
        <v>0.83479261717835418</v>
      </c>
      <c r="X354">
        <v>0.47856124508555192</v>
      </c>
      <c r="Y354">
        <v>0.86590511786338242</v>
      </c>
      <c r="Z354">
        <v>0.40291365318320327</v>
      </c>
      <c r="AA354">
        <v>0.8347926171783373</v>
      </c>
      <c r="AB354">
        <v>0.47856124508559111</v>
      </c>
      <c r="AC354">
        <v>0.86590511786338797</v>
      </c>
      <c r="AD354">
        <v>0.40291365318318917</v>
      </c>
      <c r="AE354">
        <v>0.83479261717832776</v>
      </c>
      <c r="AF354">
        <v>0.47856124508561332</v>
      </c>
      <c r="AG354">
        <v>0.8659051178633913</v>
      </c>
    </row>
    <row r="355" spans="8:33" x14ac:dyDescent="0.3">
      <c r="H355">
        <f t="shared" ref="H355" si="1043">H353+1</f>
        <v>174</v>
      </c>
      <c r="I355">
        <f t="shared" ref="I355" si="1044">J354</f>
        <v>6.8327586423471448E-2</v>
      </c>
      <c r="J355">
        <f t="shared" ref="J355" si="1045">I355</f>
        <v>6.8327586423471448E-2</v>
      </c>
      <c r="L355">
        <v>3.48</v>
      </c>
      <c r="M355">
        <v>0.86942620336764942</v>
      </c>
      <c r="N355">
        <v>0.39506449532346716</v>
      </c>
      <c r="O355">
        <v>0.83168011870681902</v>
      </c>
      <c r="P355">
        <v>0.48715928001411396</v>
      </c>
      <c r="Q355">
        <v>0.86942620336764931</v>
      </c>
      <c r="R355">
        <v>0.39506449532346744</v>
      </c>
      <c r="S355">
        <v>0.83168011870681935</v>
      </c>
      <c r="T355">
        <v>0.48715928001411318</v>
      </c>
      <c r="U355">
        <v>0.86942620336764942</v>
      </c>
      <c r="V355">
        <v>0.39506449532346716</v>
      </c>
      <c r="W355">
        <v>0.83168011870681902</v>
      </c>
      <c r="X355">
        <v>0.48715928001411396</v>
      </c>
      <c r="Y355">
        <v>0.86942620336764931</v>
      </c>
      <c r="Z355">
        <v>0.39506449532346744</v>
      </c>
      <c r="AA355">
        <v>0.83168011870681935</v>
      </c>
      <c r="AB355">
        <v>0.48715928001411318</v>
      </c>
      <c r="AC355">
        <v>0.86942620336764942</v>
      </c>
      <c r="AD355">
        <v>0.39506449532346716</v>
      </c>
      <c r="AE355">
        <v>0.83168011870681902</v>
      </c>
      <c r="AF355">
        <v>0.48715928001411396</v>
      </c>
      <c r="AG355">
        <v>0.86942620336764931</v>
      </c>
    </row>
    <row r="356" spans="8:33" x14ac:dyDescent="0.3">
      <c r="H356">
        <f t="shared" ref="H356" si="1046">H353+1</f>
        <v>174</v>
      </c>
      <c r="I356">
        <f t="shared" ref="I356" si="1047">J354</f>
        <v>6.8327586423471448E-2</v>
      </c>
      <c r="J356">
        <f t="shared" ref="J356" si="1048">$E$3*I356*(1-I356)</f>
        <v>0.25463570942805797</v>
      </c>
      <c r="L356">
        <v>3.49</v>
      </c>
      <c r="M356">
        <v>0.8723923530399269</v>
      </c>
      <c r="N356">
        <v>0.38852053453687874</v>
      </c>
      <c r="O356">
        <v>0.82912742744239809</v>
      </c>
      <c r="P356">
        <v>0.49444622640296998</v>
      </c>
      <c r="Q356">
        <v>0.87239235303992702</v>
      </c>
      <c r="R356">
        <v>0.38852053453687846</v>
      </c>
      <c r="S356">
        <v>0.82912742744239787</v>
      </c>
      <c r="T356">
        <v>0.49444622640297048</v>
      </c>
      <c r="U356">
        <v>0.8723923530399269</v>
      </c>
      <c r="V356">
        <v>0.38852053453687874</v>
      </c>
      <c r="W356">
        <v>0.82912742744239809</v>
      </c>
      <c r="X356">
        <v>0.49444622640296998</v>
      </c>
      <c r="Y356">
        <v>0.87239235303992702</v>
      </c>
      <c r="Z356">
        <v>0.38852053453687846</v>
      </c>
      <c r="AA356">
        <v>0.82912742744239787</v>
      </c>
      <c r="AB356">
        <v>0.49444622640297048</v>
      </c>
      <c r="AC356">
        <v>0.8723923530399269</v>
      </c>
      <c r="AD356">
        <v>0.38852053453687874</v>
      </c>
      <c r="AE356">
        <v>0.82912742744239809</v>
      </c>
      <c r="AF356">
        <v>0.49444622640296998</v>
      </c>
      <c r="AG356">
        <v>0.87239235303992702</v>
      </c>
    </row>
    <row r="357" spans="8:33" x14ac:dyDescent="0.3">
      <c r="H357">
        <f t="shared" ref="H357" si="1049">H355+1</f>
        <v>175</v>
      </c>
      <c r="I357">
        <f t="shared" ref="I357" si="1050">J356</f>
        <v>0.25463570942805797</v>
      </c>
      <c r="J357">
        <f t="shared" ref="J357" si="1051">I357</f>
        <v>0.25463570942805797</v>
      </c>
      <c r="L357">
        <v>3.5</v>
      </c>
      <c r="M357">
        <v>0.8269407065914387</v>
      </c>
      <c r="N357">
        <v>0.50088421030721786</v>
      </c>
      <c r="O357">
        <v>0.8749972636024641</v>
      </c>
      <c r="P357">
        <v>0.38281968301732416</v>
      </c>
      <c r="Q357">
        <v>0.8269407065914387</v>
      </c>
      <c r="R357">
        <v>0.50088421030721786</v>
      </c>
      <c r="S357">
        <v>0.8749972636024641</v>
      </c>
      <c r="T357">
        <v>0.38281968301732416</v>
      </c>
      <c r="U357">
        <v>0.8269407065914387</v>
      </c>
      <c r="V357">
        <v>0.50088421030721786</v>
      </c>
      <c r="W357">
        <v>0.8749972636024641</v>
      </c>
      <c r="X357">
        <v>0.38281968301732416</v>
      </c>
      <c r="Y357">
        <v>0.8269407065914387</v>
      </c>
      <c r="Z357">
        <v>0.50088421030721786</v>
      </c>
      <c r="AA357">
        <v>0.8749972636024641</v>
      </c>
      <c r="AB357">
        <v>0.38281968301732416</v>
      </c>
      <c r="AC357">
        <v>0.8269407065914387</v>
      </c>
      <c r="AD357">
        <v>0.50088421030721786</v>
      </c>
      <c r="AE357">
        <v>0.8749972636024641</v>
      </c>
      <c r="AF357">
        <v>0.38281968301732416</v>
      </c>
      <c r="AG357">
        <v>0.8269407065914387</v>
      </c>
    </row>
    <row r="358" spans="8:33" x14ac:dyDescent="0.3">
      <c r="H358">
        <f t="shared" ref="H358" si="1052">H355+1</f>
        <v>175</v>
      </c>
      <c r="I358">
        <f t="shared" ref="I358" si="1053">J356</f>
        <v>0.25463570942805797</v>
      </c>
      <c r="J358">
        <f t="shared" ref="J358" si="1054">$E$3*I358*(1-I358)</f>
        <v>0.75918545964851036</v>
      </c>
      <c r="L358">
        <v>3.51</v>
      </c>
      <c r="M358">
        <v>0.82501893207392851</v>
      </c>
      <c r="N358">
        <v>0.50671305521526588</v>
      </c>
      <c r="O358">
        <v>0.8773418214627654</v>
      </c>
      <c r="P358">
        <v>0.37772215571082024</v>
      </c>
      <c r="Q358">
        <v>0.82501893207392873</v>
      </c>
      <c r="R358">
        <v>0.50671305521526533</v>
      </c>
      <c r="S358">
        <v>0.87734182146276551</v>
      </c>
      <c r="T358">
        <v>0.37772215571081996</v>
      </c>
      <c r="U358">
        <v>0.82501893207392851</v>
      </c>
      <c r="V358">
        <v>0.50671305521526588</v>
      </c>
      <c r="W358">
        <v>0.8773418214627654</v>
      </c>
      <c r="X358">
        <v>0.37772215571082024</v>
      </c>
      <c r="Y358">
        <v>0.82501893207392873</v>
      </c>
      <c r="Z358">
        <v>0.50671305521526533</v>
      </c>
      <c r="AA358">
        <v>0.87734182146276551</v>
      </c>
      <c r="AB358">
        <v>0.37772215571081996</v>
      </c>
      <c r="AC358">
        <v>0.82501893207392851</v>
      </c>
      <c r="AD358">
        <v>0.50671305521526588</v>
      </c>
      <c r="AE358">
        <v>0.8773418214627654</v>
      </c>
      <c r="AF358">
        <v>0.37772215571082024</v>
      </c>
      <c r="AG358">
        <v>0.82501893207392873</v>
      </c>
    </row>
    <row r="359" spans="8:33" x14ac:dyDescent="0.3">
      <c r="H359">
        <f t="shared" ref="H359" si="1055">H357+1</f>
        <v>176</v>
      </c>
      <c r="I359">
        <f t="shared" ref="I359" si="1056">J358</f>
        <v>0.75918545964851036</v>
      </c>
      <c r="J359">
        <f t="shared" ref="J359" si="1057">I359</f>
        <v>0.75918545964851036</v>
      </c>
      <c r="L359">
        <v>3.52</v>
      </c>
      <c r="M359">
        <v>0.8233013467952679</v>
      </c>
      <c r="N359">
        <v>0.51207636184448801</v>
      </c>
      <c r="O359">
        <v>0.87948664842579549</v>
      </c>
      <c r="P359">
        <v>0.37308439050627956</v>
      </c>
      <c r="Q359">
        <v>0.8233013467952679</v>
      </c>
      <c r="R359">
        <v>0.51207636184448801</v>
      </c>
      <c r="S359">
        <v>0.87948664842579549</v>
      </c>
      <c r="T359">
        <v>0.37308439050627956</v>
      </c>
      <c r="U359">
        <v>0.8233013467952679</v>
      </c>
      <c r="V359">
        <v>0.51207636184448801</v>
      </c>
      <c r="W359">
        <v>0.87948664842579549</v>
      </c>
      <c r="X359">
        <v>0.37308439050627956</v>
      </c>
      <c r="Y359">
        <v>0.8233013467952679</v>
      </c>
      <c r="Z359">
        <v>0.51207636184448801</v>
      </c>
      <c r="AA359">
        <v>0.87948664842579549</v>
      </c>
      <c r="AB359">
        <v>0.37308439050627956</v>
      </c>
      <c r="AC359">
        <v>0.8233013467952679</v>
      </c>
      <c r="AD359">
        <v>0.51207636184448801</v>
      </c>
      <c r="AE359">
        <v>0.87948664842579549</v>
      </c>
      <c r="AF359">
        <v>0.37308439050627956</v>
      </c>
      <c r="AG359">
        <v>0.8233013467952679</v>
      </c>
    </row>
    <row r="360" spans="8:33" x14ac:dyDescent="0.3">
      <c r="H360">
        <f t="shared" ref="H360" si="1058">H357+1</f>
        <v>176</v>
      </c>
      <c r="I360">
        <f t="shared" ref="I360" si="1059">J358</f>
        <v>0.75918545964851036</v>
      </c>
      <c r="J360">
        <f t="shared" ref="J360" si="1060">$E$3*I360*(1-I360)</f>
        <v>0.7312915900271616</v>
      </c>
      <c r="L360">
        <v>3.53</v>
      </c>
      <c r="M360">
        <v>0.82174794172575261</v>
      </c>
      <c r="N360">
        <v>0.51706826484320312</v>
      </c>
      <c r="O360">
        <v>0.88147162040340521</v>
      </c>
      <c r="P360">
        <v>0.36881229197860516</v>
      </c>
      <c r="Q360">
        <v>0.82174794198224899</v>
      </c>
      <c r="R360">
        <v>0.51706826426056129</v>
      </c>
      <c r="S360">
        <v>0.8814716204736146</v>
      </c>
      <c r="T360">
        <v>0.36881229178951791</v>
      </c>
      <c r="U360">
        <v>0.8217479418071193</v>
      </c>
      <c r="V360">
        <v>0.51706826465837541</v>
      </c>
      <c r="W360">
        <v>0.88147162042567728</v>
      </c>
      <c r="X360">
        <v>0.36881229191862219</v>
      </c>
      <c r="Y360">
        <v>0.82174794192669387</v>
      </c>
      <c r="Z360">
        <v>0.51706826438675701</v>
      </c>
      <c r="AA360">
        <v>0.88147162045840788</v>
      </c>
      <c r="AB360">
        <v>0.36881229183047254</v>
      </c>
      <c r="AC360">
        <v>0.82174794184505084</v>
      </c>
      <c r="AD360">
        <v>0.51706826457221244</v>
      </c>
      <c r="AE360">
        <v>0.88147162043606009</v>
      </c>
      <c r="AF360">
        <v>0.36881229189065934</v>
      </c>
      <c r="AG360">
        <v>0.82174794190079503</v>
      </c>
    </row>
    <row r="361" spans="8:33" x14ac:dyDescent="0.3">
      <c r="H361">
        <f t="shared" ref="H361" si="1061">H359+1</f>
        <v>177</v>
      </c>
      <c r="I361">
        <f t="shared" ref="I361" si="1062">J360</f>
        <v>0.7312915900271616</v>
      </c>
      <c r="J361">
        <f t="shared" ref="J361" si="1063">I361</f>
        <v>0.7312915900271616</v>
      </c>
      <c r="L361">
        <v>3.54</v>
      </c>
      <c r="M361">
        <v>0.82037814735236403</v>
      </c>
      <c r="N361">
        <v>0.52164676315469694</v>
      </c>
      <c r="O361">
        <v>0.8833412184630326</v>
      </c>
      <c r="P361">
        <v>0.36479526620456243</v>
      </c>
      <c r="Q361">
        <v>0.82028766705593925</v>
      </c>
      <c r="R361">
        <v>0.52185196857479788</v>
      </c>
      <c r="S361">
        <v>0.88330961980169742</v>
      </c>
      <c r="T361">
        <v>0.36488102320087273</v>
      </c>
      <c r="U361">
        <v>0.8203697318649994</v>
      </c>
      <c r="V361">
        <v>0.52166585156280931</v>
      </c>
      <c r="W361">
        <v>0.88333829170124645</v>
      </c>
      <c r="X361">
        <v>0.36480320956911816</v>
      </c>
      <c r="Y361">
        <v>0.82029527061444629</v>
      </c>
      <c r="Z361">
        <v>0.52183472626194594</v>
      </c>
      <c r="AA361">
        <v>0.8833122863408932</v>
      </c>
      <c r="AB361">
        <v>0.36487378663601455</v>
      </c>
      <c r="AC361">
        <v>0.82036280887516377</v>
      </c>
      <c r="AD361">
        <v>0.52168155424123819</v>
      </c>
      <c r="AE361">
        <v>0.8833358821281222</v>
      </c>
      <c r="AF361">
        <v>0.36480974921461257</v>
      </c>
      <c r="AG361">
        <v>0.82030153016774765</v>
      </c>
    </row>
    <row r="362" spans="8:33" x14ac:dyDescent="0.3">
      <c r="H362">
        <f t="shared" ref="H362" si="1064">H359+1</f>
        <v>177</v>
      </c>
      <c r="I362">
        <f t="shared" ref="I362" si="1065">J360</f>
        <v>0.7312915900271616</v>
      </c>
      <c r="J362">
        <f t="shared" ref="J362" si="1066">$E$3*I362*(1-I362)</f>
        <v>0.78601680153082965</v>
      </c>
      <c r="L362">
        <v>3.55</v>
      </c>
      <c r="M362">
        <v>0.82780511661683909</v>
      </c>
      <c r="N362">
        <v>0.50603050959536289</v>
      </c>
      <c r="O362">
        <v>0.88737089698677174</v>
      </c>
      <c r="P362">
        <v>0.35480044799520677</v>
      </c>
      <c r="Q362">
        <v>0.81265566984650617</v>
      </c>
      <c r="R362">
        <v>0.5404748340005554</v>
      </c>
      <c r="S362">
        <v>0.88168434673482754</v>
      </c>
      <c r="T362">
        <v>0.3703255610745082</v>
      </c>
      <c r="U362">
        <v>0.827805116607224</v>
      </c>
      <c r="V362">
        <v>0.50603050961774121</v>
      </c>
      <c r="W362">
        <v>0.88737089698581362</v>
      </c>
      <c r="X362">
        <v>0.35480044799784194</v>
      </c>
      <c r="Y362">
        <v>0.81265566984922266</v>
      </c>
      <c r="Z362">
        <v>0.54047483399452523</v>
      </c>
      <c r="AA362">
        <v>0.88168434673656038</v>
      </c>
      <c r="AB362">
        <v>0.37032556106981229</v>
      </c>
      <c r="AC362">
        <v>0.82780511660290057</v>
      </c>
      <c r="AD362">
        <v>0.5060305096278036</v>
      </c>
      <c r="AE362">
        <v>0.88737089698538274</v>
      </c>
      <c r="AF362">
        <v>0.35480044799902694</v>
      </c>
      <c r="AG362">
        <v>0.81265566985044413</v>
      </c>
    </row>
    <row r="363" spans="8:33" x14ac:dyDescent="0.3">
      <c r="H363">
        <f t="shared" ref="H363" si="1067">H361+1</f>
        <v>178</v>
      </c>
      <c r="I363">
        <f t="shared" ref="I363" si="1068">J362</f>
        <v>0.78601680153082965</v>
      </c>
      <c r="J363">
        <f t="shared" ref="J363" si="1069">I363</f>
        <v>0.78601680153082965</v>
      </c>
      <c r="L363">
        <v>3.56</v>
      </c>
      <c r="M363">
        <v>0.83331415360934791</v>
      </c>
      <c r="N363">
        <v>0.49448996301311515</v>
      </c>
      <c r="O363">
        <v>0.88989191659295519</v>
      </c>
      <c r="P363">
        <v>0.34882408441668056</v>
      </c>
      <c r="Q363">
        <v>0.80863919946926055</v>
      </c>
      <c r="R363">
        <v>0.55088096660146746</v>
      </c>
      <c r="S363">
        <v>0.88078361296621321</v>
      </c>
      <c r="T363">
        <v>0.37381367074317379</v>
      </c>
      <c r="U363">
        <v>0.83331415669892872</v>
      </c>
      <c r="V363">
        <v>0.4944899556809319</v>
      </c>
      <c r="W363">
        <v>0.88989191630530284</v>
      </c>
      <c r="X363">
        <v>0.34882408521521224</v>
      </c>
      <c r="Y363">
        <v>0.80863920032877801</v>
      </c>
      <c r="Z363">
        <v>0.55088096471266834</v>
      </c>
      <c r="AA363">
        <v>0.8807836136504732</v>
      </c>
      <c r="AB363">
        <v>0.37381366888802231</v>
      </c>
      <c r="AC363">
        <v>0.8333141550321741</v>
      </c>
      <c r="AD363">
        <v>0.49448995963646858</v>
      </c>
      <c r="AE363">
        <v>0.88989191646048438</v>
      </c>
      <c r="AF363">
        <v>0.34882408478442356</v>
      </c>
      <c r="AG363">
        <v>0.80863919986508903</v>
      </c>
    </row>
    <row r="364" spans="8:33" x14ac:dyDescent="0.3">
      <c r="H364">
        <f t="shared" ref="H364" si="1070">H361+1</f>
        <v>178</v>
      </c>
      <c r="I364">
        <f t="shared" ref="I364" si="1071">J362</f>
        <v>0.78601680153082965</v>
      </c>
      <c r="J364">
        <f t="shared" ref="J364" si="1072">$E$3*I364*(1-I364)</f>
        <v>0.672777556968296</v>
      </c>
      <c r="L364">
        <v>3.57</v>
      </c>
      <c r="M364">
        <v>0.84188145898770406</v>
      </c>
      <c r="N364">
        <v>0.47522793276156661</v>
      </c>
      <c r="O364">
        <v>0.89030925052450216</v>
      </c>
      <c r="P364">
        <v>0.34864151956935502</v>
      </c>
      <c r="Q364">
        <v>0.81071347913416203</v>
      </c>
      <c r="R364">
        <v>0.54784196796711038</v>
      </c>
      <c r="S364">
        <v>0.88432879158069133</v>
      </c>
      <c r="T364">
        <v>0.36518022646478809</v>
      </c>
      <c r="U364">
        <v>0.8276103543301736</v>
      </c>
      <c r="V364">
        <v>0.50933709697629936</v>
      </c>
      <c r="W364">
        <v>0.89218876247359702</v>
      </c>
      <c r="X364">
        <v>0.34339106928425972</v>
      </c>
      <c r="Y364">
        <v>0.80494090486765868</v>
      </c>
      <c r="Z364">
        <v>0.56052942900242186</v>
      </c>
      <c r="AA364">
        <v>0.87942019196196741</v>
      </c>
      <c r="AB364">
        <v>0.37856393501561131</v>
      </c>
      <c r="AC364">
        <v>0.83985421717235309</v>
      </c>
      <c r="AD364">
        <v>0.48016182652049644</v>
      </c>
      <c r="AE364">
        <v>0.89109501533659974</v>
      </c>
      <c r="AF364">
        <v>0.34644953965454739</v>
      </c>
      <c r="AG364">
        <v>0.80832745437588749</v>
      </c>
    </row>
    <row r="365" spans="8:33" x14ac:dyDescent="0.3">
      <c r="H365">
        <f t="shared" ref="H365" si="1073">H363+1</f>
        <v>179</v>
      </c>
      <c r="I365">
        <f t="shared" ref="I365" si="1074">J364</f>
        <v>0.672777556968296</v>
      </c>
      <c r="J365">
        <f t="shared" ref="J365" si="1075">I365</f>
        <v>0.672777556968296</v>
      </c>
      <c r="L365">
        <v>3.58</v>
      </c>
      <c r="M365">
        <v>0.80904353990216449</v>
      </c>
      <c r="N365">
        <v>0.5530816837921666</v>
      </c>
      <c r="O365">
        <v>0.88491275874792263</v>
      </c>
      <c r="P365">
        <v>0.36459496198796737</v>
      </c>
      <c r="Q365">
        <v>0.82936240293783681</v>
      </c>
      <c r="R365">
        <v>0.50664305896103023</v>
      </c>
      <c r="S365">
        <v>0.8948420137681522</v>
      </c>
      <c r="T365">
        <v>0.3368772273053669</v>
      </c>
      <c r="U365">
        <v>0.79973964048172597</v>
      </c>
      <c r="V365">
        <v>0.57335900956751074</v>
      </c>
      <c r="W365">
        <v>0.8757340714606805</v>
      </c>
      <c r="X365">
        <v>0.38958958900601726</v>
      </c>
      <c r="Y365">
        <v>0.8513581572960206</v>
      </c>
      <c r="Z365">
        <v>0.45303985417953052</v>
      </c>
      <c r="AA365">
        <v>0.88710518604218247</v>
      </c>
      <c r="AB365">
        <v>0.35853547828250537</v>
      </c>
      <c r="AC365">
        <v>0.82335628496096092</v>
      </c>
      <c r="AD365">
        <v>0.52067775245496017</v>
      </c>
      <c r="AE365">
        <v>0.89346930138121272</v>
      </c>
      <c r="AF365">
        <v>0.34075123375667782</v>
      </c>
      <c r="AG365">
        <v>0.80421059301092734</v>
      </c>
    </row>
    <row r="366" spans="8:33" x14ac:dyDescent="0.3">
      <c r="H366">
        <f t="shared" ref="H366" si="1076">H363+1</f>
        <v>179</v>
      </c>
      <c r="I366">
        <f t="shared" ref="I366" si="1077">J364</f>
        <v>0.672777556968296</v>
      </c>
      <c r="J366">
        <f t="shared" ref="J366" si="1078">$E$3*I366*(1-I366)</f>
        <v>0.8805916632322689</v>
      </c>
      <c r="L366">
        <v>3.59</v>
      </c>
      <c r="M366">
        <v>0.80043039361679991</v>
      </c>
      <c r="N366">
        <v>0.57347226714260424</v>
      </c>
      <c r="O366">
        <v>0.87812055519972365</v>
      </c>
      <c r="P366">
        <v>0.38421919619027534</v>
      </c>
      <c r="Q366">
        <v>0.84937535163433475</v>
      </c>
      <c r="R366">
        <v>0.45929334057668197</v>
      </c>
      <c r="S366">
        <v>0.89155125468415253</v>
      </c>
      <c r="T366">
        <v>0.34710853768940464</v>
      </c>
      <c r="U366">
        <v>0.81358088070157475</v>
      </c>
      <c r="V366">
        <v>0.54448464221774473</v>
      </c>
      <c r="W366">
        <v>0.89039580861826573</v>
      </c>
      <c r="X366">
        <v>0.35035209428171266</v>
      </c>
      <c r="Y366">
        <v>0.8171037604877287</v>
      </c>
      <c r="Z366">
        <v>0.53650828625350289</v>
      </c>
      <c r="AA366">
        <v>0.89271505067504786</v>
      </c>
      <c r="AB366">
        <v>0.34383185141412759</v>
      </c>
      <c r="AC366">
        <v>0.80994531862846642</v>
      </c>
      <c r="AD366">
        <v>0.55262269906247141</v>
      </c>
      <c r="AE366">
        <v>0.88755875704073628</v>
      </c>
      <c r="AF366">
        <v>0.35827557332933196</v>
      </c>
      <c r="AG366">
        <v>0.82539193091668484</v>
      </c>
    </row>
    <row r="367" spans="8:33" x14ac:dyDescent="0.3">
      <c r="H367">
        <f t="shared" ref="H367" si="1079">H365+1</f>
        <v>180</v>
      </c>
      <c r="I367">
        <f t="shared" ref="I367" si="1080">J366</f>
        <v>0.8805916632322689</v>
      </c>
      <c r="J367">
        <f t="shared" ref="J367" si="1081">I367</f>
        <v>0.8805916632322689</v>
      </c>
      <c r="L367">
        <v>3.6</v>
      </c>
      <c r="M367">
        <v>0.79164926712874861</v>
      </c>
      <c r="N367">
        <v>0.59378653793974978</v>
      </c>
      <c r="O367">
        <v>0.86833470708459315</v>
      </c>
      <c r="P367">
        <v>0.41158635680486511</v>
      </c>
      <c r="Q367">
        <v>0.87185889970906816</v>
      </c>
      <c r="R367">
        <v>0.40219545134578027</v>
      </c>
      <c r="S367">
        <v>0.86556337294515973</v>
      </c>
      <c r="T367">
        <v>0.41890831329944905</v>
      </c>
      <c r="U367">
        <v>0.87632689805301478</v>
      </c>
      <c r="V367">
        <v>0.39016103688646497</v>
      </c>
      <c r="W367">
        <v>0.85656744785571659</v>
      </c>
      <c r="X367">
        <v>0.44229475846677901</v>
      </c>
      <c r="Y367">
        <v>0.88801237835853342</v>
      </c>
      <c r="Z367">
        <v>0.35800701926599549</v>
      </c>
      <c r="AA367">
        <v>0.82741677632018151</v>
      </c>
      <c r="AB367">
        <v>0.51407371650276079</v>
      </c>
      <c r="AC367">
        <v>0.89928694981367974</v>
      </c>
      <c r="AD367">
        <v>0.32605175415055682</v>
      </c>
      <c r="AE367">
        <v>0.79107122795724605</v>
      </c>
      <c r="AF367">
        <v>0.59499914491965922</v>
      </c>
      <c r="AG367">
        <v>0.86751058487232091</v>
      </c>
    </row>
    <row r="368" spans="8:33" x14ac:dyDescent="0.3">
      <c r="H368">
        <f t="shared" ref="H368" si="1082">H365+1</f>
        <v>180</v>
      </c>
      <c r="I368">
        <f t="shared" ref="I368" si="1083">J366</f>
        <v>0.8805916632322689</v>
      </c>
      <c r="J368">
        <f t="shared" ref="J368" si="1084">$E$3*I368*(1-I368)</f>
        <v>0.42059994351238089</v>
      </c>
      <c r="L368">
        <v>3.61</v>
      </c>
      <c r="M368">
        <v>0.78770351560771834</v>
      </c>
      <c r="N368">
        <v>0.6036883404561233</v>
      </c>
      <c r="O368">
        <v>0.8636879082729727</v>
      </c>
      <c r="P368">
        <v>0.42500929040746754</v>
      </c>
      <c r="Q368">
        <v>0.88219878044405853</v>
      </c>
      <c r="R368">
        <v>0.37516597293973836</v>
      </c>
      <c r="S368">
        <v>0.84624344113338357</v>
      </c>
      <c r="T368">
        <v>0.46971688089432845</v>
      </c>
      <c r="U368">
        <v>0.89918938703700646</v>
      </c>
      <c r="V368">
        <v>0.32723867813003876</v>
      </c>
      <c r="W368">
        <v>0.79475422765333459</v>
      </c>
      <c r="X368">
        <v>0.58886300246255519</v>
      </c>
      <c r="Y368">
        <v>0.87399315412395706</v>
      </c>
      <c r="Z368">
        <v>0.39756612561297489</v>
      </c>
      <c r="AA368">
        <v>0.86462135797480799</v>
      </c>
      <c r="AB368">
        <v>0.42255506776407098</v>
      </c>
      <c r="AC368">
        <v>0.8808482397202102</v>
      </c>
      <c r="AD368">
        <v>0.37888617207028247</v>
      </c>
      <c r="AE368">
        <v>0.84954650087000072</v>
      </c>
      <c r="AF368">
        <v>0.46142024986363428</v>
      </c>
      <c r="AG368">
        <v>0.89712688639469029</v>
      </c>
    </row>
    <row r="369" spans="8:33" x14ac:dyDescent="0.3">
      <c r="H369">
        <f t="shared" ref="H369" si="1085">H367+1</f>
        <v>181</v>
      </c>
      <c r="I369">
        <f t="shared" ref="I369" si="1086">J368</f>
        <v>0.42059994351238089</v>
      </c>
      <c r="J369">
        <f t="shared" ref="J369" si="1087">I369</f>
        <v>0.42059994351238089</v>
      </c>
      <c r="L369">
        <v>3.62</v>
      </c>
      <c r="M369">
        <v>0.83805596740673904</v>
      </c>
      <c r="N369">
        <v>0.49129974970051149</v>
      </c>
      <c r="O369">
        <v>0.904725986433909</v>
      </c>
      <c r="P369">
        <v>0.31203269077645951</v>
      </c>
      <c r="Q369">
        <v>0.77709921220100819</v>
      </c>
      <c r="R369">
        <v>0.62704201628324197</v>
      </c>
      <c r="S369">
        <v>0.84657438047725231</v>
      </c>
      <c r="T369">
        <v>0.47018803964444766</v>
      </c>
      <c r="U369">
        <v>0.90178271421152756</v>
      </c>
      <c r="V369">
        <v>0.32062575503016105</v>
      </c>
      <c r="W369">
        <v>0.78852606647423085</v>
      </c>
      <c r="X369">
        <v>0.60364480645296592</v>
      </c>
      <c r="Y369">
        <v>0.86611306982508462</v>
      </c>
      <c r="Z369">
        <v>0.41977961677377479</v>
      </c>
      <c r="AA369">
        <v>0.88170417821643599</v>
      </c>
      <c r="AB369">
        <v>0.37757295160225735</v>
      </c>
      <c r="AC369">
        <v>0.85074205651063273</v>
      </c>
      <c r="AD369">
        <v>0.45966763545678546</v>
      </c>
      <c r="AE369">
        <v>0.89911134734067877</v>
      </c>
      <c r="AF369">
        <v>0.32837067937454723</v>
      </c>
      <c r="AG369">
        <v>0.79836702221195677</v>
      </c>
    </row>
    <row r="370" spans="8:33" x14ac:dyDescent="0.3">
      <c r="H370">
        <f t="shared" ref="H370" si="1088">H367+1</f>
        <v>181</v>
      </c>
      <c r="I370">
        <f t="shared" ref="I370" si="1089">J368</f>
        <v>0.42059994351238089</v>
      </c>
      <c r="J370">
        <f t="shared" ref="J370" si="1090">$E$3*I370*(1-I370)</f>
        <v>0.97478252411905164</v>
      </c>
      <c r="L370">
        <v>3.63</v>
      </c>
      <c r="M370">
        <v>0.8326424785603489</v>
      </c>
      <c r="N370">
        <v>0.50583680268973696</v>
      </c>
      <c r="O370">
        <v>0.90737633219573066</v>
      </c>
      <c r="P370">
        <v>0.30508162199931588</v>
      </c>
      <c r="Q370">
        <v>0.76958477808082415</v>
      </c>
      <c r="R370">
        <v>0.64368629216041939</v>
      </c>
      <c r="S370">
        <v>0.83255592548604185</v>
      </c>
      <c r="T370">
        <v>0.50604579981956355</v>
      </c>
      <c r="U370">
        <v>0.90736731734548659</v>
      </c>
      <c r="V370">
        <v>0.30510828359423209</v>
      </c>
      <c r="W370">
        <v>0.76962250452138192</v>
      </c>
      <c r="X370">
        <v>0.6436124493518911</v>
      </c>
      <c r="Y370">
        <v>0.8326329357398764</v>
      </c>
      <c r="Z370">
        <v>0.50585984812168872</v>
      </c>
      <c r="AA370">
        <v>0.90737535371336642</v>
      </c>
      <c r="AB370">
        <v>0.30508451590848185</v>
      </c>
      <c r="AC370">
        <v>0.76958887324276981</v>
      </c>
      <c r="AD370">
        <v>0.6436782771080084</v>
      </c>
      <c r="AE370">
        <v>0.83256428625480594</v>
      </c>
      <c r="AF370">
        <v>0.50602561369342824</v>
      </c>
      <c r="AG370">
        <v>0.90736820188601175</v>
      </c>
    </row>
    <row r="371" spans="8:33" x14ac:dyDescent="0.3">
      <c r="H371">
        <f t="shared" ref="H371" si="1091">H369+1</f>
        <v>182</v>
      </c>
      <c r="I371">
        <f t="shared" ref="I371" si="1092">J370</f>
        <v>0.97478252411905164</v>
      </c>
      <c r="J371">
        <f t="shared" ref="J371" si="1093">I371</f>
        <v>0.97478252411905164</v>
      </c>
      <c r="L371">
        <v>3.64</v>
      </c>
      <c r="M371">
        <v>0.81711935769267519</v>
      </c>
      <c r="N371">
        <v>0.54394453923476993</v>
      </c>
      <c r="O371">
        <v>0.90297071399605533</v>
      </c>
      <c r="P371">
        <v>0.31891715732789411</v>
      </c>
      <c r="Q371">
        <v>0.79064077488683315</v>
      </c>
      <c r="R371">
        <v>0.60252170150237949</v>
      </c>
      <c r="S371">
        <v>0.87174105462464757</v>
      </c>
      <c r="T371">
        <v>0.4069832614358595</v>
      </c>
      <c r="U371">
        <v>0.87850630630268078</v>
      </c>
      <c r="V371">
        <v>0.38850803296432834</v>
      </c>
      <c r="W371">
        <v>0.86475313028292089</v>
      </c>
      <c r="X371">
        <v>0.42571676037367034</v>
      </c>
      <c r="Y371">
        <v>0.88991448113064697</v>
      </c>
      <c r="Z371">
        <v>0.3565987785528108</v>
      </c>
      <c r="AA371">
        <v>0.83514736646233334</v>
      </c>
      <c r="AB371">
        <v>0.50114152362223929</v>
      </c>
      <c r="AC371">
        <v>0.90999525680270432</v>
      </c>
      <c r="AD371">
        <v>0.29813015741339571</v>
      </c>
      <c r="AE371">
        <v>0.76166478262077708</v>
      </c>
      <c r="AF371">
        <v>0.66077481119111814</v>
      </c>
      <c r="AG371">
        <v>0.81591131471471556</v>
      </c>
    </row>
    <row r="372" spans="8:33" x14ac:dyDescent="0.3">
      <c r="H372">
        <f t="shared" ref="H372" si="1094">H369+1</f>
        <v>182</v>
      </c>
      <c r="I372">
        <f t="shared" ref="I372" si="1095">J370</f>
        <v>0.97478252411905164</v>
      </c>
      <c r="J372">
        <f t="shared" ref="J372" si="1096">$E$3*I372*(1-I372)</f>
        <v>9.8326219164568587E-2</v>
      </c>
      <c r="L372">
        <v>3.65</v>
      </c>
      <c r="M372">
        <v>0.88294569461624361</v>
      </c>
      <c r="N372">
        <v>0.37723697165832182</v>
      </c>
      <c r="O372">
        <v>0.8574917218841881</v>
      </c>
      <c r="P372">
        <v>0.44602879106261584</v>
      </c>
      <c r="Q372">
        <v>0.90186794641130574</v>
      </c>
      <c r="R372">
        <v>0.32303286081213362</v>
      </c>
      <c r="S372">
        <v>0.79819160551396751</v>
      </c>
      <c r="T372">
        <v>0.58794844736365859</v>
      </c>
      <c r="U372">
        <v>0.8842675077130745</v>
      </c>
      <c r="V372">
        <v>0.37353546118333514</v>
      </c>
      <c r="W372">
        <v>0.85412452953989215</v>
      </c>
      <c r="X372">
        <v>0.45477473416024772</v>
      </c>
      <c r="Y372">
        <v>0.90503456495349166</v>
      </c>
      <c r="Z372">
        <v>0.31370655435421546</v>
      </c>
      <c r="AA372">
        <v>0.78582584519938703</v>
      </c>
      <c r="AB372">
        <v>0.61430808968860462</v>
      </c>
      <c r="AC372">
        <v>0.86480786130585807</v>
      </c>
      <c r="AD372">
        <v>0.42674056880247724</v>
      </c>
      <c r="AE372">
        <v>0.89291065345324627</v>
      </c>
      <c r="AF372">
        <v>0.34901744717074196</v>
      </c>
      <c r="AG372">
        <v>0.82929558090523525</v>
      </c>
    </row>
    <row r="373" spans="8:33" x14ac:dyDescent="0.3">
      <c r="H373">
        <f t="shared" ref="H373" si="1097">H371+1</f>
        <v>183</v>
      </c>
      <c r="I373">
        <f t="shared" ref="I373" si="1098">J372</f>
        <v>9.8326219164568587E-2</v>
      </c>
      <c r="J373">
        <f t="shared" ref="J373" si="1099">I373</f>
        <v>9.8326219164568587E-2</v>
      </c>
      <c r="L373">
        <v>3.66</v>
      </c>
      <c r="M373">
        <v>0.91491470564908639</v>
      </c>
      <c r="N373">
        <v>0.28491558055224314</v>
      </c>
      <c r="O373">
        <v>0.7456836145896063</v>
      </c>
      <c r="P373">
        <v>0.69408079517120003</v>
      </c>
      <c r="Q373">
        <v>0.77713748050131581</v>
      </c>
      <c r="R373">
        <v>0.63389302985906104</v>
      </c>
      <c r="S373">
        <v>0.84938592299188775</v>
      </c>
      <c r="T373">
        <v>0.46822188514329044</v>
      </c>
      <c r="U373">
        <v>0.91130395418312293</v>
      </c>
      <c r="V373">
        <v>0.29583434962037869</v>
      </c>
      <c r="W373">
        <v>0.76243797717054251</v>
      </c>
      <c r="X373">
        <v>0.6629222877873997</v>
      </c>
      <c r="Y373">
        <v>0.81785016100015817</v>
      </c>
      <c r="Z373">
        <v>0.54523486705695512</v>
      </c>
      <c r="AA373">
        <v>0.90751093289656304</v>
      </c>
      <c r="AB373">
        <v>0.30720151282536878</v>
      </c>
      <c r="AC373">
        <v>0.77895320063601525</v>
      </c>
      <c r="AD373">
        <v>0.63019750938901831</v>
      </c>
      <c r="AE373">
        <v>0.85295790728896126</v>
      </c>
      <c r="AF373">
        <v>0.45903981939684113</v>
      </c>
      <c r="AG373">
        <v>0.90885948479414125</v>
      </c>
    </row>
    <row r="374" spans="8:33" x14ac:dyDescent="0.3">
      <c r="H374">
        <f t="shared" ref="H374" si="1100">H371+1</f>
        <v>183</v>
      </c>
      <c r="I374">
        <f t="shared" ref="I374" si="1101">J372</f>
        <v>9.8326219164568587E-2</v>
      </c>
      <c r="J374">
        <f t="shared" ref="J374" si="1102">$E$3*I374*(1-I374)</f>
        <v>0.35463269515747925</v>
      </c>
      <c r="L374">
        <v>3.67</v>
      </c>
      <c r="M374">
        <v>0.87948967916390208</v>
      </c>
      <c r="N374">
        <v>0.38897443110764868</v>
      </c>
      <c r="O374">
        <v>0.87226109560131626</v>
      </c>
      <c r="P374">
        <v>0.40891755349526721</v>
      </c>
      <c r="Q374">
        <v>0.88705363573507501</v>
      </c>
      <c r="R374">
        <v>0.36769540284583374</v>
      </c>
      <c r="S374">
        <v>0.85325846140877681</v>
      </c>
      <c r="T374">
        <v>0.45951504615619071</v>
      </c>
      <c r="U374">
        <v>0.91148475444001109</v>
      </c>
      <c r="V374">
        <v>0.29609668948883866</v>
      </c>
      <c r="W374">
        <v>0.76491402466270131</v>
      </c>
      <c r="X374">
        <v>0.65994145350082556</v>
      </c>
      <c r="Y374">
        <v>0.82361674442899879</v>
      </c>
      <c r="Z374">
        <v>0.53314898400139621</v>
      </c>
      <c r="AA374">
        <v>0.91346720163500783</v>
      </c>
      <c r="AB374">
        <v>0.29009468454166487</v>
      </c>
      <c r="AC374">
        <v>0.75579891385037612</v>
      </c>
      <c r="AD374">
        <v>0.67736058051979198</v>
      </c>
      <c r="AE374">
        <v>0.80205363383309436</v>
      </c>
      <c r="AF374">
        <v>0.58266242039777816</v>
      </c>
      <c r="AG374">
        <v>0.89242261201211026</v>
      </c>
    </row>
    <row r="375" spans="8:33" x14ac:dyDescent="0.3">
      <c r="H375">
        <f t="shared" ref="H375" si="1103">H373+1</f>
        <v>184</v>
      </c>
      <c r="I375">
        <f t="shared" ref="I375" si="1104">J374</f>
        <v>0.35463269515747925</v>
      </c>
      <c r="J375">
        <f t="shared" ref="J375" si="1105">I375</f>
        <v>0.35463269515747925</v>
      </c>
      <c r="L375">
        <v>3.68</v>
      </c>
      <c r="M375">
        <v>0.3572166648330603</v>
      </c>
      <c r="N375">
        <v>0.84497554265086772</v>
      </c>
      <c r="O375">
        <v>0.48205009989968078</v>
      </c>
      <c r="P375">
        <v>0.91881430799790986</v>
      </c>
      <c r="Q375">
        <v>0.27450803753173342</v>
      </c>
      <c r="R375">
        <v>0.73288441949293226</v>
      </c>
      <c r="S375">
        <v>0.72041463753937907</v>
      </c>
      <c r="T375">
        <v>0.74121598621485363</v>
      </c>
      <c r="U375">
        <v>0.70587864061937566</v>
      </c>
      <c r="V375">
        <v>0.76401946603912207</v>
      </c>
      <c r="W375">
        <v>0.66348089531289411</v>
      </c>
      <c r="X375">
        <v>0.82164830847311598</v>
      </c>
      <c r="Y375">
        <v>0.53927590561549033</v>
      </c>
      <c r="Z375">
        <v>0.91432324391614583</v>
      </c>
      <c r="AA375">
        <v>0.2882773983469511</v>
      </c>
      <c r="AB375">
        <v>0.75503862701329283</v>
      </c>
      <c r="AC375">
        <v>0.6806354993307222</v>
      </c>
      <c r="AD375">
        <v>0.79992460428406964</v>
      </c>
      <c r="AE375">
        <v>0.58896645282176285</v>
      </c>
      <c r="AF375">
        <v>0.89087269060211205</v>
      </c>
      <c r="AG375">
        <v>0.35776422624859339</v>
      </c>
    </row>
    <row r="376" spans="8:33" x14ac:dyDescent="0.3">
      <c r="H376">
        <f t="shared" ref="H376" si="1106">H373+1</f>
        <v>184</v>
      </c>
      <c r="I376">
        <f t="shared" ref="I376" si="1107">J374</f>
        <v>0.35463269515747925</v>
      </c>
      <c r="J376">
        <f t="shared" ref="J376" si="1108">$E$3*I376*(1-I376)</f>
        <v>0.91547338673128664</v>
      </c>
      <c r="L376">
        <v>3.69</v>
      </c>
      <c r="M376">
        <v>0.74918946679412113</v>
      </c>
      <c r="N376">
        <v>0.6933680095673993</v>
      </c>
      <c r="O376">
        <v>0.78452651951222663</v>
      </c>
      <c r="P376">
        <v>0.62377479427181393</v>
      </c>
      <c r="Q376">
        <v>0.86596846311795972</v>
      </c>
      <c r="R376">
        <v>0.42828753997135988</v>
      </c>
      <c r="S376">
        <v>0.90352352215280407</v>
      </c>
      <c r="T376">
        <v>0.32165275048606917</v>
      </c>
      <c r="U376">
        <v>0.80512943420010996</v>
      </c>
      <c r="V376">
        <v>0.57894634473961959</v>
      </c>
      <c r="W376">
        <v>0.89950198146681404</v>
      </c>
      <c r="X376">
        <v>0.33356923550708978</v>
      </c>
      <c r="Y376">
        <v>0.82028995432582708</v>
      </c>
      <c r="Z376">
        <v>0.54395893363287096</v>
      </c>
      <c r="AA376">
        <v>0.91536948884774649</v>
      </c>
      <c r="AB376">
        <v>0.28585761273979504</v>
      </c>
      <c r="AC376">
        <v>0.75328781014066648</v>
      </c>
      <c r="AD376">
        <v>0.68576910251399759</v>
      </c>
      <c r="AE376">
        <v>0.79515751163372084</v>
      </c>
      <c r="AF376">
        <v>0.60103473987364087</v>
      </c>
      <c r="AG376">
        <v>0.88483241113967659</v>
      </c>
    </row>
    <row r="377" spans="8:33" x14ac:dyDescent="0.3">
      <c r="H377">
        <f t="shared" ref="H377" si="1109">H375+1</f>
        <v>185</v>
      </c>
      <c r="I377">
        <f t="shared" ref="I377" si="1110">J376</f>
        <v>0.91547338673128664</v>
      </c>
      <c r="J377">
        <f t="shared" ref="J377" si="1111">I377</f>
        <v>0.91547338673128664</v>
      </c>
      <c r="L377">
        <v>3.7</v>
      </c>
      <c r="M377">
        <v>0.72722931809418223</v>
      </c>
      <c r="N377">
        <v>0.73395729689427591</v>
      </c>
      <c r="O377">
        <v>0.72247673795071754</v>
      </c>
      <c r="P377">
        <v>0.74186517396198881</v>
      </c>
      <c r="Q377">
        <v>0.7085545792100465</v>
      </c>
      <c r="R377">
        <v>0.76406845371492571</v>
      </c>
      <c r="S377">
        <v>0.66699105148465021</v>
      </c>
      <c r="T377">
        <v>0.82182175827898829</v>
      </c>
      <c r="U377">
        <v>0.54179379682341566</v>
      </c>
      <c r="V377">
        <v>0.91853713062420728</v>
      </c>
      <c r="W377">
        <v>0.27685868006876446</v>
      </c>
      <c r="X377">
        <v>0.74076941995558021</v>
      </c>
      <c r="Y377">
        <v>0.71051131973273784</v>
      </c>
      <c r="Z377">
        <v>0.76103444177820989</v>
      </c>
      <c r="AA377">
        <v>0.67288577476049194</v>
      </c>
      <c r="AB377">
        <v>0.81440888287621849</v>
      </c>
      <c r="AC377">
        <v>0.55924410116355483</v>
      </c>
      <c r="AD377">
        <v>0.91201350496609324</v>
      </c>
      <c r="AE377">
        <v>0.29690602538455374</v>
      </c>
      <c r="AF377">
        <v>0.77238549865713191</v>
      </c>
      <c r="AG377">
        <v>0.65048271844883065</v>
      </c>
    </row>
    <row r="378" spans="8:33" x14ac:dyDescent="0.3">
      <c r="H378">
        <f t="shared" ref="H378" si="1112">H375+1</f>
        <v>185</v>
      </c>
      <c r="I378">
        <f t="shared" ref="I378" si="1113">J376</f>
        <v>0.91547338673128664</v>
      </c>
      <c r="J378">
        <f t="shared" ref="J378" si="1114">$E$3*I378*(1-I378)</f>
        <v>0.3095274596721389</v>
      </c>
      <c r="L378">
        <v>3.71</v>
      </c>
      <c r="M378">
        <v>0.39028701396835086</v>
      </c>
      <c r="N378">
        <v>0.88284295518223099</v>
      </c>
      <c r="O378">
        <v>0.38373001788581756</v>
      </c>
      <c r="P378">
        <v>0.87734559057151207</v>
      </c>
      <c r="Q378">
        <v>0.39923423257483848</v>
      </c>
      <c r="R378">
        <v>0.88982962502745966</v>
      </c>
      <c r="S378">
        <v>0.36370192340302521</v>
      </c>
      <c r="T378">
        <v>0.85857871531223084</v>
      </c>
      <c r="U378">
        <v>0.45047304127186172</v>
      </c>
      <c r="V378">
        <v>0.91839966813241414</v>
      </c>
      <c r="W378">
        <v>0.27803377269180396</v>
      </c>
      <c r="X378">
        <v>0.74471198749724077</v>
      </c>
      <c r="Y378">
        <v>0.70533052017980746</v>
      </c>
      <c r="Z378">
        <v>0.77108409046077864</v>
      </c>
      <c r="AA378">
        <v>0.65486477298548429</v>
      </c>
      <c r="AB378">
        <v>0.83852270674705287</v>
      </c>
      <c r="AC378">
        <v>0.50234281873176723</v>
      </c>
      <c r="AD378">
        <v>0.92747963655344723</v>
      </c>
      <c r="AE378">
        <v>0.24953890483221219</v>
      </c>
      <c r="AF378">
        <v>0.69476887968527712</v>
      </c>
      <c r="AG378">
        <v>0.78676145980778689</v>
      </c>
    </row>
    <row r="379" spans="8:33" x14ac:dyDescent="0.3">
      <c r="H379">
        <f t="shared" ref="H379" si="1115">H377+1</f>
        <v>186</v>
      </c>
      <c r="I379">
        <f t="shared" ref="I379" si="1116">J378</f>
        <v>0.3095274596721389</v>
      </c>
      <c r="J379">
        <f t="shared" ref="J379" si="1117">I379</f>
        <v>0.3095274596721389</v>
      </c>
      <c r="L379">
        <v>3.72</v>
      </c>
      <c r="M379">
        <v>0.8539129160077904</v>
      </c>
      <c r="N379">
        <v>0.46405381012424923</v>
      </c>
      <c r="O379">
        <v>0.9251932817323093</v>
      </c>
      <c r="P379">
        <v>0.25746370419131764</v>
      </c>
      <c r="Q379">
        <v>0.7111752602013004</v>
      </c>
      <c r="R379">
        <v>0.76410663526155664</v>
      </c>
      <c r="S379">
        <v>0.67052138898424707</v>
      </c>
      <c r="T379">
        <v>0.82183153594384517</v>
      </c>
      <c r="U379">
        <v>0.54469900039593488</v>
      </c>
      <c r="V379">
        <v>0.92256743763260762</v>
      </c>
      <c r="W379">
        <v>0.26574474962771766</v>
      </c>
      <c r="X379">
        <v>0.72586305694363196</v>
      </c>
      <c r="Y379">
        <v>0.74022747177004888</v>
      </c>
      <c r="Z379">
        <v>0.71532163392192982</v>
      </c>
      <c r="AA379">
        <v>0.75752812955050841</v>
      </c>
      <c r="AB379">
        <v>0.68328685646360565</v>
      </c>
      <c r="AC379">
        <v>0.80503005308140541</v>
      </c>
      <c r="AD379">
        <v>0.58387880018781668</v>
      </c>
      <c r="AE379">
        <v>0.90382737039007477</v>
      </c>
      <c r="AF379">
        <v>0.323355252316675</v>
      </c>
      <c r="AG379">
        <v>0.81392347519112751</v>
      </c>
    </row>
    <row r="380" spans="8:33" x14ac:dyDescent="0.3">
      <c r="H380">
        <f t="shared" ref="H380" si="1118">H377+1</f>
        <v>186</v>
      </c>
      <c r="I380">
        <f t="shared" ref="I380" si="1119">J378</f>
        <v>0.3095274596721389</v>
      </c>
      <c r="J380">
        <f t="shared" ref="J380" si="1120">$E$3*I380*(1-I380)</f>
        <v>0.85488084552420529</v>
      </c>
      <c r="L380">
        <v>3.73</v>
      </c>
      <c r="M380">
        <v>0.74877332727653267</v>
      </c>
      <c r="N380">
        <v>0.70165713200139668</v>
      </c>
      <c r="O380">
        <v>0.78081731615138283</v>
      </c>
      <c r="P380">
        <v>0.63835829836176294</v>
      </c>
      <c r="Q380">
        <v>0.86109654015365156</v>
      </c>
      <c r="R380">
        <v>0.44614264681020244</v>
      </c>
      <c r="S380">
        <v>0.9216807079425624</v>
      </c>
      <c r="T380">
        <v>0.26925146944799155</v>
      </c>
      <c r="U380">
        <v>0.73389658136737135</v>
      </c>
      <c r="V380">
        <v>0.72844061180796915</v>
      </c>
      <c r="W380">
        <v>0.73784952805046677</v>
      </c>
      <c r="X380">
        <v>0.72148495548301494</v>
      </c>
      <c r="Y380">
        <v>0.74952266606518203</v>
      </c>
      <c r="Z380">
        <v>0.70026437791656926</v>
      </c>
      <c r="AA380">
        <v>0.78290528743758192</v>
      </c>
      <c r="AB380">
        <v>0.63396795180767462</v>
      </c>
      <c r="AC380">
        <v>0.86555615282394294</v>
      </c>
      <c r="AD380">
        <v>0.43405524776444165</v>
      </c>
      <c r="AE380">
        <v>0.91627931040416366</v>
      </c>
      <c r="AF380">
        <v>0.28613402827078865</v>
      </c>
      <c r="AG380">
        <v>0.76189482108847406</v>
      </c>
    </row>
    <row r="381" spans="8:33" x14ac:dyDescent="0.3">
      <c r="H381">
        <f t="shared" ref="H381" si="1121">H379+1</f>
        <v>187</v>
      </c>
      <c r="I381">
        <f t="shared" ref="I381" si="1122">J380</f>
        <v>0.85488084552420529</v>
      </c>
      <c r="J381">
        <f t="shared" ref="J381" si="1123">I381</f>
        <v>0.85488084552420529</v>
      </c>
      <c r="L381">
        <v>3.74</v>
      </c>
      <c r="M381">
        <v>0.22747639532246902</v>
      </c>
      <c r="N381">
        <v>0.65723350950193249</v>
      </c>
      <c r="O381">
        <v>0.8425383118514993</v>
      </c>
      <c r="P381">
        <v>0.49617646837807955</v>
      </c>
      <c r="Q381">
        <v>0.93494532346620118</v>
      </c>
      <c r="R381">
        <v>0.22747639532485728</v>
      </c>
      <c r="S381">
        <v>0.65723350950680082</v>
      </c>
      <c r="T381">
        <v>0.84253831184577366</v>
      </c>
      <c r="U381">
        <v>0.4961764683927497</v>
      </c>
      <c r="V381">
        <v>0.93494532346662096</v>
      </c>
      <c r="W381">
        <v>0.22747639532349156</v>
      </c>
      <c r="X381">
        <v>0.65723350950401693</v>
      </c>
      <c r="Y381">
        <v>0.84253831184904782</v>
      </c>
      <c r="Z381">
        <v>0.49617646838436069</v>
      </c>
      <c r="AA381">
        <v>0.93494532346638093</v>
      </c>
      <c r="AB381">
        <v>0.2274763953242725</v>
      </c>
      <c r="AC381">
        <v>0.65723350950560877</v>
      </c>
      <c r="AD381">
        <v>0.84253831184717565</v>
      </c>
      <c r="AE381">
        <v>0.49617646838915758</v>
      </c>
      <c r="AF381">
        <v>0.93494532346651815</v>
      </c>
      <c r="AG381">
        <v>0.22747639532382607</v>
      </c>
    </row>
    <row r="382" spans="8:33" x14ac:dyDescent="0.3">
      <c r="H382">
        <f t="shared" ref="H382" si="1124">H379+1</f>
        <v>187</v>
      </c>
      <c r="I382">
        <f t="shared" ref="I382" si="1125">J380</f>
        <v>0.85488084552420529</v>
      </c>
      <c r="J382">
        <f t="shared" ref="J382" si="1126">$E$3*I382*(1-I382)</f>
        <v>0.49623834192010058</v>
      </c>
      <c r="L382">
        <v>3.75</v>
      </c>
      <c r="M382">
        <v>0.29939152775723482</v>
      </c>
      <c r="N382">
        <v>0.78658590324158895</v>
      </c>
      <c r="O382">
        <v>0.62950695023700987</v>
      </c>
      <c r="P382">
        <v>0.87460481190115746</v>
      </c>
      <c r="Q382">
        <v>0.41126713087686911</v>
      </c>
      <c r="R382">
        <v>0.90797429226441495</v>
      </c>
      <c r="S382">
        <v>0.31333866319256148</v>
      </c>
      <c r="T382">
        <v>0.80684079502972506</v>
      </c>
      <c r="U382">
        <v>0.58443272439572347</v>
      </c>
      <c r="V382">
        <v>0.91076668144168427</v>
      </c>
      <c r="W382">
        <v>0.30476525031519702</v>
      </c>
      <c r="X382">
        <v>0.79456272193317135</v>
      </c>
      <c r="Y382">
        <v>0.61212301067745434</v>
      </c>
      <c r="Z382">
        <v>0.89035661428733803</v>
      </c>
      <c r="AA382">
        <v>0.36608142630797402</v>
      </c>
      <c r="AB382">
        <v>0.87024680857610026</v>
      </c>
      <c r="AC382">
        <v>0.42343987777204717</v>
      </c>
      <c r="AD382">
        <v>0.91551955381665351</v>
      </c>
      <c r="AE382">
        <v>0.29003812648503446</v>
      </c>
      <c r="AF382">
        <v>0.77218504376282093</v>
      </c>
      <c r="AG382">
        <v>0.65968238231936716</v>
      </c>
    </row>
    <row r="383" spans="8:33" x14ac:dyDescent="0.3">
      <c r="H383">
        <f t="shared" ref="H383" si="1127">H381+1</f>
        <v>188</v>
      </c>
      <c r="I383">
        <f t="shared" ref="I383" si="1128">J382</f>
        <v>0.49623834192010058</v>
      </c>
      <c r="J383">
        <f t="shared" ref="J383" si="1129">I383</f>
        <v>0.49623834192010058</v>
      </c>
      <c r="L383">
        <v>3.76</v>
      </c>
      <c r="M383">
        <v>0.72528759399287623</v>
      </c>
      <c r="N383">
        <v>0.74916307997330756</v>
      </c>
      <c r="O383">
        <v>0.70657077601408891</v>
      </c>
      <c r="P383">
        <v>0.77955521450848353</v>
      </c>
      <c r="Q383">
        <v>0.64615179647459531</v>
      </c>
      <c r="R383">
        <v>0.85968509297605422</v>
      </c>
      <c r="S383">
        <v>0.45355614342943512</v>
      </c>
      <c r="T383">
        <v>0.93188956038256654</v>
      </c>
      <c r="U383">
        <v>0.23865249269840083</v>
      </c>
      <c r="V383">
        <v>0.68318252640642452</v>
      </c>
      <c r="W383">
        <v>0.813830049192792</v>
      </c>
      <c r="X383">
        <v>0.56968023284092306</v>
      </c>
      <c r="Y383">
        <v>0.92174394096864265</v>
      </c>
      <c r="Z383">
        <v>0.2712165014434551</v>
      </c>
      <c r="AA383">
        <v>0.74319449656373504</v>
      </c>
      <c r="AB383">
        <v>0.71762020252257908</v>
      </c>
      <c r="AC383">
        <v>0.76193184242715895</v>
      </c>
      <c r="AD383">
        <v>0.68203282930940445</v>
      </c>
      <c r="AE383">
        <v>0.81540882444158569</v>
      </c>
      <c r="AF383">
        <v>0.56594494822605745</v>
      </c>
      <c r="AG383">
        <v>0.92364875190101925</v>
      </c>
    </row>
    <row r="384" spans="8:33" x14ac:dyDescent="0.3">
      <c r="H384">
        <f t="shared" ref="H384" si="1130">H381+1</f>
        <v>188</v>
      </c>
      <c r="I384">
        <f t="shared" ref="I384" si="1131">J382</f>
        <v>0.49623834192010058</v>
      </c>
      <c r="J384">
        <f t="shared" ref="J384" si="1132">$E$3*I384*(1-I384)</f>
        <v>0.99994339971395962</v>
      </c>
      <c r="L384">
        <v>3.77</v>
      </c>
      <c r="M384">
        <v>0.77656459250983056</v>
      </c>
      <c r="N384">
        <v>0.6541403386604151</v>
      </c>
      <c r="O384">
        <v>0.85292765011115013</v>
      </c>
      <c r="P384">
        <v>0.47291661817707142</v>
      </c>
      <c r="Q384">
        <v>0.93973466891745616</v>
      </c>
      <c r="R384">
        <v>0.21350799698924816</v>
      </c>
      <c r="S384">
        <v>0.63306719243504528</v>
      </c>
      <c r="T384">
        <v>0.87574507106140398</v>
      </c>
      <c r="U384">
        <v>0.41023496873043797</v>
      </c>
      <c r="V384">
        <v>0.91212224163762801</v>
      </c>
      <c r="W384">
        <v>0.30218532246236357</v>
      </c>
      <c r="X384">
        <v>0.79497746213206699</v>
      </c>
      <c r="Y384">
        <v>0.61446587906465111</v>
      </c>
      <c r="Z384">
        <v>0.89310381073793665</v>
      </c>
      <c r="AA384">
        <v>0.35991961531708805</v>
      </c>
      <c r="AB384">
        <v>0.8685231215681195</v>
      </c>
      <c r="AC384">
        <v>0.43049897243872759</v>
      </c>
      <c r="AD384">
        <v>0.9242894190230857</v>
      </c>
      <c r="AE384">
        <v>0.26381890317204754</v>
      </c>
      <c r="AF384">
        <v>0.73220370541931801</v>
      </c>
      <c r="AG384">
        <v>0.73922702574456045</v>
      </c>
    </row>
    <row r="385" spans="8:33" x14ac:dyDescent="0.3">
      <c r="H385">
        <f t="shared" ref="H385" si="1133">H383+1</f>
        <v>189</v>
      </c>
      <c r="I385">
        <f t="shared" ref="I385" si="1134">J384</f>
        <v>0.99994339971395962</v>
      </c>
      <c r="J385">
        <f t="shared" ref="J385" si="1135">I385</f>
        <v>0.99994339971395962</v>
      </c>
      <c r="L385">
        <v>3.78</v>
      </c>
      <c r="M385">
        <v>0.19681745871051204</v>
      </c>
      <c r="N385">
        <v>0.59754371036439713</v>
      </c>
      <c r="O385">
        <v>0.90903414886835021</v>
      </c>
      <c r="P385">
        <v>0.3125722259250775</v>
      </c>
      <c r="Q385">
        <v>0.81221173553010884</v>
      </c>
      <c r="R385">
        <v>0.57654008570570847</v>
      </c>
      <c r="S385">
        <v>0.92285530575901542</v>
      </c>
      <c r="T385">
        <v>0.26911101567967938</v>
      </c>
      <c r="U385">
        <v>0.74348924675582617</v>
      </c>
      <c r="V385">
        <v>0.72089508977997985</v>
      </c>
      <c r="W385">
        <v>0.76055625819593775</v>
      </c>
      <c r="X385">
        <v>0.6883774492704422</v>
      </c>
      <c r="Y385">
        <v>0.81086268037204823</v>
      </c>
      <c r="Z385">
        <v>0.5797174091382038</v>
      </c>
      <c r="AA385">
        <v>0.92097860909150453</v>
      </c>
      <c r="AB385">
        <v>0.27509710039830476</v>
      </c>
      <c r="AC385">
        <v>0.75380263213783427</v>
      </c>
      <c r="AD385">
        <v>0.70150836641724901</v>
      </c>
      <c r="AE385">
        <v>0.79151074983735947</v>
      </c>
      <c r="AF385">
        <v>0.62378120471660436</v>
      </c>
      <c r="AG385">
        <v>0.88708364649666505</v>
      </c>
    </row>
    <row r="386" spans="8:33" x14ac:dyDescent="0.3">
      <c r="H386">
        <f t="shared" ref="H386" si="1136">H383+1</f>
        <v>189</v>
      </c>
      <c r="I386">
        <f t="shared" ref="I386" si="1137">J384</f>
        <v>0.99994339971395962</v>
      </c>
      <c r="J386">
        <f t="shared" ref="J386" si="1138">$E$3*I386*(1-I386)</f>
        <v>2.2638832979198384E-4</v>
      </c>
      <c r="L386">
        <v>3.79</v>
      </c>
      <c r="M386">
        <v>0.90131947218344743</v>
      </c>
      <c r="N386">
        <v>0.33709276192385285</v>
      </c>
      <c r="O386">
        <v>0.84691806845530182</v>
      </c>
      <c r="P386">
        <v>0.49136536582332913</v>
      </c>
      <c r="Q386">
        <v>0.94721742932108688</v>
      </c>
      <c r="R386">
        <v>0.18948700375435254</v>
      </c>
      <c r="S386">
        <v>0.58207456402606639</v>
      </c>
      <c r="T386">
        <v>0.921969672912339</v>
      </c>
      <c r="U386">
        <v>0.27265864558914132</v>
      </c>
      <c r="V386">
        <v>0.75161729349787176</v>
      </c>
      <c r="W386">
        <v>0.70755031555253423</v>
      </c>
      <c r="X386">
        <v>0.78423766408822482</v>
      </c>
      <c r="Y386">
        <v>0.64130192168880729</v>
      </c>
      <c r="Z386">
        <v>0.87182797665352019</v>
      </c>
      <c r="AA386">
        <v>0.42350959239766967</v>
      </c>
      <c r="AB386">
        <v>0.92532553449490318</v>
      </c>
      <c r="AC386">
        <v>0.26188213898810847</v>
      </c>
      <c r="AD386">
        <v>0.73260656137239044</v>
      </c>
      <c r="AE386">
        <v>0.74243897102868184</v>
      </c>
      <c r="AF386">
        <v>0.72473647878763958</v>
      </c>
      <c r="AG386">
        <v>0.75608042223708338</v>
      </c>
    </row>
    <row r="387" spans="8:33" x14ac:dyDescent="0.3">
      <c r="H387">
        <f t="shared" ref="H387" si="1139">H385+1</f>
        <v>190</v>
      </c>
      <c r="I387">
        <f t="shared" ref="I387" si="1140">J386</f>
        <v>2.2638832979198384E-4</v>
      </c>
      <c r="J387">
        <f t="shared" ref="J387" si="1141">I387</f>
        <v>2.2638832979198384E-4</v>
      </c>
      <c r="L387">
        <v>3.8</v>
      </c>
      <c r="M387">
        <v>0.28935226914523526</v>
      </c>
      <c r="N387">
        <v>0.7813846272458066</v>
      </c>
      <c r="O387">
        <v>0.6491262278890062</v>
      </c>
      <c r="P387">
        <v>0.86549319899126542</v>
      </c>
      <c r="Q387">
        <v>0.44237594166629879</v>
      </c>
      <c r="R387">
        <v>0.93738197802438594</v>
      </c>
      <c r="S387">
        <v>0.22304862013800716</v>
      </c>
      <c r="T387">
        <v>0.6585321461316449</v>
      </c>
      <c r="U387">
        <v>0.85449672284300016</v>
      </c>
      <c r="V387">
        <v>0.47246187927557787</v>
      </c>
      <c r="W387">
        <v>0.94711827724647502</v>
      </c>
      <c r="X387">
        <v>0.19032393537814835</v>
      </c>
      <c r="Y387">
        <v>0.58558279300122651</v>
      </c>
      <c r="Z387">
        <v>0.92216722506001503</v>
      </c>
      <c r="AA387">
        <v>0.27274436952348113</v>
      </c>
      <c r="AB387">
        <v>0.75374853798353569</v>
      </c>
      <c r="AC387">
        <v>0.70532438199062897</v>
      </c>
      <c r="AD387">
        <v>0.78979921300863187</v>
      </c>
      <c r="AE387">
        <v>0.63086238133039485</v>
      </c>
      <c r="AF387">
        <v>0.8849251411796456</v>
      </c>
      <c r="AG387">
        <v>0.3869640156137536</v>
      </c>
    </row>
    <row r="388" spans="8:33" x14ac:dyDescent="0.3">
      <c r="H388">
        <f t="shared" ref="H388" si="1142">H385+1</f>
        <v>190</v>
      </c>
      <c r="I388">
        <f t="shared" ref="I388" si="1143">J386</f>
        <v>2.2638832979198384E-4</v>
      </c>
      <c r="J388">
        <f t="shared" ref="J388" si="1144">$E$3*I388*(1-I388)</f>
        <v>9.0534831246447144E-4</v>
      </c>
      <c r="L388">
        <v>3.81</v>
      </c>
      <c r="M388">
        <v>0.46143905358956272</v>
      </c>
      <c r="N388">
        <v>0.94683473349945857</v>
      </c>
      <c r="O388">
        <v>0.19179052677556246</v>
      </c>
      <c r="P388">
        <v>0.59057636754206322</v>
      </c>
      <c r="Q388">
        <v>0.92124246145939226</v>
      </c>
      <c r="R388">
        <v>0.27643374480843952</v>
      </c>
      <c r="S388">
        <v>0.76206907354595999</v>
      </c>
      <c r="T388">
        <v>0.69082844063180404</v>
      </c>
      <c r="U388">
        <v>0.81375696879738968</v>
      </c>
      <c r="V388">
        <v>0.57743051086339137</v>
      </c>
      <c r="W388">
        <v>0.92965720591212442</v>
      </c>
      <c r="X388">
        <v>0.24915375140366589</v>
      </c>
      <c r="Y388">
        <v>0.71276016794320685</v>
      </c>
      <c r="Z388">
        <v>0.78003315266912576</v>
      </c>
      <c r="AA388">
        <v>0.65372526127758435</v>
      </c>
      <c r="AB388">
        <v>0.86246415281197741</v>
      </c>
      <c r="AC388">
        <v>0.45194120149918582</v>
      </c>
      <c r="AD388">
        <v>0.9437002406881676</v>
      </c>
      <c r="AE388">
        <v>0.20242566733452877</v>
      </c>
      <c r="AF388">
        <v>0.61512265801244492</v>
      </c>
      <c r="AG388">
        <v>0.90200520746229007</v>
      </c>
    </row>
    <row r="389" spans="8:33" x14ac:dyDescent="0.3">
      <c r="H389">
        <f t="shared" ref="H389" si="1145">H387+1</f>
        <v>191</v>
      </c>
      <c r="I389">
        <f t="shared" ref="I389" si="1146">J388</f>
        <v>9.0534831246447144E-4</v>
      </c>
      <c r="J389">
        <f t="shared" ref="J389" si="1147">I389</f>
        <v>9.0534831246447144E-4</v>
      </c>
      <c r="L389">
        <v>3.82</v>
      </c>
      <c r="M389">
        <v>0.26993529131982852</v>
      </c>
      <c r="N389">
        <v>0.75280827791204785</v>
      </c>
      <c r="O389">
        <v>0.71085606304513305</v>
      </c>
      <c r="P389">
        <v>0.78516173298654823</v>
      </c>
      <c r="Q389">
        <v>0.64436824267321469</v>
      </c>
      <c r="R389">
        <v>0.87538283613845047</v>
      </c>
      <c r="S389">
        <v>0.4167151145907354</v>
      </c>
      <c r="T389">
        <v>0.92850305843423686</v>
      </c>
      <c r="U389">
        <v>0.25359119244576905</v>
      </c>
      <c r="V389">
        <v>0.72305991231806155</v>
      </c>
      <c r="W389">
        <v>0.76493313247363615</v>
      </c>
      <c r="X389">
        <v>0.68687586291363978</v>
      </c>
      <c r="Y389">
        <v>0.82159571330627923</v>
      </c>
      <c r="Z389">
        <v>0.5599210732391573</v>
      </c>
      <c r="AA389">
        <v>0.94128415623073403</v>
      </c>
      <c r="AB389">
        <v>0.21112488101616525</v>
      </c>
      <c r="AC389">
        <v>0.63622545271452779</v>
      </c>
      <c r="AD389">
        <v>0.8841108314449978</v>
      </c>
      <c r="AE389">
        <v>0.39139288021653612</v>
      </c>
      <c r="AF389">
        <v>0.90994116529354008</v>
      </c>
      <c r="AG389">
        <v>0.31304228061149841</v>
      </c>
    </row>
    <row r="390" spans="8:33" x14ac:dyDescent="0.3">
      <c r="H390">
        <f t="shared" ref="H390" si="1148">H387+1</f>
        <v>191</v>
      </c>
      <c r="I390">
        <f t="shared" ref="I390" si="1149">J388</f>
        <v>9.0534831246447144E-4</v>
      </c>
      <c r="J390">
        <f t="shared" ref="J390" si="1150">$E$3*I390*(1-I390)</f>
        <v>3.6181146275903568E-3</v>
      </c>
      <c r="L390">
        <v>3.83</v>
      </c>
      <c r="M390">
        <v>0.50466648740841336</v>
      </c>
      <c r="N390">
        <v>0.95741659751887309</v>
      </c>
      <c r="O390">
        <v>0.15614931568360532</v>
      </c>
      <c r="P390">
        <v>0.50466648740841336</v>
      </c>
      <c r="Q390">
        <v>0.95741659751887309</v>
      </c>
      <c r="R390">
        <v>0.15614931568360532</v>
      </c>
      <c r="S390">
        <v>0.50466648740841336</v>
      </c>
      <c r="T390">
        <v>0.95741659751887309</v>
      </c>
      <c r="U390">
        <v>0.15614931568360532</v>
      </c>
      <c r="V390">
        <v>0.50466648740841336</v>
      </c>
      <c r="W390">
        <v>0.95741659751887309</v>
      </c>
      <c r="X390">
        <v>0.15614931568360532</v>
      </c>
      <c r="Y390">
        <v>0.50466648740841336</v>
      </c>
      <c r="Z390">
        <v>0.95741659751887309</v>
      </c>
      <c r="AA390">
        <v>0.15614931568360532</v>
      </c>
      <c r="AB390">
        <v>0.50466648740841336</v>
      </c>
      <c r="AC390">
        <v>0.95741659751887309</v>
      </c>
      <c r="AD390">
        <v>0.15614931568360532</v>
      </c>
      <c r="AE390">
        <v>0.50466648740841336</v>
      </c>
      <c r="AF390">
        <v>0.95741659751887309</v>
      </c>
      <c r="AG390">
        <v>0.15614931568360532</v>
      </c>
    </row>
    <row r="391" spans="8:33" x14ac:dyDescent="0.3">
      <c r="H391">
        <f t="shared" ref="H391" si="1151">H389+1</f>
        <v>192</v>
      </c>
      <c r="I391">
        <f t="shared" ref="I391" si="1152">J390</f>
        <v>3.6181146275903568E-3</v>
      </c>
      <c r="J391">
        <f t="shared" ref="J391" si="1153">I391</f>
        <v>3.6181146275903568E-3</v>
      </c>
      <c r="L391">
        <v>3.84</v>
      </c>
      <c r="M391">
        <v>0.95944788065012032</v>
      </c>
      <c r="N391">
        <v>0.14940535666987312</v>
      </c>
      <c r="O391">
        <v>0.48800024090196908</v>
      </c>
      <c r="P391">
        <v>0.9594470622013026</v>
      </c>
      <c r="Q391">
        <v>0.14940824461283472</v>
      </c>
      <c r="R391">
        <v>0.48800801684945683</v>
      </c>
      <c r="S391">
        <v>0.95944777858604957</v>
      </c>
      <c r="T391">
        <v>0.14940571680900236</v>
      </c>
      <c r="U391">
        <v>0.48800121060015561</v>
      </c>
      <c r="V391">
        <v>0.95944715156328253</v>
      </c>
      <c r="W391">
        <v>0.14940792929428259</v>
      </c>
      <c r="X391">
        <v>0.48800716783978465</v>
      </c>
      <c r="Y391">
        <v>0.95944770039082339</v>
      </c>
      <c r="Z391">
        <v>0.14940599272544328</v>
      </c>
      <c r="AA391">
        <v>0.48800195352256537</v>
      </c>
      <c r="AB391">
        <v>0.95944722002198524</v>
      </c>
      <c r="AC391">
        <v>0.14940768773402682</v>
      </c>
      <c r="AD391">
        <v>0.4880065174271937</v>
      </c>
      <c r="AE391">
        <v>0.95944764048297893</v>
      </c>
      <c r="AF391">
        <v>0.14940620411375363</v>
      </c>
      <c r="AG391">
        <v>0.4880025226985204</v>
      </c>
    </row>
    <row r="392" spans="8:33" x14ac:dyDescent="0.3">
      <c r="H392">
        <f t="shared" ref="H392" si="1154">H389+1</f>
        <v>192</v>
      </c>
      <c r="I392">
        <f t="shared" ref="I392" si="1155">J390</f>
        <v>3.6181146275903568E-3</v>
      </c>
      <c r="J392">
        <f t="shared" ref="J392" si="1156">$E$3*I392*(1-I392)</f>
        <v>1.4420095496527894E-2</v>
      </c>
      <c r="L392">
        <v>3.85</v>
      </c>
      <c r="M392">
        <v>0.15165675058238312</v>
      </c>
      <c r="N392">
        <v>0.49532937525292747</v>
      </c>
      <c r="O392">
        <v>0.96241601326821724</v>
      </c>
      <c r="P392">
        <v>0.13926000809154257</v>
      </c>
      <c r="Q392">
        <v>0.46148663421586134</v>
      </c>
      <c r="R392">
        <v>0.95678937452551205</v>
      </c>
      <c r="S392">
        <v>0.15917234918427722</v>
      </c>
      <c r="T392">
        <v>0.51527057289182765</v>
      </c>
      <c r="U392">
        <v>0.96160221697368831</v>
      </c>
      <c r="V392">
        <v>0.14215506414715753</v>
      </c>
      <c r="W392">
        <v>0.46949595725522902</v>
      </c>
      <c r="X392">
        <v>0.95891758799846694</v>
      </c>
      <c r="Y392">
        <v>0.15166939258882703</v>
      </c>
      <c r="Z392">
        <v>0.49536328357116866</v>
      </c>
      <c r="AA392">
        <v>0.96241722831392063</v>
      </c>
      <c r="AB392">
        <v>0.13925568179011491</v>
      </c>
      <c r="AC392">
        <v>0.46147461698524789</v>
      </c>
      <c r="AD392">
        <v>0.95678581022473141</v>
      </c>
      <c r="AE392">
        <v>0.15918488577274229</v>
      </c>
      <c r="AF392">
        <v>0.51530347296990597</v>
      </c>
      <c r="AG392">
        <v>0.96159834430297864</v>
      </c>
    </row>
    <row r="393" spans="8:33" x14ac:dyDescent="0.3">
      <c r="H393">
        <f t="shared" ref="H393" si="1157">H391+1</f>
        <v>193</v>
      </c>
      <c r="I393">
        <f t="shared" ref="I393" si="1158">J392</f>
        <v>1.4420095496527894E-2</v>
      </c>
      <c r="J393">
        <f t="shared" ref="J393" si="1159">I393</f>
        <v>1.4420095496527894E-2</v>
      </c>
      <c r="L393">
        <v>3.86</v>
      </c>
      <c r="M393">
        <v>0.38041906114940233</v>
      </c>
      <c r="N393">
        <v>0.90980354038553313</v>
      </c>
      <c r="O393">
        <v>0.31675568498968332</v>
      </c>
      <c r="P393">
        <v>0.83538707112330324</v>
      </c>
      <c r="Q393">
        <v>0.53080987834006277</v>
      </c>
      <c r="R393">
        <v>0.96133590039114825</v>
      </c>
      <c r="S393">
        <v>0.14347306185971379</v>
      </c>
      <c r="T393">
        <v>0.4743497735880064</v>
      </c>
      <c r="U393">
        <v>0.96246037431615183</v>
      </c>
      <c r="V393">
        <v>0.13946335244322786</v>
      </c>
      <c r="W393">
        <v>0.46325143746650216</v>
      </c>
      <c r="X393">
        <v>0.95978723656564524</v>
      </c>
      <c r="Y393">
        <v>0.14897939077252367</v>
      </c>
      <c r="Z393">
        <v>0.48938829312462545</v>
      </c>
      <c r="AA393">
        <v>0.96456533187395777</v>
      </c>
      <c r="AB393">
        <v>0.13193114234444039</v>
      </c>
      <c r="AC393">
        <v>0.44206771985314725</v>
      </c>
      <c r="AD393">
        <v>0.95204526453956806</v>
      </c>
      <c r="AE393">
        <v>0.17622860419637845</v>
      </c>
      <c r="AF393">
        <v>0.56036424138118612</v>
      </c>
      <c r="AG393">
        <v>0.95093477127914927</v>
      </c>
    </row>
    <row r="394" spans="8:33" x14ac:dyDescent="0.3">
      <c r="H394">
        <f t="shared" ref="H394" si="1160">H391+1</f>
        <v>193</v>
      </c>
      <c r="I394">
        <f t="shared" ref="I394" si="1161">J392</f>
        <v>1.4420095496527894E-2</v>
      </c>
      <c r="J394">
        <f t="shared" ref="J394" si="1162">$E$3*I394*(1-I394)</f>
        <v>5.6848625369595639E-2</v>
      </c>
      <c r="L394">
        <v>3.87</v>
      </c>
      <c r="M394">
        <v>0.4199106484112381</v>
      </c>
      <c r="N394">
        <v>0.94267664259929496</v>
      </c>
      <c r="O394">
        <v>0.20912469967545225</v>
      </c>
      <c r="P394">
        <v>0.64006533588847303</v>
      </c>
      <c r="Q394">
        <v>0.89157718551107856</v>
      </c>
      <c r="R394">
        <v>0.37410248113655059</v>
      </c>
      <c r="S394">
        <v>0.90615978305938616</v>
      </c>
      <c r="T394">
        <v>0.3290824725193397</v>
      </c>
      <c r="U394">
        <v>0.85444645935560415</v>
      </c>
      <c r="V394">
        <v>0.48130302783256834</v>
      </c>
      <c r="W394">
        <v>0.96614713790695106</v>
      </c>
      <c r="X394">
        <v>0.12657549332788126</v>
      </c>
      <c r="Y394">
        <v>0.42784451335056994</v>
      </c>
      <c r="Z394">
        <v>0.94735117683850578</v>
      </c>
      <c r="AA394">
        <v>0.19302369812925921</v>
      </c>
      <c r="AB394">
        <v>0.60281267884738599</v>
      </c>
      <c r="AC394">
        <v>0.92659237037402797</v>
      </c>
      <c r="AD394">
        <v>0.26323333471464572</v>
      </c>
      <c r="AE394">
        <v>0.75055378383135718</v>
      </c>
      <c r="AF394">
        <v>0.72455224144814556</v>
      </c>
      <c r="AG394">
        <v>0.77236024563057515</v>
      </c>
    </row>
    <row r="395" spans="8:33" x14ac:dyDescent="0.3">
      <c r="H395">
        <f t="shared" ref="H395" si="1163">H393+1</f>
        <v>194</v>
      </c>
      <c r="I395">
        <f t="shared" ref="I395" si="1164">J394</f>
        <v>5.6848625369595639E-2</v>
      </c>
      <c r="J395">
        <f t="shared" ref="J395" si="1165">I395</f>
        <v>5.6848625369595639E-2</v>
      </c>
      <c r="L395">
        <v>3.88</v>
      </c>
      <c r="M395">
        <v>0.95949457107936509</v>
      </c>
      <c r="N395">
        <v>0.15079518789653037</v>
      </c>
      <c r="O395">
        <v>0.49685727691066822</v>
      </c>
      <c r="P395">
        <v>0.96996167837134495</v>
      </c>
      <c r="Q395">
        <v>0.11304776094606749</v>
      </c>
      <c r="R395">
        <v>0.38903970300165525</v>
      </c>
      <c r="S395">
        <v>0.92222871246135185</v>
      </c>
      <c r="T395">
        <v>0.27828490776812875</v>
      </c>
      <c r="U395">
        <v>0.77926858136125776</v>
      </c>
      <c r="V395">
        <v>0.66739515072214572</v>
      </c>
      <c r="W395">
        <v>0.8612779904370752</v>
      </c>
      <c r="X395">
        <v>0.46357546886790457</v>
      </c>
      <c r="Y395">
        <v>0.96485222370341117</v>
      </c>
      <c r="Z395">
        <v>0.13158015125781586</v>
      </c>
      <c r="AA395">
        <v>0.44335524240481028</v>
      </c>
      <c r="AB395">
        <v>0.95755052117549089</v>
      </c>
      <c r="AC395">
        <v>0.15771237981950226</v>
      </c>
      <c r="AD395">
        <v>0.51541603807614467</v>
      </c>
      <c r="AE395">
        <v>0.96907790158773521</v>
      </c>
      <c r="AF395">
        <v>0.11626777829914235</v>
      </c>
      <c r="AG395">
        <v>0.39866837827067247</v>
      </c>
    </row>
    <row r="396" spans="8:33" x14ac:dyDescent="0.3">
      <c r="H396">
        <f t="shared" ref="H396" si="1166">H393+1</f>
        <v>194</v>
      </c>
      <c r="I396">
        <f t="shared" ref="I396" si="1167">J394</f>
        <v>5.6848625369595639E-2</v>
      </c>
      <c r="J396">
        <f t="shared" ref="J396" si="1168">$E$3*I396*(1-I396)</f>
        <v>0.21446743665273202</v>
      </c>
      <c r="L396">
        <v>3.89</v>
      </c>
      <c r="M396">
        <v>0.6370848318353115</v>
      </c>
      <c r="N396">
        <v>0.89939814314586208</v>
      </c>
      <c r="O396">
        <v>0.3519715694488697</v>
      </c>
      <c r="P396">
        <v>0.88726070078193431</v>
      </c>
      <c r="Q396">
        <v>0.38911339206025325</v>
      </c>
      <c r="R396">
        <v>0.92466918309870982</v>
      </c>
      <c r="S396">
        <v>0.27096217036320769</v>
      </c>
      <c r="T396">
        <v>0.76843710639559126</v>
      </c>
      <c r="U396">
        <v>0.69219251244975233</v>
      </c>
      <c r="V396">
        <v>0.82881132843559957</v>
      </c>
      <c r="W396">
        <v>0.55192529903749932</v>
      </c>
      <c r="X396">
        <v>0.9620116393142798</v>
      </c>
      <c r="Y396">
        <v>0.1421610035873328</v>
      </c>
      <c r="Z396">
        <v>0.47439037279439933</v>
      </c>
      <c r="AA396">
        <v>0.96994873180817764</v>
      </c>
      <c r="AB396">
        <v>0.11338645704563469</v>
      </c>
      <c r="AC396">
        <v>0.39106157709262251</v>
      </c>
      <c r="AD396">
        <v>0.92633511385622369</v>
      </c>
      <c r="AE396">
        <v>0.26544726199655105</v>
      </c>
      <c r="AF396">
        <v>0.75849170093988239</v>
      </c>
      <c r="AG396">
        <v>0.71257813772085288</v>
      </c>
    </row>
    <row r="397" spans="8:33" x14ac:dyDescent="0.3">
      <c r="H397">
        <f t="shared" ref="H397" si="1169">H395+1</f>
        <v>195</v>
      </c>
      <c r="I397">
        <f t="shared" ref="I397" si="1170">J396</f>
        <v>0.21446743665273202</v>
      </c>
      <c r="J397">
        <f t="shared" ref="J397" si="1171">I397</f>
        <v>0.21446743665273202</v>
      </c>
      <c r="L397">
        <v>3.9</v>
      </c>
      <c r="M397">
        <v>0.92076785037736153</v>
      </c>
      <c r="N397">
        <v>0.28452222274637579</v>
      </c>
      <c r="O397">
        <v>0.7939203772883664</v>
      </c>
      <c r="P397">
        <v>0.63808216607719093</v>
      </c>
      <c r="Q397">
        <v>0.9006399301045811</v>
      </c>
      <c r="R397">
        <v>0.34900182098260585</v>
      </c>
      <c r="S397">
        <v>0.88607824474038088</v>
      </c>
      <c r="T397">
        <v>0.39367999685892757</v>
      </c>
      <c r="U397">
        <v>0.93091462203512121</v>
      </c>
      <c r="V397">
        <v>0.25081909521368168</v>
      </c>
      <c r="W397">
        <v>0.7328446190904998</v>
      </c>
      <c r="X397">
        <v>0.76355519510634018</v>
      </c>
      <c r="Y397">
        <v>0.70410077061658993</v>
      </c>
      <c r="Z397">
        <v>0.81253721419148506</v>
      </c>
      <c r="AA397">
        <v>0.59404991000716056</v>
      </c>
      <c r="AB397">
        <v>0.94050299626781553</v>
      </c>
      <c r="AC397">
        <v>0.21823273008839988</v>
      </c>
      <c r="AD397">
        <v>0.66536810186559758</v>
      </c>
      <c r="AE397">
        <v>0.86834822445294046</v>
      </c>
      <c r="AF397">
        <v>0.44584638361522816</v>
      </c>
      <c r="AG397">
        <v>0.96356280474655864</v>
      </c>
    </row>
    <row r="398" spans="8:33" x14ac:dyDescent="0.3">
      <c r="H398">
        <f t="shared" ref="H398" si="1172">H395+1</f>
        <v>195</v>
      </c>
      <c r="I398">
        <f t="shared" ref="I398" si="1173">J396</f>
        <v>0.21446743665273202</v>
      </c>
      <c r="J398">
        <f t="shared" ref="J398" si="1174">$E$3*I398*(1-I398)</f>
        <v>0.67388462107335356</v>
      </c>
      <c r="L398">
        <v>3.91</v>
      </c>
      <c r="M398">
        <v>8.9066233482273494E-2</v>
      </c>
      <c r="N398">
        <v>0.31723174858401865</v>
      </c>
      <c r="O398">
        <v>0.84688944613268757</v>
      </c>
      <c r="P398">
        <v>0.50700075455247084</v>
      </c>
      <c r="Q398">
        <v>0.97730836869357163</v>
      </c>
      <c r="R398">
        <v>8.6710979794568641E-2</v>
      </c>
      <c r="S398">
        <v>0.30964144639055108</v>
      </c>
      <c r="T398">
        <v>0.83581575837477973</v>
      </c>
      <c r="U398">
        <v>0.53656060583024079</v>
      </c>
      <c r="V398">
        <v>0.9722735894161838</v>
      </c>
      <c r="W398">
        <v>0.10540443785321953</v>
      </c>
      <c r="X398">
        <v>0.36869087852619931</v>
      </c>
      <c r="Y398">
        <v>0.91008344615551462</v>
      </c>
      <c r="Z398">
        <v>0.31996142770983904</v>
      </c>
      <c r="AA398">
        <v>0.85076169982698724</v>
      </c>
      <c r="AB398">
        <v>0.49643795904382659</v>
      </c>
      <c r="AC398">
        <v>0.97745038938912576</v>
      </c>
      <c r="AD398">
        <v>8.6180801378193256E-2</v>
      </c>
      <c r="AE398">
        <v>0.3079268530313421</v>
      </c>
      <c r="AF398">
        <v>0.83325191329500525</v>
      </c>
      <c r="AG398">
        <v>0.54326776453520353</v>
      </c>
    </row>
    <row r="399" spans="8:33" x14ac:dyDescent="0.3">
      <c r="H399">
        <f t="shared" ref="H399" si="1175">H397+1</f>
        <v>196</v>
      </c>
      <c r="I399">
        <f t="shared" ref="I399" si="1176">J398</f>
        <v>0.67388462107335356</v>
      </c>
      <c r="J399">
        <f t="shared" ref="J399" si="1177">I399</f>
        <v>0.67388462107335356</v>
      </c>
      <c r="L399">
        <v>3.92</v>
      </c>
      <c r="M399">
        <v>0.65337087668893923</v>
      </c>
      <c r="N399">
        <v>0.88779130679997142</v>
      </c>
      <c r="O399">
        <v>0.3905021772918521</v>
      </c>
      <c r="P399">
        <v>0.93300008914292609</v>
      </c>
      <c r="Q399">
        <v>0.24504281738469477</v>
      </c>
      <c r="R399">
        <v>0.72518759332883431</v>
      </c>
      <c r="S399">
        <v>0.78121894741820874</v>
      </c>
      <c r="T399">
        <v>0.6699903421629394</v>
      </c>
      <c r="U399">
        <v>0.86672487159960099</v>
      </c>
      <c r="V399">
        <v>0.45281044471700421</v>
      </c>
      <c r="W399">
        <v>0.9712707318189967</v>
      </c>
      <c r="X399">
        <v>0.10938327753668618</v>
      </c>
      <c r="Y399">
        <v>0.38188081843751237</v>
      </c>
      <c r="Z399">
        <v>0.92530760707227155</v>
      </c>
      <c r="AA399">
        <v>0.2709246823165164</v>
      </c>
      <c r="AB399">
        <v>0.77429603540658742</v>
      </c>
      <c r="AC399">
        <v>0.6850658050440942</v>
      </c>
      <c r="AD399">
        <v>0.84574253938925481</v>
      </c>
      <c r="AE399">
        <v>0.51141141811014479</v>
      </c>
      <c r="AF399">
        <v>0.9794895357839245</v>
      </c>
      <c r="AG399">
        <v>7.8751957488969015E-2</v>
      </c>
    </row>
    <row r="400" spans="8:33" x14ac:dyDescent="0.3">
      <c r="H400">
        <f t="shared" ref="H400" si="1178">H397+1</f>
        <v>196</v>
      </c>
      <c r="I400">
        <f t="shared" ref="I400" si="1179">J398</f>
        <v>0.67388462107335356</v>
      </c>
      <c r="J400">
        <f t="shared" ref="J400" si="1180">$E$3*I400*(1-I400)</f>
        <v>0.87905655421670503</v>
      </c>
      <c r="L400">
        <v>3.93</v>
      </c>
      <c r="M400">
        <v>0.22003408187092582</v>
      </c>
      <c r="N400">
        <v>0.67446300281654803</v>
      </c>
      <c r="O400">
        <v>0.86288125634755641</v>
      </c>
      <c r="P400">
        <v>0.46498657160106288</v>
      </c>
      <c r="Q400">
        <v>0.97768205513878748</v>
      </c>
      <c r="R400">
        <v>8.5752026999650705E-2</v>
      </c>
      <c r="S400">
        <v>0.30810656427985045</v>
      </c>
      <c r="T400">
        <v>0.83778525365714129</v>
      </c>
      <c r="U400">
        <v>0.53409141107829816</v>
      </c>
      <c r="V400">
        <v>0.97793245846441368</v>
      </c>
      <c r="W400">
        <v>8.4811621024414682E-2</v>
      </c>
      <c r="X400">
        <v>0.30504113715704922</v>
      </c>
      <c r="Y400">
        <v>0.8331247942700053</v>
      </c>
      <c r="Z400">
        <v>0.54637953476928691</v>
      </c>
      <c r="AA400">
        <v>0.97404632930551704</v>
      </c>
      <c r="AB400">
        <v>9.9350705250823595E-2</v>
      </c>
      <c r="AC400">
        <v>0.35165696048476119</v>
      </c>
      <c r="AD400">
        <v>0.8960177665256045</v>
      </c>
      <c r="AE400">
        <v>0.3661578193825622</v>
      </c>
      <c r="AF400">
        <v>0.91209904380214679</v>
      </c>
      <c r="AG400">
        <v>0.3150853059226103</v>
      </c>
    </row>
    <row r="401" spans="8:33" x14ac:dyDescent="0.3">
      <c r="H401">
        <f t="shared" ref="H401" si="1181">H399+1</f>
        <v>197</v>
      </c>
      <c r="I401">
        <f t="shared" ref="I401" si="1182">J400</f>
        <v>0.87905655421670503</v>
      </c>
      <c r="J401">
        <f t="shared" ref="J401" si="1183">I401</f>
        <v>0.87905655421670503</v>
      </c>
      <c r="L401">
        <v>3.94</v>
      </c>
      <c r="M401">
        <v>0.18771988468598916</v>
      </c>
      <c r="N401">
        <v>0.60077565054310433</v>
      </c>
      <c r="O401">
        <v>0.94498641693499952</v>
      </c>
      <c r="P401">
        <v>0.20482912964880207</v>
      </c>
      <c r="Q401">
        <v>0.64172417974669826</v>
      </c>
      <c r="R401">
        <v>0.90586217208799469</v>
      </c>
      <c r="S401">
        <v>0.335987035235979</v>
      </c>
      <c r="T401">
        <v>0.87901300471390509</v>
      </c>
      <c r="U401">
        <v>0.41901562049548519</v>
      </c>
      <c r="V401">
        <v>0.95915962928849885</v>
      </c>
      <c r="W401">
        <v>0.15433939323669435</v>
      </c>
      <c r="X401">
        <v>0.51424385503217207</v>
      </c>
      <c r="Y401">
        <v>0.98420062361966043</v>
      </c>
      <c r="Z401">
        <v>6.1266038980147833E-2</v>
      </c>
      <c r="AA401">
        <v>0.22659929510445351</v>
      </c>
      <c r="AB401">
        <v>0.69049309497671607</v>
      </c>
      <c r="AC401">
        <v>0.84202678021879585</v>
      </c>
      <c r="AD401">
        <v>0.52408966555586423</v>
      </c>
      <c r="AE401">
        <v>0.98271357077282195</v>
      </c>
      <c r="AF401">
        <v>6.6931177851502141E-2</v>
      </c>
      <c r="AG401">
        <v>0.24605849741467617</v>
      </c>
    </row>
    <row r="402" spans="8:33" x14ac:dyDescent="0.3">
      <c r="H402">
        <f t="shared" ref="H402" si="1184">H399+1</f>
        <v>197</v>
      </c>
      <c r="I402">
        <f t="shared" ref="I402" si="1185">J400</f>
        <v>0.87905655421670503</v>
      </c>
      <c r="J402">
        <f t="shared" ref="J402" si="1186">$E$3*I402*(1-I402)</f>
        <v>0.42526451482143263</v>
      </c>
      <c r="L402">
        <v>3.95</v>
      </c>
      <c r="M402">
        <v>0.42704727437048073</v>
      </c>
      <c r="N402">
        <v>0.96647770430173519</v>
      </c>
      <c r="O402">
        <v>0.12797427798806252</v>
      </c>
      <c r="P402">
        <v>0.44080760553791171</v>
      </c>
      <c r="Q402">
        <v>0.97366022872948588</v>
      </c>
      <c r="R402">
        <v>0.10130165149372794</v>
      </c>
      <c r="S402">
        <v>0.35960652624856637</v>
      </c>
      <c r="T402">
        <v>0.90964420648562183</v>
      </c>
      <c r="U402">
        <v>0.32465691516642264</v>
      </c>
      <c r="V402">
        <v>0.86605647027412724</v>
      </c>
      <c r="W402">
        <v>0.45821050925326567</v>
      </c>
      <c r="X402">
        <v>0.9806018719293581</v>
      </c>
      <c r="Y402">
        <v>7.5136270757087648E-2</v>
      </c>
      <c r="Z402">
        <v>0.27448870571653083</v>
      </c>
      <c r="AA402">
        <v>0.78662139179484858</v>
      </c>
      <c r="AB402">
        <v>0.66300030217405648</v>
      </c>
      <c r="AC402">
        <v>0.88255206089010685</v>
      </c>
      <c r="AD402">
        <v>0.40943298679949136</v>
      </c>
      <c r="AE402">
        <v>0.95510058367375861</v>
      </c>
      <c r="AF402">
        <v>0.16938966202222674</v>
      </c>
      <c r="AG402">
        <v>0.55575237746777906</v>
      </c>
    </row>
    <row r="403" spans="8:33" x14ac:dyDescent="0.3">
      <c r="H403">
        <f t="shared" ref="H403" si="1187">H401+1</f>
        <v>198</v>
      </c>
      <c r="I403">
        <f t="shared" ref="I403" si="1188">J402</f>
        <v>0.42526451482143263</v>
      </c>
      <c r="J403">
        <f t="shared" ref="J403" si="1189">I403</f>
        <v>0.42526451482143263</v>
      </c>
      <c r="L403">
        <v>3.96</v>
      </c>
      <c r="M403">
        <v>0.9878028006796189</v>
      </c>
      <c r="N403">
        <v>4.771177349051519E-2</v>
      </c>
      <c r="O403">
        <v>0.17992402623718368</v>
      </c>
      <c r="P403">
        <v>0.58430342923834822</v>
      </c>
      <c r="Q403">
        <v>0.96185601000187304</v>
      </c>
      <c r="R403">
        <v>0.14528854305959302</v>
      </c>
      <c r="S403">
        <v>0.49175193796824662</v>
      </c>
      <c r="T403">
        <v>0.98973059911197248</v>
      </c>
      <c r="U403">
        <v>4.0249203561976879E-2</v>
      </c>
      <c r="V403">
        <v>0.15297165249142958</v>
      </c>
      <c r="W403">
        <v>0.51310245106086472</v>
      </c>
      <c r="X403">
        <v>0.98932017007374262</v>
      </c>
      <c r="Y403">
        <v>4.1840453789654238E-2</v>
      </c>
      <c r="Z403">
        <v>0.15875572765666696</v>
      </c>
      <c r="AA403">
        <v>0.52886729250776188</v>
      </c>
      <c r="AB403">
        <v>0.98670005051615439</v>
      </c>
      <c r="AC403">
        <v>5.1967320877188139E-2</v>
      </c>
      <c r="AD403">
        <v>0.19509620501462061</v>
      </c>
      <c r="AE403">
        <v>0.6218533561819144</v>
      </c>
      <c r="AF403">
        <v>0.93120096796532592</v>
      </c>
      <c r="AG403">
        <v>0.25370027189403321</v>
      </c>
    </row>
    <row r="404" spans="8:33" x14ac:dyDescent="0.3">
      <c r="H404">
        <f t="shared" ref="H404" si="1190">H401+1</f>
        <v>198</v>
      </c>
      <c r="I404">
        <f t="shared" ref="I404" si="1191">J402</f>
        <v>0.42526451482143263</v>
      </c>
      <c r="J404">
        <f t="shared" ref="J404" si="1192">$E$3*I404*(1-I404)</f>
        <v>0.97765842902049649</v>
      </c>
      <c r="L404">
        <v>3.97</v>
      </c>
      <c r="M404">
        <v>0.11565553434668589</v>
      </c>
      <c r="N404">
        <v>0.4060489469350238</v>
      </c>
      <c r="O404">
        <v>0.95745760252308876</v>
      </c>
      <c r="P404">
        <v>0.16170819131849612</v>
      </c>
      <c r="Q404">
        <v>0.53816784915061722</v>
      </c>
      <c r="R404">
        <v>0.98671656470612656</v>
      </c>
      <c r="S404">
        <v>5.2034732993447644E-2</v>
      </c>
      <c r="T404">
        <v>0.19582866463632059</v>
      </c>
      <c r="U404">
        <v>0.62519480101001212</v>
      </c>
      <c r="V404">
        <v>0.93027525934625199</v>
      </c>
      <c r="W404">
        <v>0.25750690874222693</v>
      </c>
      <c r="X404">
        <v>0.75905248974823003</v>
      </c>
      <c r="Y404">
        <v>0.72608047599431547</v>
      </c>
      <c r="Z404">
        <v>0.78958384494550948</v>
      </c>
      <c r="AA404">
        <v>0.65958055108390323</v>
      </c>
      <c r="AB404">
        <v>0.89140016943155831</v>
      </c>
      <c r="AC404">
        <v>0.38431945225472142</v>
      </c>
      <c r="AD404">
        <v>0.93937350316720869</v>
      </c>
      <c r="AE404">
        <v>0.2260951711168622</v>
      </c>
      <c r="AF404">
        <v>0.69465529451656105</v>
      </c>
      <c r="AG404">
        <v>0.8420739857771834</v>
      </c>
    </row>
    <row r="405" spans="8:33" x14ac:dyDescent="0.3">
      <c r="H405">
        <f t="shared" ref="H405" si="1193">H403+1</f>
        <v>199</v>
      </c>
      <c r="I405">
        <f t="shared" ref="I405" si="1194">J404</f>
        <v>0.97765842902049649</v>
      </c>
      <c r="J405">
        <f t="shared" ref="J405" si="1195">I405</f>
        <v>0.97765842902049649</v>
      </c>
      <c r="L405">
        <v>3.98</v>
      </c>
      <c r="M405">
        <v>0.73182749412116355</v>
      </c>
      <c r="N405">
        <v>0.78109893161861743</v>
      </c>
      <c r="O405">
        <v>0.68051389475862989</v>
      </c>
      <c r="P405">
        <v>0.86531064052029982</v>
      </c>
      <c r="Q405">
        <v>0.46386158097214009</v>
      </c>
      <c r="R405">
        <v>0.98980217838726403</v>
      </c>
      <c r="S405">
        <v>4.0173427667421317E-2</v>
      </c>
      <c r="T405">
        <v>0.15346690303994973</v>
      </c>
      <c r="U405">
        <v>0.51706095459088008</v>
      </c>
      <c r="V405">
        <v>0.99384151683722277</v>
      </c>
      <c r="W405">
        <v>2.4359813866685853E-2</v>
      </c>
      <c r="X405">
        <v>9.4590325073563755E-2</v>
      </c>
      <c r="Y405">
        <v>0.34085912199464435</v>
      </c>
      <c r="Z405">
        <v>0.89420324017178432</v>
      </c>
      <c r="AA405">
        <v>0.37652314564350481</v>
      </c>
      <c r="AB405">
        <v>0.93431879642413507</v>
      </c>
      <c r="AC405">
        <v>0.24424138862930905</v>
      </c>
      <c r="AD405">
        <v>0.73465838018474872</v>
      </c>
      <c r="AE405">
        <v>0.77584306954409843</v>
      </c>
      <c r="AF405">
        <v>0.69216419191826895</v>
      </c>
      <c r="AG405">
        <v>0.84803023491070684</v>
      </c>
    </row>
    <row r="406" spans="8:33" x14ac:dyDescent="0.3">
      <c r="H406">
        <f t="shared" ref="H406" si="1196">H403+1</f>
        <v>199</v>
      </c>
      <c r="I406">
        <f t="shared" ref="I406" si="1197">J404</f>
        <v>0.97765842902049649</v>
      </c>
      <c r="J406">
        <f t="shared" ref="J406" si="1198">$E$3*I406*(1-I406)</f>
        <v>8.7369700742685269E-2</v>
      </c>
      <c r="L406">
        <v>3.99</v>
      </c>
      <c r="M406">
        <v>0.39967508134815616</v>
      </c>
      <c r="N406">
        <v>0.95734029368302864</v>
      </c>
      <c r="O406">
        <v>0.16295102453794524</v>
      </c>
      <c r="P406">
        <v>0.54422797267851708</v>
      </c>
      <c r="Q406">
        <v>0.98969510686666584</v>
      </c>
      <c r="R406">
        <v>4.0692822220270437E-2</v>
      </c>
      <c r="S406">
        <v>0.15575729659567941</v>
      </c>
      <c r="T406">
        <v>0.52467287500001114</v>
      </c>
      <c r="U406">
        <v>0.99507108446454307</v>
      </c>
      <c r="V406">
        <v>1.9569439095134051E-2</v>
      </c>
      <c r="W406">
        <v>7.6554039833057197E-2</v>
      </c>
      <c r="X406">
        <v>0.28206714008500061</v>
      </c>
      <c r="Y406">
        <v>0.80799602159138451</v>
      </c>
      <c r="Z406">
        <v>0.61900241822867885</v>
      </c>
      <c r="AA406">
        <v>0.9409953135783492</v>
      </c>
      <c r="AB406">
        <v>0.22153730227371449</v>
      </c>
      <c r="AC406">
        <v>0.68810951864024739</v>
      </c>
      <c r="AD406">
        <v>0.85631308789776839</v>
      </c>
      <c r="AE406">
        <v>0.49093352373710114</v>
      </c>
      <c r="AF406">
        <v>0.99717201804261568</v>
      </c>
      <c r="AG406">
        <v>1.1251738056977776E-2</v>
      </c>
    </row>
    <row r="407" spans="8:33" x14ac:dyDescent="0.3">
      <c r="H407">
        <f t="shared" ref="H407" si="1199">H405+1</f>
        <v>200</v>
      </c>
      <c r="I407">
        <f t="shared" ref="I407" si="1200">J406</f>
        <v>8.7369700742685269E-2</v>
      </c>
      <c r="J407">
        <f t="shared" ref="J407" si="1201">I407</f>
        <v>8.7369700742685269E-2</v>
      </c>
      <c r="L407">
        <v>4</v>
      </c>
      <c r="M407">
        <v>0.8805916632322689</v>
      </c>
      <c r="N407">
        <v>0.42059994351238089</v>
      </c>
      <c r="O407">
        <v>0.97478252411905164</v>
      </c>
      <c r="P407">
        <v>9.8326219164568587E-2</v>
      </c>
      <c r="Q407">
        <v>0.35463269515747925</v>
      </c>
      <c r="R407">
        <v>0.91547338673128664</v>
      </c>
      <c r="S407">
        <v>0.3095274596721389</v>
      </c>
      <c r="T407">
        <v>0.85488084552420529</v>
      </c>
      <c r="U407">
        <v>0.49623834192010058</v>
      </c>
      <c r="V407">
        <v>0.99994339971395962</v>
      </c>
      <c r="W407">
        <v>2.2638832979198384E-4</v>
      </c>
      <c r="X407">
        <v>9.0534831246447144E-4</v>
      </c>
      <c r="Y407">
        <v>3.6181146275903568E-3</v>
      </c>
      <c r="Z407">
        <v>1.4420095496527894E-2</v>
      </c>
      <c r="AA407">
        <v>5.6848625369595639E-2</v>
      </c>
      <c r="AB407">
        <v>0.21446743665273202</v>
      </c>
      <c r="AC407">
        <v>0.67388462107335356</v>
      </c>
      <c r="AD407">
        <v>0.87905655421670503</v>
      </c>
      <c r="AE407">
        <v>0.42526451482143263</v>
      </c>
      <c r="AF407">
        <v>0.97765842902049649</v>
      </c>
      <c r="AG407">
        <v>8.7369700742685269E-2</v>
      </c>
    </row>
    <row r="408" spans="8:33" x14ac:dyDescent="0.3">
      <c r="H408">
        <f t="shared" ref="H408" si="1202">H405+1</f>
        <v>200</v>
      </c>
      <c r="I408">
        <f t="shared" ref="I408" si="1203">J406</f>
        <v>8.7369700742685269E-2</v>
      </c>
      <c r="J408">
        <f t="shared" ref="J408" si="1204">$E$3*I408*(1-I408)</f>
        <v>0.31894494453927558</v>
      </c>
    </row>
  </sheetData>
  <phoneticPr fontId="1" type="noConversion"/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9CF0-C4B4-4F2B-B886-A01EA730B95B}">
  <sheetPr codeName="Sheet5"/>
  <dimension ref="A1:P206"/>
  <sheetViews>
    <sheetView tabSelected="1" zoomScale="93" zoomScaleNormal="120" workbookViewId="0">
      <selection activeCell="P22" sqref="P22"/>
    </sheetView>
  </sheetViews>
  <sheetFormatPr defaultRowHeight="16.5" x14ac:dyDescent="0.3"/>
  <cols>
    <col min="2" max="2" width="13.75" customWidth="1"/>
    <col min="3" max="3" width="25.75" customWidth="1"/>
    <col min="4" max="4" width="14.5" customWidth="1"/>
    <col min="5" max="5" width="13.5" customWidth="1"/>
  </cols>
  <sheetData>
    <row r="1" spans="1:16" ht="17.25" thickBot="1" x14ac:dyDescent="0.35">
      <c r="A1" t="s">
        <v>100</v>
      </c>
      <c r="D1" t="s">
        <v>95</v>
      </c>
      <c r="G1" t="s">
        <v>102</v>
      </c>
    </row>
    <row r="2" spans="1:16" x14ac:dyDescent="0.3">
      <c r="C2" t="s">
        <v>118</v>
      </c>
      <c r="F2" s="2" t="s">
        <v>103</v>
      </c>
      <c r="G2" s="3" t="s">
        <v>104</v>
      </c>
      <c r="H2" s="3" t="s">
        <v>105</v>
      </c>
      <c r="I2" s="3" t="s">
        <v>106</v>
      </c>
      <c r="J2" s="3" t="s">
        <v>107</v>
      </c>
      <c r="K2" s="3" t="s">
        <v>108</v>
      </c>
      <c r="L2" s="4" t="s">
        <v>109</v>
      </c>
      <c r="N2" s="2" t="s">
        <v>93</v>
      </c>
      <c r="O2" s="3"/>
      <c r="P2" s="4"/>
    </row>
    <row r="3" spans="1:16" ht="17.25" thickBot="1" x14ac:dyDescent="0.35">
      <c r="A3" t="s">
        <v>96</v>
      </c>
      <c r="B3" s="1" t="s">
        <v>97</v>
      </c>
      <c r="C3" s="1" t="s">
        <v>99</v>
      </c>
      <c r="D3">
        <f>0</f>
        <v>0</v>
      </c>
      <c r="F3" s="5" t="s">
        <v>110</v>
      </c>
      <c r="G3" s="6">
        <f ca="1">INDEX($A6:$A206,MATCH(1,$F6:$F206,0))</f>
        <v>0.19999999999998122</v>
      </c>
      <c r="H3" s="6">
        <f ca="1">INDEX($A6:$A206,MATCH(2,$F6:$F206,0))</f>
        <v>3.9999999999999836</v>
      </c>
      <c r="I3" s="6">
        <f ca="1">INDEX($A6:$A206,MATCH(3,$F6:$F206,0))</f>
        <v>5.7999999999999776</v>
      </c>
      <c r="J3" s="6">
        <f ca="1">INDEX($A6:$A206,MATCH(4,$F6:$F206,0))</f>
        <v>6.7999999999999741</v>
      </c>
      <c r="K3" s="6">
        <f ca="1">INDEX($A6:$A206,MATCH(5,$F6:$F206,0))</f>
        <v>8.0999999999999694</v>
      </c>
      <c r="L3" s="7">
        <f ca="1">INDEX($A6:$A206,MATCH(6,$F6:$F206,0))</f>
        <v>8.799999999999967</v>
      </c>
      <c r="N3" s="12" t="s">
        <v>94</v>
      </c>
      <c r="P3" s="13"/>
    </row>
    <row r="4" spans="1:16" x14ac:dyDescent="0.3">
      <c r="B4" t="s">
        <v>113</v>
      </c>
      <c r="D4" t="s">
        <v>119</v>
      </c>
      <c r="E4" t="s">
        <v>112</v>
      </c>
      <c r="F4" t="s">
        <v>111</v>
      </c>
      <c r="N4" s="12" t="s">
        <v>114</v>
      </c>
      <c r="P4" s="13"/>
    </row>
    <row r="5" spans="1:16" x14ac:dyDescent="0.3">
      <c r="A5" t="s">
        <v>33</v>
      </c>
      <c r="B5" t="str">
        <f>CONCATENATE("f(x)=",SUBSTITUTE(C3,"#","x"))</f>
        <v>f(x)=10*exp(-x)*x-1+3*sin(x^2/5)</v>
      </c>
      <c r="D5" t="s">
        <v>57</v>
      </c>
      <c r="E5" t="s">
        <v>98</v>
      </c>
      <c r="F5" t="s">
        <v>101</v>
      </c>
      <c r="N5" s="12" t="s">
        <v>115</v>
      </c>
      <c r="P5" s="13"/>
    </row>
    <row r="6" spans="1:16" x14ac:dyDescent="0.3">
      <c r="A6">
        <v>-10</v>
      </c>
      <c r="B6" cm="1">
        <f t="array" aca="1" ref="B6" ca="1">eval(CONCATENATE(SUBSTITUTE($C$3,"#",CONCATENATE("A",ROW()))))</f>
        <v>-2202644.8406449198</v>
      </c>
      <c r="E6">
        <v>0</v>
      </c>
      <c r="F6">
        <f>D6*E6</f>
        <v>0</v>
      </c>
      <c r="N6" s="12" t="s">
        <v>116</v>
      </c>
      <c r="P6" s="13"/>
    </row>
    <row r="7" spans="1:16" ht="17.25" thickBot="1" x14ac:dyDescent="0.35">
      <c r="A7">
        <f>A6+0.1</f>
        <v>-9.9</v>
      </c>
      <c r="B7" cm="1">
        <f t="array" aca="1" ref="B7" ca="1">eval(CONCATENATE(SUBSTITUTE($C$3,"#",CONCATENATE("A",ROW()))))</f>
        <v>-1973105.6231097174</v>
      </c>
      <c r="D7">
        <f ca="1">IF(B7*B6&lt;=0,1,0)</f>
        <v>0</v>
      </c>
      <c r="E7">
        <f ca="1">SUM(E6+D7)</f>
        <v>0</v>
      </c>
      <c r="F7">
        <f ca="1">D7*E7</f>
        <v>0</v>
      </c>
      <c r="N7" s="5" t="s">
        <v>117</v>
      </c>
      <c r="O7" s="6"/>
      <c r="P7" s="7"/>
    </row>
    <row r="8" spans="1:16" x14ac:dyDescent="0.3">
      <c r="A8">
        <f t="shared" ref="A8:A71" si="0">A7+0.1</f>
        <v>-9.8000000000000007</v>
      </c>
      <c r="B8" cm="1">
        <f t="array" aca="1" ref="B8" ca="1">eval(CONCATENATE(SUBSTITUTE($C$3,"#",CONCATENATE("A",ROW()))))</f>
        <v>-1767306.9504743193</v>
      </c>
      <c r="D8">
        <f t="shared" ref="D8:D71" ca="1" si="1">IF(B8*B7&lt;=0,1,0)</f>
        <v>0</v>
      </c>
      <c r="E8">
        <f t="shared" ref="E8:E71" ca="1" si="2">SUM(E7+D8)</f>
        <v>0</v>
      </c>
      <c r="F8">
        <f t="shared" ref="F8:F71" ca="1" si="3">D8*E8</f>
        <v>0</v>
      </c>
    </row>
    <row r="9" spans="1:16" x14ac:dyDescent="0.3">
      <c r="A9">
        <f t="shared" si="0"/>
        <v>-9.7000000000000011</v>
      </c>
      <c r="B9" cm="1">
        <f t="array" aca="1" ref="B9" ca="1">eval(CONCATENATE(SUBSTITUTE($C$3,"#",CONCATENATE("A",ROW()))))</f>
        <v>-1582808.9928595528</v>
      </c>
      <c r="D9">
        <f t="shared" ca="1" si="1"/>
        <v>0</v>
      </c>
      <c r="E9">
        <f t="shared" ca="1" si="2"/>
        <v>0</v>
      </c>
      <c r="F9">
        <f t="shared" ca="1" si="3"/>
        <v>0</v>
      </c>
    </row>
    <row r="10" spans="1:16" x14ac:dyDescent="0.3">
      <c r="A10">
        <f t="shared" si="0"/>
        <v>-9.6000000000000014</v>
      </c>
      <c r="B10" cm="1">
        <f t="array" aca="1" ref="B10" ca="1">eval(CONCATENATE(SUBSTITUTE($C$3,"#",CONCATENATE("A",ROW()))))</f>
        <v>-1417421.2468781495</v>
      </c>
      <c r="D10">
        <f t="shared" ca="1" si="1"/>
        <v>0</v>
      </c>
      <c r="E10">
        <f t="shared" ca="1" si="2"/>
        <v>0</v>
      </c>
      <c r="F10">
        <f t="shared" ca="1" si="3"/>
        <v>0</v>
      </c>
    </row>
    <row r="11" spans="1:16" x14ac:dyDescent="0.3">
      <c r="A11">
        <f t="shared" si="0"/>
        <v>-9.5000000000000018</v>
      </c>
      <c r="B11" cm="1">
        <f t="array" aca="1" ref="B11" ca="1">eval(CONCATENATE(SUBSTITUTE($C$3,"#",CONCATENATE("A",ROW()))))</f>
        <v>-1269177.1999577635</v>
      </c>
      <c r="D11">
        <f t="shared" ca="1" si="1"/>
        <v>0</v>
      </c>
      <c r="E11">
        <f t="shared" ca="1" si="2"/>
        <v>0</v>
      </c>
      <c r="F11">
        <f t="shared" ca="1" si="3"/>
        <v>0</v>
      </c>
    </row>
    <row r="12" spans="1:16" x14ac:dyDescent="0.3">
      <c r="A12">
        <f t="shared" si="0"/>
        <v>-9.4000000000000021</v>
      </c>
      <c r="B12" cm="1">
        <f t="array" aca="1" ref="B12" ca="1">eval(CONCATENATE(SUBSTITUTE($C$3,"#",CONCATENATE("A",ROW()))))</f>
        <v>-1136311.5596571241</v>
      </c>
      <c r="D12">
        <f t="shared" ca="1" si="1"/>
        <v>0</v>
      </c>
      <c r="E12">
        <f t="shared" ca="1" si="2"/>
        <v>0</v>
      </c>
      <c r="F12">
        <f t="shared" ca="1" si="3"/>
        <v>0</v>
      </c>
    </row>
    <row r="13" spans="1:16" x14ac:dyDescent="0.3">
      <c r="A13">
        <f t="shared" si="0"/>
        <v>-9.3000000000000025</v>
      </c>
      <c r="B13" cm="1">
        <f t="array" aca="1" ref="B13" ca="1">eval(CONCATENATE(SUBSTITUTE($C$3,"#",CONCATENATE("A",ROW()))))</f>
        <v>-1017239.7858040923</v>
      </c>
      <c r="D13">
        <f t="shared" ca="1" si="1"/>
        <v>0</v>
      </c>
      <c r="E13">
        <f t="shared" ca="1" si="2"/>
        <v>0</v>
      </c>
      <c r="F13">
        <f t="shared" ca="1" si="3"/>
        <v>0</v>
      </c>
    </row>
    <row r="14" spans="1:16" x14ac:dyDescent="0.3">
      <c r="A14">
        <f t="shared" si="0"/>
        <v>-9.2000000000000028</v>
      </c>
      <c r="B14" cm="1">
        <f t="array" aca="1" ref="B14" ca="1">eval(CONCATENATE(SUBSTITUTE($C$3,"#",CONCATENATE("A",ROW()))))</f>
        <v>-910539.69074037857</v>
      </c>
      <c r="D14">
        <f t="shared" ca="1" si="1"/>
        <v>0</v>
      </c>
      <c r="E14">
        <f t="shared" ca="1" si="2"/>
        <v>0</v>
      </c>
      <c r="F14">
        <f t="shared" ca="1" si="3"/>
        <v>0</v>
      </c>
    </row>
    <row r="15" spans="1:16" x14ac:dyDescent="0.3">
      <c r="A15">
        <f t="shared" si="0"/>
        <v>-9.1000000000000032</v>
      </c>
      <c r="B15" cm="1">
        <f t="array" aca="1" ref="B15" ca="1">eval(CONCATENATE(SUBSTITUTE($C$3,"#",CONCATENATE("A",ROW()))))</f>
        <v>-814934.89783226722</v>
      </c>
      <c r="D15">
        <f t="shared" ca="1" si="1"/>
        <v>0</v>
      </c>
      <c r="E15">
        <f t="shared" ca="1" si="2"/>
        <v>0</v>
      </c>
      <c r="F15">
        <f t="shared" ca="1" si="3"/>
        <v>0</v>
      </c>
    </row>
    <row r="16" spans="1:16" x14ac:dyDescent="0.3">
      <c r="A16">
        <f t="shared" si="0"/>
        <v>-9.0000000000000036</v>
      </c>
      <c r="B16" cm="1">
        <f t="array" aca="1" ref="B16" ca="1">eval(CONCATENATE(SUBSTITUTE($C$3,"#",CONCATENATE("A",ROW()))))</f>
        <v>-729279.97074774664</v>
      </c>
      <c r="D16">
        <f t="shared" ca="1" si="1"/>
        <v>0</v>
      </c>
      <c r="E16">
        <f t="shared" ca="1" si="2"/>
        <v>0</v>
      </c>
      <c r="F16">
        <f t="shared" ca="1" si="3"/>
        <v>0</v>
      </c>
    </row>
    <row r="17" spans="1:6" x14ac:dyDescent="0.3">
      <c r="A17">
        <f t="shared" si="0"/>
        <v>-8.9000000000000039</v>
      </c>
      <c r="B17" cm="1">
        <f t="array" aca="1" ref="B17" ca="1">eval(CONCATENATE(SUBSTITUTE($C$3,"#",CONCATENATE("A",ROW()))))</f>
        <v>-652547.04589212185</v>
      </c>
      <c r="D17">
        <f t="shared" ca="1" si="1"/>
        <v>0</v>
      </c>
      <c r="E17">
        <f t="shared" ca="1" si="2"/>
        <v>0</v>
      </c>
      <c r="F17">
        <f t="shared" ca="1" si="3"/>
        <v>0</v>
      </c>
    </row>
    <row r="18" spans="1:6" x14ac:dyDescent="0.3">
      <c r="A18">
        <f t="shared" si="0"/>
        <v>-8.8000000000000043</v>
      </c>
      <c r="B18" cm="1">
        <f t="array" aca="1" ref="B18" ca="1">eval(CONCATENATE(SUBSTITUTE($C$3,"#",CONCATENATE("A",ROW()))))</f>
        <v>-583813.81797112804</v>
      </c>
      <c r="D18">
        <f t="shared" ca="1" si="1"/>
        <v>0</v>
      </c>
      <c r="E18">
        <f t="shared" ca="1" si="2"/>
        <v>0</v>
      </c>
      <c r="F18">
        <f t="shared" ca="1" si="3"/>
        <v>0</v>
      </c>
    </row>
    <row r="19" spans="1:6" x14ac:dyDescent="0.3">
      <c r="A19">
        <f t="shared" si="0"/>
        <v>-8.7000000000000046</v>
      </c>
      <c r="B19" cm="1">
        <f t="array" aca="1" ref="B19" ca="1">eval(CONCATENATE(SUBSTITUTE($C$3,"#",CONCATENATE("A",ROW()))))</f>
        <v>-522252.74409834074</v>
      </c>
      <c r="D19">
        <f t="shared" ca="1" si="1"/>
        <v>0</v>
      </c>
      <c r="E19">
        <f t="shared" ca="1" si="2"/>
        <v>0</v>
      </c>
      <c r="F19">
        <f t="shared" ca="1" si="3"/>
        <v>0</v>
      </c>
    </row>
    <row r="20" spans="1:6" x14ac:dyDescent="0.3">
      <c r="A20">
        <f t="shared" si="0"/>
        <v>-8.600000000000005</v>
      </c>
      <c r="B20" cm="1">
        <f t="array" aca="1" ref="B20" ca="1">eval(CONCATENATE(SUBSTITUTE($C$3,"#",CONCATENATE("A",ROW()))))</f>
        <v>-467121.34540838649</v>
      </c>
      <c r="D20">
        <f t="shared" ca="1" si="1"/>
        <v>0</v>
      </c>
      <c r="E20">
        <f t="shared" ca="1" si="2"/>
        <v>0</v>
      </c>
      <c r="F20">
        <f t="shared" ca="1" si="3"/>
        <v>0</v>
      </c>
    </row>
    <row r="21" spans="1:6" x14ac:dyDescent="0.3">
      <c r="A21">
        <f t="shared" si="0"/>
        <v>-8.5000000000000053</v>
      </c>
      <c r="B21" cm="1">
        <f t="array" aca="1" ref="B21" ca="1">eval(CONCATENATE(SUBSTITUTE($C$3,"#",CONCATENATE("A",ROW()))))</f>
        <v>-417753.49702892848</v>
      </c>
      <c r="D21">
        <f t="shared" ca="1" si="1"/>
        <v>0</v>
      </c>
      <c r="E21">
        <f t="shared" ca="1" si="2"/>
        <v>0</v>
      </c>
      <c r="F21">
        <f t="shared" ca="1" si="3"/>
        <v>0</v>
      </c>
    </row>
    <row r="22" spans="1:6" x14ac:dyDescent="0.3">
      <c r="A22">
        <f t="shared" si="0"/>
        <v>-8.4000000000000057</v>
      </c>
      <c r="B22" cm="1">
        <f t="array" aca="1" ref="B22" ca="1">eval(CONCATENATE(SUBSTITUTE($C$3,"#",CONCATENATE("A",ROW()))))</f>
        <v>-373551.60775680258</v>
      </c>
      <c r="D22">
        <f t="shared" ca="1" si="1"/>
        <v>0</v>
      </c>
      <c r="E22">
        <f t="shared" ca="1" si="2"/>
        <v>0</v>
      </c>
      <c r="F22">
        <f t="shared" ca="1" si="3"/>
        <v>0</v>
      </c>
    </row>
    <row r="23" spans="1:6" x14ac:dyDescent="0.3">
      <c r="A23">
        <f t="shared" si="0"/>
        <v>-8.300000000000006</v>
      </c>
      <c r="B23" cm="1">
        <f t="array" aca="1" ref="B23" ca="1">eval(CONCATENATE(SUBSTITUTE($C$3,"#",CONCATENATE("A",ROW()))))</f>
        <v>-333979.60011736181</v>
      </c>
      <c r="D23">
        <f t="shared" ca="1" si="1"/>
        <v>0</v>
      </c>
      <c r="E23">
        <f t="shared" ca="1" si="2"/>
        <v>0</v>
      </c>
      <c r="F23">
        <f t="shared" ca="1" si="3"/>
        <v>0</v>
      </c>
    </row>
    <row r="24" spans="1:6" x14ac:dyDescent="0.3">
      <c r="A24">
        <f t="shared" si="0"/>
        <v>-8.2000000000000064</v>
      </c>
      <c r="B24" cm="1">
        <f t="array" aca="1" ref="B24" ca="1">eval(CONCATENATE(SUBSTITUTE($C$3,"#",CONCATENATE("A",ROW()))))</f>
        <v>-298556.60987319448</v>
      </c>
      <c r="D24">
        <f t="shared" ca="1" si="1"/>
        <v>0</v>
      </c>
      <c r="E24">
        <f t="shared" ca="1" si="2"/>
        <v>0</v>
      </c>
      <c r="F24">
        <f t="shared" ca="1" si="3"/>
        <v>0</v>
      </c>
    </row>
    <row r="25" spans="1:6" x14ac:dyDescent="0.3">
      <c r="A25">
        <f t="shared" si="0"/>
        <v>-8.1000000000000068</v>
      </c>
      <c r="B25" cm="1">
        <f t="array" aca="1" ref="B25" ca="1">eval(CONCATENATE(SUBSTITUTE($C$3,"#",CONCATENATE("A",ROW()))))</f>
        <v>-266851.33166366036</v>
      </c>
      <c r="D25">
        <f t="shared" ca="1" si="1"/>
        <v>0</v>
      </c>
      <c r="E25">
        <f t="shared" ca="1" si="2"/>
        <v>0</v>
      </c>
      <c r="F25">
        <f t="shared" ca="1" si="3"/>
        <v>0</v>
      </c>
    </row>
    <row r="26" spans="1:6" x14ac:dyDescent="0.3">
      <c r="A26">
        <f t="shared" si="0"/>
        <v>-8.0000000000000071</v>
      </c>
      <c r="B26" cm="1">
        <f t="array" aca="1" ref="B26" ca="1">eval(CONCATENATE(SUBSTITUTE($C$3,"#",CONCATENATE("A",ROW()))))</f>
        <v>-238476.94443386488</v>
      </c>
      <c r="D26">
        <f t="shared" ca="1" si="1"/>
        <v>0</v>
      </c>
      <c r="E26">
        <f t="shared" ca="1" si="2"/>
        <v>0</v>
      </c>
      <c r="F26">
        <f t="shared" ca="1" si="3"/>
        <v>0</v>
      </c>
    </row>
    <row r="27" spans="1:6" x14ac:dyDescent="0.3">
      <c r="A27">
        <f t="shared" si="0"/>
        <v>-7.9000000000000075</v>
      </c>
      <c r="B27" cm="1">
        <f t="array" aca="1" ref="B27" ca="1">eval(CONCATENATE(SUBSTITUTE($C$3,"#",CONCATENATE("A",ROW()))))</f>
        <v>-213086.55674487201</v>
      </c>
      <c r="D27">
        <f t="shared" ca="1" si="1"/>
        <v>0</v>
      </c>
      <c r="E27">
        <f t="shared" ca="1" si="2"/>
        <v>0</v>
      </c>
      <c r="F27">
        <f t="shared" ca="1" si="3"/>
        <v>0</v>
      </c>
    </row>
    <row r="28" spans="1:6" x14ac:dyDescent="0.3">
      <c r="A28">
        <f t="shared" si="0"/>
        <v>-7.8000000000000078</v>
      </c>
      <c r="B28" cm="1">
        <f t="array" aca="1" ref="B28" ca="1">eval(CONCATENATE(SUBSTITUTE($C$3,"#",CONCATENATE("A",ROW()))))</f>
        <v>-190369.11800590003</v>
      </c>
      <c r="D28">
        <f t="shared" ca="1" si="1"/>
        <v>0</v>
      </c>
      <c r="E28">
        <f t="shared" ca="1" si="2"/>
        <v>0</v>
      </c>
      <c r="F28">
        <f t="shared" ca="1" si="3"/>
        <v>0</v>
      </c>
    </row>
    <row r="29" spans="1:6" x14ac:dyDescent="0.3">
      <c r="A29">
        <f t="shared" si="0"/>
        <v>-7.7000000000000082</v>
      </c>
      <c r="B29" cm="1">
        <f t="array" aca="1" ref="B29" ca="1">eval(CONCATENATE(SUBSTITUTE($C$3,"#",CONCATENATE("A",ROW()))))</f>
        <v>-170045.74716704365</v>
      </c>
      <c r="D29">
        <f t="shared" ca="1" si="1"/>
        <v>0</v>
      </c>
      <c r="E29">
        <f t="shared" ca="1" si="2"/>
        <v>0</v>
      </c>
      <c r="F29">
        <f t="shared" ca="1" si="3"/>
        <v>0</v>
      </c>
    </row>
    <row r="30" spans="1:6" x14ac:dyDescent="0.3">
      <c r="A30">
        <f t="shared" si="0"/>
        <v>-7.6000000000000085</v>
      </c>
      <c r="B30" cm="1">
        <f t="array" aca="1" ref="B30" ca="1">eval(CONCATENATE(SUBSTITUTE($C$3,"#",CONCATENATE("A",ROW()))))</f>
        <v>-151866.43547283582</v>
      </c>
      <c r="D30">
        <f t="shared" ca="1" si="1"/>
        <v>0</v>
      </c>
      <c r="E30">
        <f t="shared" ca="1" si="2"/>
        <v>0</v>
      </c>
      <c r="F30">
        <f t="shared" ca="1" si="3"/>
        <v>0</v>
      </c>
    </row>
    <row r="31" spans="1:6" x14ac:dyDescent="0.3">
      <c r="A31">
        <f t="shared" si="0"/>
        <v>-7.5000000000000089</v>
      </c>
      <c r="B31" cm="1">
        <f t="array" aca="1" ref="B31" ca="1">eval(CONCATENATE(SUBSTITUTE($C$3,"#",CONCATENATE("A",ROW()))))</f>
        <v>-135607.08450819863</v>
      </c>
      <c r="D31">
        <f t="shared" ca="1" si="1"/>
        <v>0</v>
      </c>
      <c r="E31">
        <f t="shared" ca="1" si="2"/>
        <v>0</v>
      </c>
      <c r="F31">
        <f t="shared" ca="1" si="3"/>
        <v>0</v>
      </c>
    </row>
    <row r="32" spans="1:6" x14ac:dyDescent="0.3">
      <c r="A32">
        <f t="shared" si="0"/>
        <v>-7.4000000000000092</v>
      </c>
      <c r="B32" cm="1">
        <f t="array" aca="1" ref="B32" ca="1">eval(CONCATENATE(SUBSTITUTE($C$3,"#",CONCATENATE("A",ROW()))))</f>
        <v>-121066.84497207262</v>
      </c>
      <c r="D32">
        <f t="shared" ca="1" si="1"/>
        <v>0</v>
      </c>
      <c r="E32">
        <f t="shared" ca="1" si="2"/>
        <v>0</v>
      </c>
      <c r="F32">
        <f t="shared" ca="1" si="3"/>
        <v>0</v>
      </c>
    </row>
    <row r="33" spans="1:6" x14ac:dyDescent="0.3">
      <c r="A33">
        <f t="shared" si="0"/>
        <v>-7.3000000000000096</v>
      </c>
      <c r="B33" cm="1">
        <f t="array" aca="1" ref="B33" ca="1">eval(CONCATENATE(SUBSTITUTE($C$3,"#",CONCATENATE("A",ROW()))))</f>
        <v>-108065.72539617767</v>
      </c>
      <c r="D33">
        <f t="shared" ca="1" si="1"/>
        <v>0</v>
      </c>
      <c r="E33">
        <f t="shared" ca="1" si="2"/>
        <v>0</v>
      </c>
      <c r="F33">
        <f t="shared" ca="1" si="3"/>
        <v>0</v>
      </c>
    </row>
    <row r="34" spans="1:6" x14ac:dyDescent="0.3">
      <c r="A34">
        <f t="shared" si="0"/>
        <v>-7.2000000000000099</v>
      </c>
      <c r="B34" cm="1">
        <f t="array" aca="1" ref="B34" ca="1">eval(CONCATENATE(SUBSTITUTE($C$3,"#",CONCATENATE("A",ROW()))))</f>
        <v>-96442.443399075462</v>
      </c>
      <c r="D34">
        <f t="shared" ca="1" si="1"/>
        <v>0</v>
      </c>
      <c r="E34">
        <f t="shared" ca="1" si="2"/>
        <v>0</v>
      </c>
      <c r="F34">
        <f t="shared" ca="1" si="3"/>
        <v>0</v>
      </c>
    </row>
    <row r="35" spans="1:6" x14ac:dyDescent="0.3">
      <c r="A35">
        <f t="shared" si="0"/>
        <v>-7.1000000000000103</v>
      </c>
      <c r="B35" cm="1">
        <f t="array" aca="1" ref="B35" ca="1">eval(CONCATENATE(SUBSTITUTE($C$3,"#",CONCATENATE("A",ROW()))))</f>
        <v>-86052.495048738885</v>
      </c>
      <c r="D35">
        <f t="shared" ca="1" si="1"/>
        <v>0</v>
      </c>
      <c r="E35">
        <f t="shared" ca="1" si="2"/>
        <v>0</v>
      </c>
      <c r="F35">
        <f t="shared" ca="1" si="3"/>
        <v>0</v>
      </c>
    </row>
    <row r="36" spans="1:6" x14ac:dyDescent="0.3">
      <c r="A36">
        <f t="shared" si="0"/>
        <v>-7.0000000000000107</v>
      </c>
      <c r="B36" cm="1">
        <f t="array" aca="1" ref="B36" ca="1">eval(CONCATENATE(SUBSTITUTE($C$3,"#",CONCATENATE("A",ROW()))))</f>
        <v>-76766.420527380804</v>
      </c>
      <c r="D36">
        <f t="shared" ca="1" si="1"/>
        <v>0</v>
      </c>
      <c r="E36">
        <f t="shared" ca="1" si="2"/>
        <v>0</v>
      </c>
      <c r="F36">
        <f t="shared" ca="1" si="3"/>
        <v>0</v>
      </c>
    </row>
    <row r="37" spans="1:6" x14ac:dyDescent="0.3">
      <c r="A37">
        <f t="shared" si="0"/>
        <v>-6.900000000000011</v>
      </c>
      <c r="B37" cm="1">
        <f t="array" aca="1" ref="B37" ca="1">eval(CONCATENATE(SUBSTITUTE($C$3,"#",CONCATENATE("A",ROW()))))</f>
        <v>-68468.246583605025</v>
      </c>
      <c r="D37">
        <f t="shared" ca="1" si="1"/>
        <v>0</v>
      </c>
      <c r="E37">
        <f t="shared" ca="1" si="2"/>
        <v>0</v>
      </c>
      <c r="F37">
        <f t="shared" ca="1" si="3"/>
        <v>0</v>
      </c>
    </row>
    <row r="38" spans="1:6" x14ac:dyDescent="0.3">
      <c r="A38">
        <f t="shared" si="0"/>
        <v>-6.8000000000000114</v>
      </c>
      <c r="B38" cm="1">
        <f t="array" aca="1" ref="B38" ca="1">eval(CONCATENATE(SUBSTITUTE($C$3,"#",CONCATENATE("A",ROW()))))</f>
        <v>-61054.088256229297</v>
      </c>
      <c r="D38">
        <f t="shared" ca="1" si="1"/>
        <v>0</v>
      </c>
      <c r="E38">
        <f t="shared" ca="1" si="2"/>
        <v>0</v>
      </c>
      <c r="F38">
        <f t="shared" ca="1" si="3"/>
        <v>0</v>
      </c>
    </row>
    <row r="39" spans="1:6" x14ac:dyDescent="0.3">
      <c r="A39">
        <f t="shared" si="0"/>
        <v>-6.7000000000000117</v>
      </c>
      <c r="B39" cm="1">
        <f t="array" aca="1" ref="B39" ca="1">eval(CONCATENATE(SUBSTITUTE($C$3,"#",CONCATENATE("A",ROW()))))</f>
        <v>-54430.8941002098</v>
      </c>
      <c r="D39">
        <f t="shared" ca="1" si="1"/>
        <v>0</v>
      </c>
      <c r="E39">
        <f t="shared" ca="1" si="2"/>
        <v>0</v>
      </c>
      <c r="F39">
        <f t="shared" ca="1" si="3"/>
        <v>0</v>
      </c>
    </row>
    <row r="40" spans="1:6" x14ac:dyDescent="0.3">
      <c r="A40">
        <f t="shared" si="0"/>
        <v>-6.6000000000000121</v>
      </c>
      <c r="B40" cm="1">
        <f t="array" aca="1" ref="B40" ca="1">eval(CONCATENATE(SUBSTITUTE($C$3,"#",CONCATENATE("A",ROW()))))</f>
        <v>-48515.320676112693</v>
      </c>
      <c r="D40">
        <f t="shared" ca="1" si="1"/>
        <v>0</v>
      </c>
      <c r="E40">
        <f t="shared" ca="1" si="2"/>
        <v>0</v>
      </c>
      <c r="F40">
        <f t="shared" ca="1" si="3"/>
        <v>0</v>
      </c>
    </row>
    <row r="41" spans="1:6" x14ac:dyDescent="0.3">
      <c r="A41">
        <f t="shared" si="0"/>
        <v>-6.5000000000000124</v>
      </c>
      <c r="B41" cm="1">
        <f t="array" aca="1" ref="B41" ca="1">eval(CONCATENATE(SUBSTITUTE($C$3,"#",CONCATENATE("A",ROW()))))</f>
        <v>-43232.723416084809</v>
      </c>
      <c r="D41">
        <f t="shared" ca="1" si="1"/>
        <v>0</v>
      </c>
      <c r="E41">
        <f t="shared" ca="1" si="2"/>
        <v>0</v>
      </c>
      <c r="F41">
        <f t="shared" ca="1" si="3"/>
        <v>0</v>
      </c>
    </row>
    <row r="42" spans="1:6" x14ac:dyDescent="0.3">
      <c r="A42">
        <f t="shared" si="0"/>
        <v>-6.4000000000000128</v>
      </c>
      <c r="B42" cm="1">
        <f t="array" aca="1" ref="B42" ca="1">eval(CONCATENATE(SUBSTITUTE($C$3,"#",CONCATENATE("A",ROW()))))</f>
        <v>-38516.252182823599</v>
      </c>
      <c r="D42">
        <f t="shared" ca="1" si="1"/>
        <v>0</v>
      </c>
      <c r="E42">
        <f t="shared" ca="1" si="2"/>
        <v>0</v>
      </c>
      <c r="F42">
        <f t="shared" ca="1" si="3"/>
        <v>0</v>
      </c>
    </row>
    <row r="43" spans="1:6" x14ac:dyDescent="0.3">
      <c r="A43">
        <f t="shared" si="0"/>
        <v>-6.3000000000000131</v>
      </c>
      <c r="B43" cm="1">
        <f t="array" aca="1" ref="B43" ca="1">eval(CONCATENATE(SUBSTITUTE($C$3,"#",CONCATENATE("A",ROW()))))</f>
        <v>-34306.040920335421</v>
      </c>
      <c r="D43">
        <f t="shared" ca="1" si="1"/>
        <v>0</v>
      </c>
      <c r="E43">
        <f t="shared" ca="1" si="2"/>
        <v>0</v>
      </c>
      <c r="F43">
        <f t="shared" ca="1" si="3"/>
        <v>0</v>
      </c>
    </row>
    <row r="44" spans="1:6" x14ac:dyDescent="0.3">
      <c r="A44">
        <f t="shared" si="0"/>
        <v>-6.2000000000000135</v>
      </c>
      <c r="B44" cm="1">
        <f t="array" aca="1" ref="B44" ca="1">eval(CONCATENATE(SUBSTITUTE($C$3,"#",CONCATENATE("A",ROW()))))</f>
        <v>-30548.481777849032</v>
      </c>
      <c r="D44">
        <f t="shared" ca="1" si="1"/>
        <v>0</v>
      </c>
      <c r="E44">
        <f t="shared" ca="1" si="2"/>
        <v>0</v>
      </c>
      <c r="F44">
        <f t="shared" ca="1" si="3"/>
        <v>0</v>
      </c>
    </row>
    <row r="45" spans="1:6" x14ac:dyDescent="0.3">
      <c r="A45">
        <f t="shared" si="0"/>
        <v>-6.1000000000000139</v>
      </c>
      <c r="B45" cm="1">
        <f t="array" aca="1" ref="B45" ca="1">eval(CONCATENATE(SUBSTITUTE($C$3,"#",CONCATENATE("A",ROW()))))</f>
        <v>-27195.57498765946</v>
      </c>
      <c r="D45">
        <f t="shared" ca="1" si="1"/>
        <v>0</v>
      </c>
      <c r="E45">
        <f t="shared" ca="1" si="2"/>
        <v>0</v>
      </c>
      <c r="F45">
        <f t="shared" ca="1" si="3"/>
        <v>0</v>
      </c>
    </row>
    <row r="46" spans="1:6" x14ac:dyDescent="0.3">
      <c r="A46">
        <f t="shared" si="0"/>
        <v>-6.0000000000000142</v>
      </c>
      <c r="B46" cm="1">
        <f t="array" aca="1" ref="B46" ca="1">eval(CONCATENATE(SUBSTITUTE($C$3,"#",CONCATENATE("A",ROW()))))</f>
        <v>-24204.346605972962</v>
      </c>
      <c r="D46">
        <f t="shared" ca="1" si="1"/>
        <v>0</v>
      </c>
      <c r="E46">
        <f t="shared" ca="1" si="2"/>
        <v>0</v>
      </c>
      <c r="F46">
        <f t="shared" ca="1" si="3"/>
        <v>0</v>
      </c>
    </row>
    <row r="47" spans="1:6" x14ac:dyDescent="0.3">
      <c r="A47">
        <f t="shared" si="0"/>
        <v>-5.9000000000000146</v>
      </c>
      <c r="B47" cm="1">
        <f t="array" aca="1" ref="B47" ca="1">eval(CONCATENATE(SUBSTITUTE($C$3,"#",CONCATENATE("A",ROW()))))</f>
        <v>-21536.32699129478</v>
      </c>
      <c r="D47">
        <f t="shared" ca="1" si="1"/>
        <v>0</v>
      </c>
      <c r="E47">
        <f t="shared" ca="1" si="2"/>
        <v>0</v>
      </c>
      <c r="F47">
        <f t="shared" ca="1" si="3"/>
        <v>0</v>
      </c>
    </row>
    <row r="48" spans="1:6" x14ac:dyDescent="0.3">
      <c r="A48">
        <f t="shared" si="0"/>
        <v>-5.8000000000000149</v>
      </c>
      <c r="B48" cm="1">
        <f t="array" aca="1" ref="B48" ca="1">eval(CONCATENATE(SUBSTITUTE($C$3,"#",CONCATENATE("A",ROW()))))</f>
        <v>-19157.083602921932</v>
      </c>
      <c r="D48">
        <f t="shared" ca="1" si="1"/>
        <v>0</v>
      </c>
      <c r="E48">
        <f t="shared" ca="1" si="2"/>
        <v>0</v>
      </c>
      <c r="F48">
        <f t="shared" ca="1" si="3"/>
        <v>0</v>
      </c>
    </row>
    <row r="49" spans="1:6" x14ac:dyDescent="0.3">
      <c r="A49">
        <f t="shared" si="0"/>
        <v>-5.7000000000000153</v>
      </c>
      <c r="B49" cm="1">
        <f t="array" aca="1" ref="B49" ca="1">eval(CONCATENATE(SUBSTITUTE($C$3,"#",CONCATENATE("A",ROW()))))</f>
        <v>-17035.802355971042</v>
      </c>
      <c r="D49">
        <f t="shared" ca="1" si="1"/>
        <v>0</v>
      </c>
      <c r="E49">
        <f t="shared" ca="1" si="2"/>
        <v>0</v>
      </c>
      <c r="F49">
        <f t="shared" ca="1" si="3"/>
        <v>0</v>
      </c>
    </row>
    <row r="50" spans="1:6" x14ac:dyDescent="0.3">
      <c r="A50">
        <f t="shared" si="0"/>
        <v>-5.6000000000000156</v>
      </c>
      <c r="B50" cm="1">
        <f t="array" aca="1" ref="B50" ca="1">eval(CONCATENATE(SUBSTITUTE($C$3,"#",CONCATENATE("A",ROW()))))</f>
        <v>-15144.912371086666</v>
      </c>
      <c r="D50">
        <f t="shared" ca="1" si="1"/>
        <v>0</v>
      </c>
      <c r="E50">
        <f t="shared" ca="1" si="2"/>
        <v>0</v>
      </c>
      <c r="F50">
        <f t="shared" ca="1" si="3"/>
        <v>0</v>
      </c>
    </row>
    <row r="51" spans="1:6" x14ac:dyDescent="0.3">
      <c r="A51">
        <f t="shared" si="0"/>
        <v>-5.500000000000016</v>
      </c>
      <c r="B51" cm="1">
        <f t="array" aca="1" ref="B51" ca="1">eval(CONCATENATE(SUBSTITUTE($C$3,"#",CONCATENATE("A",ROW()))))</f>
        <v>-13459.749507897275</v>
      </c>
      <c r="D51">
        <f t="shared" ca="1" si="1"/>
        <v>0</v>
      </c>
      <c r="E51">
        <f t="shared" ca="1" si="2"/>
        <v>0</v>
      </c>
      <c r="F51">
        <f t="shared" ca="1" si="3"/>
        <v>0</v>
      </c>
    </row>
    <row r="52" spans="1:6" x14ac:dyDescent="0.3">
      <c r="A52">
        <f t="shared" si="0"/>
        <v>-5.4000000000000163</v>
      </c>
      <c r="B52" cm="1">
        <f t="array" aca="1" ref="B52" ca="1">eval(CONCATENATE(SUBSTITUTE($C$3,"#",CONCATENATE("A",ROW()))))</f>
        <v>-11958.254572630507</v>
      </c>
      <c r="D52">
        <f t="shared" ca="1" si="1"/>
        <v>0</v>
      </c>
      <c r="E52">
        <f t="shared" ca="1" si="2"/>
        <v>0</v>
      </c>
      <c r="F52">
        <f t="shared" ca="1" si="3"/>
        <v>0</v>
      </c>
    </row>
    <row r="53" spans="1:6" x14ac:dyDescent="0.3">
      <c r="A53">
        <f t="shared" si="0"/>
        <v>-5.3000000000000167</v>
      </c>
      <c r="B53" cm="1">
        <f t="array" aca="1" ref="B53" ca="1">eval(CONCATENATE(SUBSTITUTE($C$3,"#",CONCATENATE("A",ROW()))))</f>
        <v>-10620.702543494557</v>
      </c>
      <c r="D53">
        <f t="shared" ca="1" si="1"/>
        <v>0</v>
      </c>
      <c r="E53">
        <f t="shared" ca="1" si="2"/>
        <v>0</v>
      </c>
      <c r="F53">
        <f t="shared" ca="1" si="3"/>
        <v>0</v>
      </c>
    </row>
    <row r="54" spans="1:6" x14ac:dyDescent="0.3">
      <c r="A54">
        <f t="shared" si="0"/>
        <v>-5.2000000000000171</v>
      </c>
      <c r="B54" cm="1">
        <f t="array" aca="1" ref="B54" ca="1">eval(CONCATENATE(SUBSTITUTE($C$3,"#",CONCATENATE("A",ROW()))))</f>
        <v>-9429.4595643191842</v>
      </c>
      <c r="D54">
        <f t="shared" ca="1" si="1"/>
        <v>0</v>
      </c>
      <c r="E54">
        <f t="shared" ca="1" si="2"/>
        <v>0</v>
      </c>
      <c r="F54">
        <f t="shared" ca="1" si="3"/>
        <v>0</v>
      </c>
    </row>
    <row r="55" spans="1:6" x14ac:dyDescent="0.3">
      <c r="A55">
        <f t="shared" si="0"/>
        <v>-5.1000000000000174</v>
      </c>
      <c r="B55" cm="1">
        <f t="array" aca="1" ref="B55" ca="1">eval(CONCATENATE(SUBSTITUTE($C$3,"#",CONCATENATE("A",ROW()))))</f>
        <v>-8368.7648198634433</v>
      </c>
      <c r="D55">
        <f t="shared" ca="1" si="1"/>
        <v>0</v>
      </c>
      <c r="E55">
        <f t="shared" ca="1" si="2"/>
        <v>0</v>
      </c>
      <c r="F55">
        <f t="shared" ca="1" si="3"/>
        <v>0</v>
      </c>
    </row>
    <row r="56" spans="1:6" x14ac:dyDescent="0.3">
      <c r="A56">
        <f t="shared" si="0"/>
        <v>-5.0000000000000178</v>
      </c>
      <c r="B56" cm="1">
        <f t="array" aca="1" ref="B56" ca="1">eval(CONCATENATE(SUBSTITUTE($C$3,"#",CONCATENATE("A",ROW()))))</f>
        <v>-7424.5347279529778</v>
      </c>
      <c r="D56">
        <f t="shared" ca="1" si="1"/>
        <v>0</v>
      </c>
      <c r="E56">
        <f t="shared" ca="1" si="2"/>
        <v>0</v>
      </c>
      <c r="F56">
        <f t="shared" ca="1" si="3"/>
        <v>0</v>
      </c>
    </row>
    <row r="57" spans="1:6" x14ac:dyDescent="0.3">
      <c r="A57">
        <f t="shared" si="0"/>
        <v>-4.9000000000000181</v>
      </c>
      <c r="B57" cm="1">
        <f t="array" aca="1" ref="B57" ca="1">eval(CONCATENATE(SUBSTITUTE($C$3,"#",CONCATENATE("A",ROW()))))</f>
        <v>-6584.1871674179529</v>
      </c>
      <c r="D57">
        <f t="shared" ca="1" si="1"/>
        <v>0</v>
      </c>
      <c r="E57">
        <f t="shared" ca="1" si="2"/>
        <v>0</v>
      </c>
      <c r="F57">
        <f t="shared" ca="1" si="3"/>
        <v>0</v>
      </c>
    </row>
    <row r="58" spans="1:6" x14ac:dyDescent="0.3">
      <c r="A58">
        <f t="shared" si="0"/>
        <v>-4.8000000000000185</v>
      </c>
      <c r="B58" cm="1">
        <f t="array" aca="1" ref="B58" ca="1">eval(CONCATENATE(SUBSTITUTE($C$3,"#",CONCATENATE("A",ROW()))))</f>
        <v>-5836.4837101484127</v>
      </c>
      <c r="D58">
        <f t="shared" ca="1" si="1"/>
        <v>0</v>
      </c>
      <c r="E58">
        <f t="shared" ca="1" si="2"/>
        <v>0</v>
      </c>
      <c r="F58">
        <f t="shared" ca="1" si="3"/>
        <v>0</v>
      </c>
    </row>
    <row r="59" spans="1:6" x14ac:dyDescent="0.3">
      <c r="A59">
        <f t="shared" si="0"/>
        <v>-4.7000000000000188</v>
      </c>
      <c r="B59" cm="1">
        <f t="array" aca="1" ref="B59" ca="1">eval(CONCATENATE(SUBSTITUTE($C$3,"#",CONCATENATE("A",ROW()))))</f>
        <v>-5171.3880440842804</v>
      </c>
      <c r="D59">
        <f t="shared" ca="1" si="1"/>
        <v>0</v>
      </c>
      <c r="E59">
        <f t="shared" ca="1" si="2"/>
        <v>0</v>
      </c>
      <c r="F59">
        <f t="shared" ca="1" si="3"/>
        <v>0</v>
      </c>
    </row>
    <row r="60" spans="1:6" x14ac:dyDescent="0.3">
      <c r="A60">
        <f t="shared" si="0"/>
        <v>-4.6000000000000192</v>
      </c>
      <c r="B60" cm="1">
        <f t="array" aca="1" ref="B60" ca="1">eval(CONCATENATE(SUBSTITUTE($C$3,"#",CONCATENATE("A",ROW()))))</f>
        <v>-4579.9389652269792</v>
      </c>
      <c r="D60">
        <f t="shared" ca="1" si="1"/>
        <v>0</v>
      </c>
      <c r="E60">
        <f t="shared" ca="1" si="2"/>
        <v>0</v>
      </c>
      <c r="F60">
        <f t="shared" ca="1" si="3"/>
        <v>0</v>
      </c>
    </row>
    <row r="61" spans="1:6" x14ac:dyDescent="0.3">
      <c r="A61">
        <f t="shared" si="0"/>
        <v>-4.5000000000000195</v>
      </c>
      <c r="B61" cm="1">
        <f t="array" aca="1" ref="B61" ca="1">eval(CONCATENATE(SUBSTITUTE($C$3,"#",CONCATENATE("A",ROW()))))</f>
        <v>-4054.1364842868575</v>
      </c>
      <c r="D61">
        <f t="shared" ca="1" si="1"/>
        <v>0</v>
      </c>
      <c r="E61">
        <f t="shared" ca="1" si="2"/>
        <v>0</v>
      </c>
      <c r="F61">
        <f t="shared" ca="1" si="3"/>
        <v>0</v>
      </c>
    </row>
    <row r="62" spans="1:6" x14ac:dyDescent="0.3">
      <c r="A62">
        <f t="shared" si="0"/>
        <v>-4.4000000000000199</v>
      </c>
      <c r="B62" cm="1">
        <f t="array" aca="1" ref="B62" ca="1">eval(CONCATENATE(SUBSTITUTE($C$3,"#",CONCATENATE("A",ROW()))))</f>
        <v>-3586.8397406300419</v>
      </c>
      <c r="D62">
        <f t="shared" ca="1" si="1"/>
        <v>0</v>
      </c>
      <c r="E62">
        <f t="shared" ca="1" si="2"/>
        <v>0</v>
      </c>
      <c r="F62">
        <f t="shared" ca="1" si="3"/>
        <v>0</v>
      </c>
    </row>
    <row r="63" spans="1:6" x14ac:dyDescent="0.3">
      <c r="A63">
        <f t="shared" si="0"/>
        <v>-4.3000000000000203</v>
      </c>
      <c r="B63" cm="1">
        <f t="array" aca="1" ref="B63" ca="1">eval(CONCATENATE(SUBSTITUTE($C$3,"#",CONCATENATE("A",ROW()))))</f>
        <v>-3171.6755457296103</v>
      </c>
      <c r="D63">
        <f t="shared" ca="1" si="1"/>
        <v>0</v>
      </c>
      <c r="E63">
        <f t="shared" ca="1" si="2"/>
        <v>0</v>
      </c>
      <c r="F63">
        <f t="shared" ca="1" si="3"/>
        <v>0</v>
      </c>
    </row>
    <row r="64" spans="1:6" x14ac:dyDescent="0.3">
      <c r="A64">
        <f t="shared" si="0"/>
        <v>-4.2000000000000206</v>
      </c>
      <c r="B64" cm="1">
        <f t="array" aca="1" ref="B64" ca="1">eval(CONCATENATE(SUBSTITUTE($C$3,"#",CONCATENATE("A",ROW()))))</f>
        <v>-2802.9564929914577</v>
      </c>
      <c r="D64">
        <f t="shared" ca="1" si="1"/>
        <v>0</v>
      </c>
      <c r="E64">
        <f t="shared" ca="1" si="2"/>
        <v>0</v>
      </c>
      <c r="F64">
        <f t="shared" ca="1" si="3"/>
        <v>0</v>
      </c>
    </row>
    <row r="65" spans="1:6" x14ac:dyDescent="0.3">
      <c r="A65">
        <f t="shared" si="0"/>
        <v>-4.100000000000021</v>
      </c>
      <c r="B65" cm="1">
        <f t="array" aca="1" ref="B65" ca="1">eval(CONCATENATE(SUBSTITUTE($C$3,"#",CONCATENATE("A",ROW()))))</f>
        <v>-2475.6076728917665</v>
      </c>
      <c r="D65">
        <f t="shared" ca="1" si="1"/>
        <v>0</v>
      </c>
      <c r="E65">
        <f t="shared" ca="1" si="2"/>
        <v>0</v>
      </c>
      <c r="F65">
        <f t="shared" ca="1" si="3"/>
        <v>0</v>
      </c>
    </row>
    <row r="66" spans="1:6" x14ac:dyDescent="0.3">
      <c r="A66">
        <f t="shared" si="0"/>
        <v>-4.0000000000000213</v>
      </c>
      <c r="B66" cm="1">
        <f t="array" aca="1" ref="B66" ca="1">eval(CONCATENATE(SUBSTITUTE($C$3,"#",CONCATENATE("A",ROW()))))</f>
        <v>-2185.1011237561111</v>
      </c>
      <c r="D66">
        <f t="shared" ca="1" si="1"/>
        <v>0</v>
      </c>
      <c r="E66">
        <f t="shared" ca="1" si="2"/>
        <v>0</v>
      </c>
      <c r="F66">
        <f t="shared" ca="1" si="3"/>
        <v>0</v>
      </c>
    </row>
    <row r="67" spans="1:6" x14ac:dyDescent="0.3">
      <c r="A67">
        <f t="shared" si="0"/>
        <v>-3.9000000000000212</v>
      </c>
      <c r="B67" cm="1">
        <f t="array" aca="1" ref="B67" ca="1">eval(CONCATENATE(SUBSTITUTE($C$3,"#",CONCATENATE("A",ROW()))))</f>
        <v>-1927.3972308247271</v>
      </c>
      <c r="D67">
        <f t="shared" ca="1" si="1"/>
        <v>0</v>
      </c>
      <c r="E67">
        <f t="shared" ca="1" si="2"/>
        <v>0</v>
      </c>
      <c r="F67">
        <f t="shared" ca="1" si="3"/>
        <v>0</v>
      </c>
    </row>
    <row r="68" spans="1:6" x14ac:dyDescent="0.3">
      <c r="A68">
        <f t="shared" si="0"/>
        <v>-3.8000000000000211</v>
      </c>
      <c r="B68" cm="1">
        <f t="array" aca="1" ref="B68" ca="1">eval(CONCATENATE(SUBSTITUTE($C$3,"#",CONCATENATE("A",ROW()))))</f>
        <v>-1698.8923607800259</v>
      </c>
      <c r="D68">
        <f t="shared" ca="1" si="1"/>
        <v>0</v>
      </c>
      <c r="E68">
        <f t="shared" ca="1" si="2"/>
        <v>0</v>
      </c>
      <c r="F68">
        <f t="shared" ca="1" si="3"/>
        <v>0</v>
      </c>
    </row>
    <row r="69" spans="1:6" x14ac:dyDescent="0.3">
      <c r="A69">
        <f t="shared" si="0"/>
        <v>-3.700000000000021</v>
      </c>
      <c r="B69" cm="1">
        <f t="array" aca="1" ref="B69" ca="1">eval(CONCATENATE(SUBSTITUTE($C$3,"#",CONCATENATE("A",ROW()))))</f>
        <v>-1496.3720866971223</v>
      </c>
      <c r="D69">
        <f t="shared" ca="1" si="1"/>
        <v>0</v>
      </c>
      <c r="E69">
        <f t="shared" ca="1" si="2"/>
        <v>0</v>
      </c>
      <c r="F69">
        <f t="shared" ca="1" si="3"/>
        <v>0</v>
      </c>
    </row>
    <row r="70" spans="1:6" x14ac:dyDescent="0.3">
      <c r="A70">
        <f t="shared" si="0"/>
        <v>-3.600000000000021</v>
      </c>
      <c r="B70" cm="1">
        <f t="array" aca="1" ref="B70" ca="1">eval(CONCATENATE(SUBSTITUTE($C$3,"#",CONCATENATE("A",ROW()))))</f>
        <v>-1316.9694202341282</v>
      </c>
      <c r="D70">
        <f t="shared" ca="1" si="1"/>
        <v>0</v>
      </c>
      <c r="E70">
        <f t="shared" ca="1" si="2"/>
        <v>0</v>
      </c>
      <c r="F70">
        <f t="shared" ca="1" si="3"/>
        <v>0</v>
      </c>
    </row>
    <row r="71" spans="1:6" x14ac:dyDescent="0.3">
      <c r="A71">
        <f t="shared" si="0"/>
        <v>-3.5000000000000209</v>
      </c>
      <c r="B71" cm="1">
        <f t="array" aca="1" ref="B71" ca="1">eval(CONCATENATE(SUBSTITUTE($C$3,"#",CONCATENATE("A",ROW()))))</f>
        <v>-1158.1275244478586</v>
      </c>
      <c r="D71">
        <f t="shared" ca="1" si="1"/>
        <v>0</v>
      </c>
      <c r="E71">
        <f t="shared" ca="1" si="2"/>
        <v>0</v>
      </c>
      <c r="F71">
        <f t="shared" ca="1" si="3"/>
        <v>0</v>
      </c>
    </row>
    <row r="72" spans="1:6" x14ac:dyDescent="0.3">
      <c r="A72">
        <f t="shared" ref="A72:A135" si="4">A71+0.1</f>
        <v>-3.4000000000000208</v>
      </c>
      <c r="B72" cm="1">
        <f t="array" aca="1" ref="B72" ca="1">eval(CONCATENATE(SUBSTITUTE($C$3,"#",CONCATENATE("A",ROW()))))</f>
        <v>-1017.5664324064965</v>
      </c>
      <c r="D72">
        <f t="shared" ref="D72:D135" ca="1" si="5">IF(B72*B71&lt;=0,1,0)</f>
        <v>0</v>
      </c>
      <c r="E72">
        <f t="shared" ref="E72:E135" ca="1" si="6">SUM(E71+D72)</f>
        <v>0</v>
      </c>
      <c r="F72">
        <f t="shared" ref="F72:F135" ca="1" si="7">D72*E72</f>
        <v>0</v>
      </c>
    </row>
    <row r="73" spans="1:6" x14ac:dyDescent="0.3">
      <c r="A73">
        <f t="shared" si="4"/>
        <v>-3.3000000000000207</v>
      </c>
      <c r="B73" cm="1">
        <f t="array" aca="1" ref="B73" ca="1">eval(CONCATENATE(SUBSTITUTE($C$3,"#",CONCATENATE("A",ROW()))))</f>
        <v>-893.25334417435613</v>
      </c>
      <c r="D73">
        <f t="shared" ca="1" si="5"/>
        <v>0</v>
      </c>
      <c r="E73">
        <f t="shared" ca="1" si="6"/>
        <v>0</v>
      </c>
      <c r="F73">
        <f t="shared" ca="1" si="7"/>
        <v>0</v>
      </c>
    </row>
    <row r="74" spans="1:6" x14ac:dyDescent="0.3">
      <c r="A74">
        <f t="shared" si="4"/>
        <v>-3.2000000000000206</v>
      </c>
      <c r="B74" cm="1">
        <f t="array" aca="1" ref="B74" ca="1">eval(CONCATENATE(SUBSTITUTE($C$3,"#",CONCATENATE("A",ROW()))))</f>
        <v>-783.37611809148871</v>
      </c>
      <c r="D74">
        <f t="shared" ca="1" si="5"/>
        <v>0</v>
      </c>
      <c r="E74">
        <f t="shared" ca="1" si="6"/>
        <v>0</v>
      </c>
      <c r="F74">
        <f t="shared" ca="1" si="7"/>
        <v>0</v>
      </c>
    </row>
    <row r="75" spans="1:6" x14ac:dyDescent="0.3">
      <c r="A75">
        <f t="shared" si="4"/>
        <v>-3.1000000000000205</v>
      </c>
      <c r="B75" cm="1">
        <f t="array" aca="1" ref="B75" ca="1">eval(CONCATENATE(SUBSTITUTE($C$3,"#",CONCATENATE("A",ROW()))))</f>
        <v>-686.31961183806254</v>
      </c>
      <c r="D75">
        <f t="shared" ca="1" si="5"/>
        <v>0</v>
      </c>
      <c r="E75">
        <f t="shared" ca="1" si="6"/>
        <v>0</v>
      </c>
      <c r="F75">
        <f t="shared" ca="1" si="7"/>
        <v>0</v>
      </c>
    </row>
    <row r="76" spans="1:6" x14ac:dyDescent="0.3">
      <c r="A76">
        <f t="shared" si="4"/>
        <v>-3.0000000000000204</v>
      </c>
      <c r="B76" cm="1">
        <f t="array" aca="1" ref="B76" ca="1">eval(CONCATENATE(SUBSTITUTE($C$3,"#",CONCATENATE("A",ROW()))))</f>
        <v>-600.6445648030118</v>
      </c>
      <c r="D76">
        <f t="shared" ca="1" si="5"/>
        <v>0</v>
      </c>
      <c r="E76">
        <f t="shared" ca="1" si="6"/>
        <v>0</v>
      </c>
      <c r="F76">
        <f t="shared" ca="1" si="7"/>
        <v>0</v>
      </c>
    </row>
    <row r="77" spans="1:6" x14ac:dyDescent="0.3">
      <c r="A77">
        <f t="shared" si="4"/>
        <v>-2.9000000000000203</v>
      </c>
      <c r="B77" cm="1">
        <f t="array" aca="1" ref="B77" ca="1">eval(CONCATENATE(SUBSTITUTE($C$3,"#",CONCATENATE("A",ROW()))))</f>
        <v>-525.06874599160369</v>
      </c>
      <c r="D77">
        <f t="shared" ca="1" si="5"/>
        <v>0</v>
      </c>
      <c r="E77">
        <f t="shared" ca="1" si="6"/>
        <v>0</v>
      </c>
      <c r="F77">
        <f t="shared" ca="1" si="7"/>
        <v>0</v>
      </c>
    </row>
    <row r="78" spans="1:6" x14ac:dyDescent="0.3">
      <c r="A78">
        <f t="shared" si="4"/>
        <v>-2.8000000000000203</v>
      </c>
      <c r="B78" cm="1">
        <f t="array" aca="1" ref="B78" ca="1">eval(CONCATENATE(SUBSTITUTE($C$3,"#",CONCATENATE("A",ROW()))))</f>
        <v>-458.45012131988773</v>
      </c>
      <c r="D78">
        <f t="shared" ca="1" si="5"/>
        <v>0</v>
      </c>
      <c r="E78">
        <f t="shared" ca="1" si="6"/>
        <v>0</v>
      </c>
      <c r="F78">
        <f t="shared" ca="1" si="7"/>
        <v>0</v>
      </c>
    </row>
    <row r="79" spans="1:6" x14ac:dyDescent="0.3">
      <c r="A79">
        <f t="shared" si="4"/>
        <v>-2.7000000000000202</v>
      </c>
      <c r="B79" cm="1">
        <f t="array" aca="1" ref="B79" ca="1">eval(CONCATENATE(SUBSTITUTE($C$3,"#",CONCATENATE("A",ROW()))))</f>
        <v>-399.77182086278748</v>
      </c>
      <c r="D79">
        <f t="shared" ca="1" si="5"/>
        <v>0</v>
      </c>
      <c r="E79">
        <f t="shared" ca="1" si="6"/>
        <v>0</v>
      </c>
      <c r="F79">
        <f t="shared" ca="1" si="7"/>
        <v>0</v>
      </c>
    </row>
    <row r="80" spans="1:6" x14ac:dyDescent="0.3">
      <c r="A80">
        <f t="shared" si="4"/>
        <v>-2.6000000000000201</v>
      </c>
      <c r="B80" cm="1">
        <f t="array" aca="1" ref="B80" ca="1">eval(CONCATENATE(SUBSTITUTE($C$3,"#",CONCATENATE("A",ROW()))))</f>
        <v>-348.12871065166536</v>
      </c>
      <c r="D80">
        <f t="shared" ca="1" si="5"/>
        <v>0</v>
      </c>
      <c r="E80">
        <f t="shared" ca="1" si="6"/>
        <v>0</v>
      </c>
      <c r="F80">
        <f t="shared" ca="1" si="7"/>
        <v>0</v>
      </c>
    </row>
    <row r="81" spans="1:6" x14ac:dyDescent="0.3">
      <c r="A81">
        <f t="shared" si="4"/>
        <v>-2.50000000000002</v>
      </c>
      <c r="B81" cm="1">
        <f t="array" aca="1" ref="B81" ca="1">eval(CONCATENATE(SUBSTITUTE($C$3,"#",CONCATENATE("A",ROW()))))</f>
        <v>-302.71539515952855</v>
      </c>
      <c r="D81">
        <f t="shared" ca="1" si="5"/>
        <v>0</v>
      </c>
      <c r="E81">
        <f t="shared" ca="1" si="6"/>
        <v>0</v>
      </c>
      <c r="F81">
        <f t="shared" ca="1" si="7"/>
        <v>0</v>
      </c>
    </row>
    <row r="82" spans="1:6" x14ac:dyDescent="0.3">
      <c r="A82">
        <f t="shared" si="4"/>
        <v>-2.4000000000000199</v>
      </c>
      <c r="B82" cm="1">
        <f t="array" aca="1" ref="B82" ca="1">eval(CONCATENATE(SUBSTITUTE($C$3,"#",CONCATENATE("A",ROW()))))</f>
        <v>-262.81549586819483</v>
      </c>
      <c r="D82">
        <f t="shared" ca="1" si="5"/>
        <v>0</v>
      </c>
      <c r="E82">
        <f t="shared" ca="1" si="6"/>
        <v>0</v>
      </c>
      <c r="F82">
        <f t="shared" ca="1" si="7"/>
        <v>0</v>
      </c>
    </row>
    <row r="83" spans="1:6" x14ac:dyDescent="0.3">
      <c r="A83">
        <f t="shared" si="4"/>
        <v>-2.3000000000000198</v>
      </c>
      <c r="B83" cm="1">
        <f t="array" aca="1" ref="B83" ca="1">eval(CONCATENATE(SUBSTITUTE($C$3,"#",CONCATENATE("A",ROW()))))</f>
        <v>-227.79206847837696</v>
      </c>
      <c r="D83">
        <f t="shared" ca="1" si="5"/>
        <v>0</v>
      </c>
      <c r="E83">
        <f t="shared" ca="1" si="6"/>
        <v>0</v>
      </c>
      <c r="F83">
        <f t="shared" ca="1" si="7"/>
        <v>0</v>
      </c>
    </row>
    <row r="84" spans="1:6" x14ac:dyDescent="0.3">
      <c r="A84">
        <f t="shared" si="4"/>
        <v>-2.2000000000000197</v>
      </c>
      <c r="B84" cm="1">
        <f t="array" aca="1" ref="B84" ca="1">eval(CONCATENATE(SUBSTITUTE($C$3,"#",CONCATENATE("A",ROW()))))</f>
        <v>-197.07903659177938</v>
      </c>
      <c r="D84">
        <f t="shared" ca="1" si="5"/>
        <v>0</v>
      </c>
      <c r="E84">
        <f t="shared" ca="1" si="6"/>
        <v>0</v>
      </c>
      <c r="F84">
        <f t="shared" ca="1" si="7"/>
        <v>0</v>
      </c>
    </row>
    <row r="85" spans="1:6" x14ac:dyDescent="0.3">
      <c r="A85">
        <f t="shared" si="4"/>
        <v>-2.1000000000000196</v>
      </c>
      <c r="B85" cm="1">
        <f t="array" aca="1" ref="B85" ca="1">eval(CONCATENATE(SUBSTITUTE($C$3,"#",CONCATENATE("A",ROW()))))</f>
        <v>-170.17353324734381</v>
      </c>
      <c r="D85">
        <f t="shared" ca="1" si="5"/>
        <v>0</v>
      </c>
      <c r="E85">
        <f t="shared" ca="1" si="6"/>
        <v>0</v>
      </c>
      <c r="F85">
        <f t="shared" ca="1" si="7"/>
        <v>0</v>
      </c>
    </row>
    <row r="86" spans="1:6" x14ac:dyDescent="0.3">
      <c r="A86">
        <f t="shared" si="4"/>
        <v>-2.0000000000000195</v>
      </c>
      <c r="B86" cm="1">
        <f t="array" aca="1" ref="B86" ca="1">eval(CONCATENATE(SUBSTITUTE($C$3,"#",CONCATENATE("A",ROW()))))</f>
        <v>-146.62905370591872</v>
      </c>
      <c r="D86">
        <f t="shared" ca="1" si="5"/>
        <v>0</v>
      </c>
      <c r="E86">
        <f t="shared" ca="1" si="6"/>
        <v>0</v>
      </c>
      <c r="F86">
        <f t="shared" ca="1" si="7"/>
        <v>0</v>
      </c>
    </row>
    <row r="87" spans="1:6" x14ac:dyDescent="0.3">
      <c r="A87">
        <f t="shared" si="4"/>
        <v>-1.9000000000000195</v>
      </c>
      <c r="B87" cm="1">
        <f t="array" aca="1" ref="B87" ca="1">eval(CONCATENATE(SUBSTITUTE($C$3,"#",CONCATENATE("A",ROW()))))</f>
        <v>-126.04933351233454</v>
      </c>
      <c r="D87">
        <f t="shared" ca="1" si="5"/>
        <v>0</v>
      </c>
      <c r="E87">
        <f t="shared" ca="1" si="6"/>
        <v>0</v>
      </c>
      <c r="F87">
        <f t="shared" ca="1" si="7"/>
        <v>0</v>
      </c>
    </row>
    <row r="88" spans="1:6" x14ac:dyDescent="0.3">
      <c r="A88">
        <f t="shared" si="4"/>
        <v>-1.8000000000000194</v>
      </c>
      <c r="B88" cm="1">
        <f t="array" aca="1" ref="B88" ca="1">eval(CONCATENATE(SUBSTITUTE($C$3,"#",CONCATENATE("A",ROW()))))</f>
        <v>-108.08287527295234</v>
      </c>
      <c r="D88">
        <f t="shared" ca="1" si="5"/>
        <v>0</v>
      </c>
      <c r="E88">
        <f t="shared" ca="1" si="6"/>
        <v>0</v>
      </c>
      <c r="F88">
        <f t="shared" ca="1" si="7"/>
        <v>0</v>
      </c>
    </row>
    <row r="89" spans="1:6" x14ac:dyDescent="0.3">
      <c r="A89">
        <f t="shared" si="4"/>
        <v>-1.7000000000000193</v>
      </c>
      <c r="B89" cm="1">
        <f t="array" aca="1" ref="B89" ca="1">eval(CONCATENATE(SUBSTITUTE($C$3,"#",CONCATENATE("A",ROW()))))</f>
        <v>-92.418055909685776</v>
      </c>
      <c r="D89">
        <f t="shared" ca="1" si="5"/>
        <v>0</v>
      </c>
      <c r="E89">
        <f t="shared" ca="1" si="6"/>
        <v>0</v>
      </c>
      <c r="F89">
        <f t="shared" ca="1" si="7"/>
        <v>0</v>
      </c>
    </row>
    <row r="90" spans="1:6" x14ac:dyDescent="0.3">
      <c r="A90">
        <f t="shared" si="4"/>
        <v>-1.6000000000000192</v>
      </c>
      <c r="B90" cm="1">
        <f t="array" aca="1" ref="B90" ca="1">eval(CONCATENATE(SUBSTITUTE($C$3,"#",CONCATENATE("A",ROW()))))</f>
        <v>-78.778753515183169</v>
      </c>
      <c r="D90">
        <f t="shared" ca="1" si="5"/>
        <v>0</v>
      </c>
      <c r="E90">
        <f t="shared" ca="1" si="6"/>
        <v>0</v>
      </c>
      <c r="F90">
        <f t="shared" ca="1" si="7"/>
        <v>0</v>
      </c>
    </row>
    <row r="91" spans="1:6" x14ac:dyDescent="0.3">
      <c r="A91">
        <f t="shared" si="4"/>
        <v>-1.5000000000000191</v>
      </c>
      <c r="B91" cm="1">
        <f t="array" aca="1" ref="B91" ca="1">eval(CONCATENATE(SUBSTITUTE($C$3,"#",CONCATENATE("A",ROW()))))</f>
        <v>-66.920439452739387</v>
      </c>
      <c r="D91">
        <f t="shared" ca="1" si="5"/>
        <v>0</v>
      </c>
      <c r="E91">
        <f t="shared" ca="1" si="6"/>
        <v>0</v>
      </c>
      <c r="F91">
        <f t="shared" ca="1" si="7"/>
        <v>0</v>
      </c>
    </row>
    <row r="92" spans="1:6" x14ac:dyDescent="0.3">
      <c r="A92">
        <f t="shared" si="4"/>
        <v>-1.400000000000019</v>
      </c>
      <c r="B92" cm="1">
        <f t="array" aca="1" ref="B92" ca="1">eval(CONCATENATE(SUBSTITUTE($C$3,"#",CONCATENATE("A",ROW()))))</f>
        <v>-56.626687120928011</v>
      </c>
      <c r="D92">
        <f t="shared" ca="1" si="5"/>
        <v>0</v>
      </c>
      <c r="E92">
        <f t="shared" ca="1" si="6"/>
        <v>0</v>
      </c>
      <c r="F92">
        <f t="shared" ca="1" si="7"/>
        <v>0</v>
      </c>
    </row>
    <row r="93" spans="1:6" x14ac:dyDescent="0.3">
      <c r="A93">
        <f t="shared" si="4"/>
        <v>-1.3000000000000189</v>
      </c>
      <c r="B93" cm="1">
        <f t="array" aca="1" ref="B93" ca="1">eval(CONCATENATE(SUBSTITUTE($C$3,"#",CONCATENATE("A",ROW()))))</f>
        <v>-47.70605392777334</v>
      </c>
      <c r="D93">
        <f t="shared" ca="1" si="5"/>
        <v>0</v>
      </c>
      <c r="E93">
        <f t="shared" ca="1" si="6"/>
        <v>0</v>
      </c>
      <c r="F93">
        <f t="shared" ca="1" si="7"/>
        <v>0</v>
      </c>
    </row>
    <row r="94" spans="1:6" x14ac:dyDescent="0.3">
      <c r="A94">
        <f t="shared" si="4"/>
        <v>-1.2000000000000188</v>
      </c>
      <c r="B94" cm="1">
        <f t="array" aca="1" ref="B94" ca="1">eval(CONCATENATE(SUBSTITUTE($C$3,"#",CONCATENATE("A",ROW()))))</f>
        <v>-39.989297572658295</v>
      </c>
      <c r="D94">
        <f t="shared" ca="1" si="5"/>
        <v>0</v>
      </c>
      <c r="E94">
        <f t="shared" ca="1" si="6"/>
        <v>0</v>
      </c>
      <c r="F94">
        <f t="shared" ca="1" si="7"/>
        <v>0</v>
      </c>
    </row>
    <row r="95" spans="1:6" x14ac:dyDescent="0.3">
      <c r="A95">
        <f t="shared" si="4"/>
        <v>-1.1000000000000187</v>
      </c>
      <c r="B95" cm="1">
        <f t="array" aca="1" ref="B95" ca="1">eval(CONCATENATE(SUBSTITUTE($C$3,"#",CONCATENATE("A",ROW()))))</f>
        <v>-33.326891786382042</v>
      </c>
      <c r="D95">
        <f t="shared" ca="1" si="5"/>
        <v>0</v>
      </c>
      <c r="E95">
        <f t="shared" ca="1" si="6"/>
        <v>0</v>
      </c>
      <c r="F95">
        <f t="shared" ca="1" si="7"/>
        <v>0</v>
      </c>
    </row>
    <row r="96" spans="1:6" x14ac:dyDescent="0.3">
      <c r="A96">
        <f t="shared" si="4"/>
        <v>-1.0000000000000187</v>
      </c>
      <c r="B96" cm="1">
        <f t="array" aca="1" ref="B96" ca="1">eval(CONCATENATE(SUBSTITUTE($C$3,"#",CONCATENATE("A",ROW()))))</f>
        <v>-27.586810292206259</v>
      </c>
      <c r="D96">
        <f t="shared" ca="1" si="5"/>
        <v>0</v>
      </c>
      <c r="E96">
        <f t="shared" ca="1" si="6"/>
        <v>0</v>
      </c>
      <c r="F96">
        <f t="shared" ca="1" si="7"/>
        <v>0</v>
      </c>
    </row>
    <row r="97" spans="1:6" x14ac:dyDescent="0.3">
      <c r="A97">
        <f t="shared" si="4"/>
        <v>-0.90000000000001867</v>
      </c>
      <c r="B97" cm="1">
        <f t="array" aca="1" ref="B97" ca="1">eval(CONCATENATE(SUBSTITUTE($C$3,"#",CONCATENATE("A",ROW()))))</f>
        <v>-22.652550976728239</v>
      </c>
      <c r="D97">
        <f t="shared" ca="1" si="5"/>
        <v>0</v>
      </c>
      <c r="E97">
        <f t="shared" ca="1" si="6"/>
        <v>0</v>
      </c>
      <c r="F97">
        <f t="shared" ca="1" si="7"/>
        <v>0</v>
      </c>
    </row>
    <row r="98" spans="1:6" x14ac:dyDescent="0.3">
      <c r="A98">
        <f t="shared" si="4"/>
        <v>-0.8000000000000187</v>
      </c>
      <c r="B98" cm="1">
        <f t="array" aca="1" ref="B98" ca="1">eval(CONCATENATE(SUBSTITUTE($C$3,"#",CONCATENATE("A",ROW()))))</f>
        <v>-18.421375145282028</v>
      </c>
      <c r="D98">
        <f t="shared" ca="1" si="5"/>
        <v>0</v>
      </c>
      <c r="E98">
        <f t="shared" ca="1" si="6"/>
        <v>0</v>
      </c>
      <c r="F98">
        <f t="shared" ca="1" si="7"/>
        <v>0</v>
      </c>
    </row>
    <row r="99" spans="1:6" x14ac:dyDescent="0.3">
      <c r="A99">
        <f t="shared" si="4"/>
        <v>-0.70000000000001872</v>
      </c>
      <c r="B99" cm="1">
        <f t="array" aca="1" ref="B99" ca="1">eval(CONCATENATE(SUBSTITUTE($C$3,"#",CONCATENATE("A",ROW()))))</f>
        <v>-14.802739322365429</v>
      </c>
      <c r="D99">
        <f t="shared" ca="1" si="5"/>
        <v>0</v>
      </c>
      <c r="E99">
        <f t="shared" ca="1" si="6"/>
        <v>0</v>
      </c>
      <c r="F99">
        <f t="shared" ca="1" si="7"/>
        <v>0</v>
      </c>
    </row>
    <row r="100" spans="1:6" x14ac:dyDescent="0.3">
      <c r="A100">
        <f t="shared" si="4"/>
        <v>-0.60000000000001874</v>
      </c>
      <c r="B100" cm="1">
        <f t="array" aca="1" ref="B100" ca="1">eval(CONCATENATE(SUBSTITUTE($C$3,"#",CONCATENATE("A",ROW()))))</f>
        <v>-11.716899377976617</v>
      </c>
      <c r="D100">
        <f t="shared" ca="1" si="5"/>
        <v>0</v>
      </c>
      <c r="E100">
        <f t="shared" ca="1" si="6"/>
        <v>0</v>
      </c>
      <c r="F100">
        <f t="shared" ca="1" si="7"/>
        <v>0</v>
      </c>
    </row>
    <row r="101" spans="1:6" x14ac:dyDescent="0.3">
      <c r="A101">
        <f t="shared" si="4"/>
        <v>-0.50000000000001876</v>
      </c>
      <c r="B101" cm="1">
        <f t="array" aca="1" ref="B101" ca="1">eval(CONCATENATE(SUBSTITUTE($C$3,"#",CONCATENATE("A",ROW()))))</f>
        <v>-9.0936688456890575</v>
      </c>
      <c r="D101">
        <f t="shared" ca="1" si="5"/>
        <v>0</v>
      </c>
      <c r="E101">
        <f t="shared" ca="1" si="6"/>
        <v>0</v>
      </c>
      <c r="F101">
        <f t="shared" ca="1" si="7"/>
        <v>0</v>
      </c>
    </row>
    <row r="102" spans="1:6" x14ac:dyDescent="0.3">
      <c r="A102">
        <f t="shared" si="4"/>
        <v>-0.40000000000001878</v>
      </c>
      <c r="B102" cm="1">
        <f t="array" aca="1" ref="B102" ca="1">eval(CONCATENATE(SUBSTITUTE($C$3,"#",CONCATENATE("A",ROW()))))</f>
        <v>-6.8713151737266243</v>
      </c>
      <c r="D102">
        <f t="shared" ca="1" si="5"/>
        <v>0</v>
      </c>
      <c r="E102">
        <f t="shared" ca="1" si="6"/>
        <v>0</v>
      </c>
      <c r="F102">
        <f t="shared" ca="1" si="7"/>
        <v>0</v>
      </c>
    </row>
    <row r="103" spans="1:6" x14ac:dyDescent="0.3">
      <c r="A103">
        <f t="shared" si="4"/>
        <v>-0.30000000000001881</v>
      </c>
      <c r="B103" cm="1">
        <f t="array" aca="1" ref="B103" ca="1">eval(CONCATENATE(SUBSTITUTE($C$3,"#",CONCATENATE("A",ROW()))))</f>
        <v>-4.9955793386810941</v>
      </c>
      <c r="D103">
        <f t="shared" ca="1" si="5"/>
        <v>0</v>
      </c>
      <c r="E103">
        <f t="shared" ca="1" si="6"/>
        <v>0</v>
      </c>
      <c r="F103">
        <f t="shared" ca="1" si="7"/>
        <v>0</v>
      </c>
    </row>
    <row r="104" spans="1:6" x14ac:dyDescent="0.3">
      <c r="A104">
        <f t="shared" si="4"/>
        <v>-0.2000000000000188</v>
      </c>
      <c r="B104" cm="1">
        <f t="array" aca="1" ref="B104" ca="1">eval(CONCATENATE(SUBSTITUTE($C$3,"#",CONCATENATE("A",ROW()))))</f>
        <v>-3.4188057723197915</v>
      </c>
      <c r="D104">
        <f t="shared" ca="1" si="5"/>
        <v>0</v>
      </c>
      <c r="E104">
        <f t="shared" ca="1" si="6"/>
        <v>0</v>
      </c>
      <c r="F104">
        <f t="shared" ca="1" si="7"/>
        <v>0</v>
      </c>
    </row>
    <row r="105" spans="1:6" x14ac:dyDescent="0.3">
      <c r="A105">
        <f t="shared" si="4"/>
        <v>-0.1000000000000188</v>
      </c>
      <c r="B105" cm="1">
        <f t="array" aca="1" ref="B105" ca="1">eval(CONCATENATE(SUBSTITUTE($C$3,"#",CONCATENATE("A",ROW()))))</f>
        <v>-2.099170922075873</v>
      </c>
      <c r="D105">
        <f t="shared" ca="1" si="5"/>
        <v>0</v>
      </c>
      <c r="E105">
        <f t="shared" ca="1" si="6"/>
        <v>0</v>
      </c>
      <c r="F105">
        <f t="shared" ca="1" si="7"/>
        <v>0</v>
      </c>
    </row>
    <row r="106" spans="1:6" x14ac:dyDescent="0.3">
      <c r="A106">
        <f t="shared" si="4"/>
        <v>-1.8790524691780774E-14</v>
      </c>
      <c r="B106" cm="1">
        <f t="array" aca="1" ref="B106" ca="1">eval(CONCATENATE(SUBSTITUTE($C$3,"#",CONCATENATE("A",ROW()))))</f>
        <v>-1.0000000000001878</v>
      </c>
      <c r="D106">
        <f t="shared" ca="1" si="5"/>
        <v>0</v>
      </c>
      <c r="E106">
        <f t="shared" ca="1" si="6"/>
        <v>0</v>
      </c>
      <c r="F106">
        <f t="shared" ca="1" si="7"/>
        <v>0</v>
      </c>
    </row>
    <row r="107" spans="1:6" x14ac:dyDescent="0.3">
      <c r="A107">
        <f t="shared" si="4"/>
        <v>9.9999999999981215E-2</v>
      </c>
      <c r="B107" cm="1">
        <f t="array" aca="1" ref="B107" ca="1">eval(CONCATENATE(SUBSTITUTE($C$3,"#",CONCATENATE("A",ROW()))))</f>
        <v>-8.9162585964194921E-2</v>
      </c>
      <c r="D107">
        <f t="shared" ca="1" si="5"/>
        <v>0</v>
      </c>
      <c r="E107">
        <f t="shared" ca="1" si="6"/>
        <v>0</v>
      </c>
      <c r="F107">
        <f t="shared" ca="1" si="7"/>
        <v>0</v>
      </c>
    </row>
    <row r="108" spans="1:6" x14ac:dyDescent="0.3">
      <c r="A108">
        <f t="shared" si="4"/>
        <v>0.19999999999998122</v>
      </c>
      <c r="B108" cm="1">
        <f t="array" aca="1" ref="B108" ca="1">eval(CONCATENATE(SUBSTITUTE($C$3,"#",CONCATENATE("A",ROW()))))</f>
        <v>0.66146125015665536</v>
      </c>
      <c r="D108">
        <f t="shared" ca="1" si="5"/>
        <v>1</v>
      </c>
      <c r="E108">
        <f t="shared" ca="1" si="6"/>
        <v>1</v>
      </c>
      <c r="F108">
        <f t="shared" ca="1" si="7"/>
        <v>1</v>
      </c>
    </row>
    <row r="109" spans="1:6" x14ac:dyDescent="0.3">
      <c r="A109">
        <f t="shared" si="4"/>
        <v>0.29999999999998123</v>
      </c>
      <c r="B109" cm="1">
        <f t="array" aca="1" ref="B109" ca="1">eval(CONCATENATE(SUBSTITUTE($C$3,"#",CONCATENATE("A",ROW()))))</f>
        <v>1.2764517460922882</v>
      </c>
      <c r="D109">
        <f t="shared" ca="1" si="5"/>
        <v>0</v>
      </c>
      <c r="E109">
        <f t="shared" ca="1" si="6"/>
        <v>1</v>
      </c>
      <c r="F109">
        <f t="shared" ca="1" si="7"/>
        <v>0</v>
      </c>
    </row>
    <row r="110" spans="1:6" x14ac:dyDescent="0.3">
      <c r="A110">
        <f t="shared" si="4"/>
        <v>0.39999999999998126</v>
      </c>
      <c r="B110" cm="1">
        <f t="array" aca="1" ref="B110" ca="1">eval(CONCATENATE(SUBSTITUTE($C$3,"#",CONCATENATE("A",ROW()))))</f>
        <v>1.7772638009813131</v>
      </c>
      <c r="D110">
        <f t="shared" ca="1" si="5"/>
        <v>0</v>
      </c>
      <c r="E110">
        <f t="shared" ca="1" si="6"/>
        <v>1</v>
      </c>
      <c r="F110">
        <f t="shared" ca="1" si="7"/>
        <v>0</v>
      </c>
    </row>
    <row r="111" spans="1:6" x14ac:dyDescent="0.3">
      <c r="A111">
        <f t="shared" si="4"/>
        <v>0.49999999999998124</v>
      </c>
      <c r="B111" cm="1">
        <f t="array" aca="1" ref="B111" ca="1">eval(CONCATENATE(SUBSTITUTE($C$3,"#",CONCATENATE("A",ROW()))))</f>
        <v>2.182590806375134</v>
      </c>
      <c r="D111">
        <f t="shared" ca="1" si="5"/>
        <v>0</v>
      </c>
      <c r="E111">
        <f t="shared" ca="1" si="6"/>
        <v>1</v>
      </c>
      <c r="F111">
        <f t="shared" ca="1" si="7"/>
        <v>0</v>
      </c>
    </row>
    <row r="112" spans="1:6" x14ac:dyDescent="0.3">
      <c r="A112">
        <f t="shared" si="4"/>
        <v>0.59999999999998122</v>
      </c>
      <c r="B112" cm="1">
        <f t="array" aca="1" ref="B112" ca="1">eval(CONCATENATE(SUBSTITUTE($C$3,"#",CONCATENATE("A",ROW()))))</f>
        <v>2.5086832409310742</v>
      </c>
      <c r="D112">
        <f t="shared" ca="1" si="5"/>
        <v>0</v>
      </c>
      <c r="E112">
        <f t="shared" ca="1" si="6"/>
        <v>1</v>
      </c>
      <c r="F112">
        <f t="shared" ca="1" si="7"/>
        <v>0</v>
      </c>
    </row>
    <row r="113" spans="1:6" x14ac:dyDescent="0.3">
      <c r="A113">
        <f t="shared" si="4"/>
        <v>0.69999999999998119</v>
      </c>
      <c r="B113" cm="1">
        <f t="array" aca="1" ref="B113" ca="1">eval(CONCATENATE(SUBSTITUTE($C$3,"#",CONCATENATE("A",ROW()))))</f>
        <v>2.7696267564683548</v>
      </c>
      <c r="D113">
        <f t="shared" ca="1" si="5"/>
        <v>0</v>
      </c>
      <c r="E113">
        <f t="shared" ca="1" si="6"/>
        <v>1</v>
      </c>
      <c r="F113">
        <f t="shared" ca="1" si="7"/>
        <v>0</v>
      </c>
    </row>
    <row r="114" spans="1:6" x14ac:dyDescent="0.3">
      <c r="A114">
        <f t="shared" si="4"/>
        <v>0.79999999999998117</v>
      </c>
      <c r="B114" cm="1">
        <f t="array" aca="1" ref="B114" ca="1">eval(CONCATENATE(SUBSTITUTE($C$3,"#",CONCATENATE("A",ROW()))))</f>
        <v>2.9775839955961843</v>
      </c>
      <c r="D114">
        <f t="shared" ca="1" si="5"/>
        <v>0</v>
      </c>
      <c r="E114">
        <f t="shared" ca="1" si="6"/>
        <v>1</v>
      </c>
      <c r="F114">
        <f t="shared" ca="1" si="7"/>
        <v>0</v>
      </c>
    </row>
    <row r="115" spans="1:6" x14ac:dyDescent="0.3">
      <c r="A115">
        <f t="shared" si="4"/>
        <v>0.89999999999998115</v>
      </c>
      <c r="B115" cm="1">
        <f t="array" aca="1" ref="B115" ca="1">eval(CONCATENATE(SUBSTITUTE($C$3,"#",CONCATENATE("A",ROW()))))</f>
        <v>3.1430039613505261</v>
      </c>
      <c r="D115">
        <f t="shared" ca="1" si="5"/>
        <v>0</v>
      </c>
      <c r="E115">
        <f t="shared" ca="1" si="6"/>
        <v>1</v>
      </c>
      <c r="F115">
        <f t="shared" ca="1" si="7"/>
        <v>0</v>
      </c>
    </row>
    <row r="116" spans="1:6" x14ac:dyDescent="0.3">
      <c r="A116">
        <f t="shared" si="4"/>
        <v>0.99999999999998113</v>
      </c>
      <c r="B116" cm="1">
        <f t="array" aca="1" ref="B116" ca="1">eval(CONCATENATE(SUBSTITUTE($C$3,"#",CONCATENATE("A",ROW()))))</f>
        <v>3.2748024040995851</v>
      </c>
      <c r="D116">
        <f t="shared" ca="1" si="5"/>
        <v>0</v>
      </c>
      <c r="E116">
        <f t="shared" ca="1" si="6"/>
        <v>1</v>
      </c>
      <c r="F116">
        <f t="shared" ca="1" si="7"/>
        <v>0</v>
      </c>
    </row>
    <row r="117" spans="1:6" x14ac:dyDescent="0.3">
      <c r="A117">
        <f t="shared" si="4"/>
        <v>1.0999999999999812</v>
      </c>
      <c r="B117" cm="1">
        <f t="array" aca="1" ref="B117" ca="1">eval(CONCATENATE(SUBSTITUTE($C$3,"#",CONCATENATE("A",ROW()))))</f>
        <v>3.3805163977087389</v>
      </c>
      <c r="D117">
        <f t="shared" ca="1" si="5"/>
        <v>0</v>
      </c>
      <c r="E117">
        <f t="shared" ca="1" si="6"/>
        <v>1</v>
      </c>
      <c r="F117">
        <f t="shared" ca="1" si="7"/>
        <v>0</v>
      </c>
    </row>
    <row r="118" spans="1:6" x14ac:dyDescent="0.3">
      <c r="A118">
        <f t="shared" si="4"/>
        <v>1.1999999999999813</v>
      </c>
      <c r="B118" cm="1">
        <f t="array" aca="1" ref="B118" ca="1">eval(CONCATENATE(SUBSTITUTE($C$3,"#",CONCATENATE("A",ROW()))))</f>
        <v>3.466436043128037</v>
      </c>
      <c r="D118">
        <f t="shared" ca="1" si="5"/>
        <v>0</v>
      </c>
      <c r="E118">
        <f t="shared" ca="1" si="6"/>
        <v>1</v>
      </c>
      <c r="F118">
        <f t="shared" ca="1" si="7"/>
        <v>0</v>
      </c>
    </row>
    <row r="119" spans="1:6" x14ac:dyDescent="0.3">
      <c r="A119">
        <f t="shared" si="4"/>
        <v>1.2999999999999814</v>
      </c>
      <c r="B119" cm="1">
        <f t="array" aca="1" ref="B119" ca="1">eval(CONCATENATE(SUBSTITUTE($C$3,"#",CONCATENATE("A",ROW()))))</f>
        <v>3.5377160607205571</v>
      </c>
      <c r="D119">
        <f t="shared" ca="1" si="5"/>
        <v>0</v>
      </c>
      <c r="E119">
        <f t="shared" ca="1" si="6"/>
        <v>1</v>
      </c>
      <c r="F119">
        <f t="shared" ca="1" si="7"/>
        <v>0</v>
      </c>
    </row>
    <row r="120" spans="1:6" x14ac:dyDescent="0.3">
      <c r="A120">
        <f t="shared" si="4"/>
        <v>1.3999999999999815</v>
      </c>
      <c r="B120" cm="1">
        <f t="array" aca="1" ref="B120" ca="1">eval(CONCATENATE(SUBSTITUTE($C$3,"#",CONCATENATE("A",ROW()))))</f>
        <v>3.598469910081743</v>
      </c>
      <c r="D120">
        <f t="shared" ca="1" si="5"/>
        <v>0</v>
      </c>
      <c r="E120">
        <f t="shared" ca="1" si="6"/>
        <v>1</v>
      </c>
      <c r="F120">
        <f t="shared" ca="1" si="7"/>
        <v>0</v>
      </c>
    </row>
    <row r="121" spans="1:6" x14ac:dyDescent="0.3">
      <c r="A121">
        <f t="shared" si="4"/>
        <v>1.4999999999999816</v>
      </c>
      <c r="B121" cm="1">
        <f t="array" aca="1" ref="B121" ca="1">eval(CONCATENATE(SUBSTITUTE($C$3,"#",CONCATENATE("A",ROW()))))</f>
        <v>3.6518490045601291</v>
      </c>
      <c r="D121">
        <f t="shared" ca="1" si="5"/>
        <v>0</v>
      </c>
      <c r="E121">
        <f t="shared" ca="1" si="6"/>
        <v>1</v>
      </c>
      <c r="F121">
        <f t="shared" ca="1" si="7"/>
        <v>0</v>
      </c>
    </row>
    <row r="122" spans="1:6" x14ac:dyDescent="0.3">
      <c r="A122">
        <f t="shared" si="4"/>
        <v>1.5999999999999817</v>
      </c>
      <c r="B122" cm="1">
        <f t="array" aca="1" ref="B122" ca="1">eval(CONCATENATE(SUBSTITUTE($C$3,"#",CONCATENATE("A",ROW()))))</f>
        <v>3.7001095630555927</v>
      </c>
      <c r="D122">
        <f t="shared" ca="1" si="5"/>
        <v>0</v>
      </c>
      <c r="E122">
        <f t="shared" ca="1" si="6"/>
        <v>1</v>
      </c>
      <c r="F122">
        <f t="shared" ca="1" si="7"/>
        <v>0</v>
      </c>
    </row>
    <row r="123" spans="1:6" x14ac:dyDescent="0.3">
      <c r="A123">
        <f t="shared" si="4"/>
        <v>1.6999999999999817</v>
      </c>
      <c r="B123" cm="1">
        <f t="array" aca="1" ref="B123" ca="1">eval(CONCATENATE(SUBSTITUTE($C$3,"#",CONCATENATE("A",ROW()))))</f>
        <v>3.7446696585759365</v>
      </c>
      <c r="D123">
        <f t="shared" ca="1" si="5"/>
        <v>0</v>
      </c>
      <c r="E123">
        <f t="shared" ca="1" si="6"/>
        <v>1</v>
      </c>
      <c r="F123">
        <f t="shared" ca="1" si="7"/>
        <v>0</v>
      </c>
    </row>
    <row r="124" spans="1:6" x14ac:dyDescent="0.3">
      <c r="A124">
        <f t="shared" si="4"/>
        <v>1.7999999999999818</v>
      </c>
      <c r="B124" cm="1">
        <f t="array" aca="1" ref="B124" ca="1">eval(CONCATENATE(SUBSTITUTE($C$3,"#",CONCATENATE("A",ROW()))))</f>
        <v>3.7861590744724847</v>
      </c>
      <c r="D124">
        <f t="shared" ca="1" si="5"/>
        <v>0</v>
      </c>
      <c r="E124">
        <f t="shared" ca="1" si="6"/>
        <v>1</v>
      </c>
      <c r="F124">
        <f t="shared" ca="1" si="7"/>
        <v>0</v>
      </c>
    </row>
    <row r="125" spans="1:6" x14ac:dyDescent="0.3">
      <c r="A125">
        <f t="shared" si="4"/>
        <v>1.8999999999999819</v>
      </c>
      <c r="B125" cm="1">
        <f t="array" aca="1" ref="B125" ca="1">eval(CONCATENATE(SUBSTITUTE($C$3,"#",CONCATENATE("A",ROW()))))</f>
        <v>3.8244646562053894</v>
      </c>
      <c r="D125">
        <f t="shared" ca="1" si="5"/>
        <v>0</v>
      </c>
      <c r="E125">
        <f t="shared" ca="1" si="6"/>
        <v>1</v>
      </c>
      <c r="F125">
        <f t="shared" ca="1" si="7"/>
        <v>0</v>
      </c>
    </row>
    <row r="126" spans="1:6" x14ac:dyDescent="0.3">
      <c r="A126">
        <f t="shared" si="4"/>
        <v>1.999999999999982</v>
      </c>
      <c r="B126" cm="1">
        <f t="array" aca="1" ref="B126" ca="1">eval(CONCATENATE(SUBSTITUTE($C$3,"#",CONCATENATE("A",ROW()))))</f>
        <v>3.8587739374308163</v>
      </c>
      <c r="D126">
        <f t="shared" ca="1" si="5"/>
        <v>0</v>
      </c>
      <c r="E126">
        <f t="shared" ca="1" si="6"/>
        <v>1</v>
      </c>
      <c r="F126">
        <f t="shared" ca="1" si="7"/>
        <v>0</v>
      </c>
    </row>
    <row r="127" spans="1:6" x14ac:dyDescent="0.3">
      <c r="A127">
        <f t="shared" si="4"/>
        <v>2.0999999999999819</v>
      </c>
      <c r="B127" cm="1">
        <f t="array" aca="1" ref="B127" ca="1">eval(CONCATENATE(SUBSTITUTE($C$3,"#",CONCATENATE("A",ROW()))))</f>
        <v>3.8876199098943789</v>
      </c>
      <c r="D127">
        <f t="shared" ca="1" si="5"/>
        <v>0</v>
      </c>
      <c r="E127">
        <f t="shared" ca="1" si="6"/>
        <v>1</v>
      </c>
      <c r="F127">
        <f t="shared" ca="1" si="7"/>
        <v>0</v>
      </c>
    </row>
    <row r="128" spans="1:6" x14ac:dyDescent="0.3">
      <c r="A128">
        <f t="shared" si="4"/>
        <v>2.199999999999982</v>
      </c>
      <c r="B128" cm="1">
        <f t="array" aca="1" ref="B128" ca="1">eval(CONCATENATE(SUBSTITUTE($C$3,"#",CONCATENATE("A",ROW()))))</f>
        <v>3.9089298797482979</v>
      </c>
      <c r="D128">
        <f t="shared" ca="1" si="5"/>
        <v>0</v>
      </c>
      <c r="E128">
        <f t="shared" ca="1" si="6"/>
        <v>1</v>
      </c>
      <c r="F128">
        <f t="shared" ca="1" si="7"/>
        <v>0</v>
      </c>
    </row>
    <row r="129" spans="1:6" x14ac:dyDescent="0.3">
      <c r="A129">
        <f t="shared" si="4"/>
        <v>2.2999999999999821</v>
      </c>
      <c r="B129" cm="1">
        <f t="array" aca="1" ref="B129" ca="1">eval(CONCATENATE(SUBSTITUTE($C$3,"#",CONCATENATE("A",ROW()))))</f>
        <v>3.9200813879926191</v>
      </c>
      <c r="D129">
        <f t="shared" ca="1" si="5"/>
        <v>0</v>
      </c>
      <c r="E129">
        <f t="shared" ca="1" si="6"/>
        <v>1</v>
      </c>
      <c r="F129">
        <f t="shared" ca="1" si="7"/>
        <v>0</v>
      </c>
    </row>
    <row r="130" spans="1:6" x14ac:dyDescent="0.3">
      <c r="A130">
        <f t="shared" si="4"/>
        <v>2.3999999999999821</v>
      </c>
      <c r="B130" cm="1">
        <f t="array" aca="1" ref="B130" ca="1">eval(CONCATENATE(SUBSTITUTE($C$3,"#",CONCATENATE("A",ROW()))))</f>
        <v>3.9179681461570048</v>
      </c>
      <c r="D130">
        <f t="shared" ca="1" si="5"/>
        <v>0</v>
      </c>
      <c r="E130">
        <f t="shared" ca="1" si="6"/>
        <v>1</v>
      </c>
      <c r="F130">
        <f t="shared" ca="1" si="7"/>
        <v>0</v>
      </c>
    </row>
    <row r="131" spans="1:6" x14ac:dyDescent="0.3">
      <c r="A131">
        <f t="shared" si="4"/>
        <v>2.4999999999999822</v>
      </c>
      <c r="B131" cm="1">
        <f t="array" aca="1" ref="B131" ca="1">eval(CONCATENATE(SUBSTITUTE($C$3,"#",CONCATENATE("A",ROW()))))</f>
        <v>3.899078823664234</v>
      </c>
      <c r="D131">
        <f t="shared" ca="1" si="5"/>
        <v>0</v>
      </c>
      <c r="E131">
        <f t="shared" ca="1" si="6"/>
        <v>1</v>
      </c>
      <c r="F131">
        <f t="shared" ca="1" si="7"/>
        <v>0</v>
      </c>
    </row>
    <row r="132" spans="1:6" x14ac:dyDescent="0.3">
      <c r="A132">
        <f t="shared" si="4"/>
        <v>2.5999999999999823</v>
      </c>
      <c r="B132" cm="1">
        <f t="array" aca="1" ref="B132" ca="1">eval(CONCATENATE(SUBSTITUTE($C$3,"#",CONCATENATE("A",ROW()))))</f>
        <v>3.8595912919610038</v>
      </c>
      <c r="D132">
        <f t="shared" ca="1" si="5"/>
        <v>0</v>
      </c>
      <c r="E132">
        <f t="shared" ca="1" si="6"/>
        <v>1</v>
      </c>
      <c r="F132">
        <f t="shared" ca="1" si="7"/>
        <v>0</v>
      </c>
    </row>
    <row r="133" spans="1:6" x14ac:dyDescent="0.3">
      <c r="A133">
        <f t="shared" si="4"/>
        <v>2.6999999999999824</v>
      </c>
      <c r="B133" cm="1">
        <f t="array" aca="1" ref="B133" ca="1">eval(CONCATENATE(SUBSTITUTE($C$3,"#",CONCATENATE("A",ROW()))))</f>
        <v>3.7954845527633578</v>
      </c>
      <c r="D133">
        <f t="shared" ca="1" si="5"/>
        <v>0</v>
      </c>
      <c r="E133">
        <f t="shared" ca="1" si="6"/>
        <v>1</v>
      </c>
      <c r="F133">
        <f t="shared" ca="1" si="7"/>
        <v>0</v>
      </c>
    </row>
    <row r="134" spans="1:6" x14ac:dyDescent="0.3">
      <c r="A134">
        <f t="shared" si="4"/>
        <v>2.7999999999999825</v>
      </c>
      <c r="B134" cm="1">
        <f t="array" aca="1" ref="B134" ca="1">eval(CONCATENATE(SUBSTITUTE($C$3,"#",CONCATENATE("A",ROW()))))</f>
        <v>3.7026700243484489</v>
      </c>
      <c r="D134">
        <f t="shared" ca="1" si="5"/>
        <v>0</v>
      </c>
      <c r="E134">
        <f t="shared" ca="1" si="6"/>
        <v>1</v>
      </c>
      <c r="F134">
        <f t="shared" ca="1" si="7"/>
        <v>0</v>
      </c>
    </row>
    <row r="135" spans="1:6" x14ac:dyDescent="0.3">
      <c r="A135">
        <f t="shared" si="4"/>
        <v>2.8999999999999826</v>
      </c>
      <c r="B135" cm="1">
        <f t="array" aca="1" ref="B135" ca="1">eval(CONCATENATE(SUBSTITUTE($C$3,"#",CONCATENATE("A",ROW()))))</f>
        <v>3.5771431038953452</v>
      </c>
      <c r="D135">
        <f t="shared" ca="1" si="5"/>
        <v>0</v>
      </c>
      <c r="E135">
        <f t="shared" ca="1" si="6"/>
        <v>1</v>
      </c>
      <c r="F135">
        <f t="shared" ca="1" si="7"/>
        <v>0</v>
      </c>
    </row>
    <row r="136" spans="1:6" x14ac:dyDescent="0.3">
      <c r="A136">
        <f t="shared" ref="A136:A199" si="8">A135+0.1</f>
        <v>2.9999999999999827</v>
      </c>
      <c r="B136" cm="1">
        <f t="array" aca="1" ref="B136" ca="1">eval(CONCATENATE(SUBSTITUTE($C$3,"#",CONCATENATE("A",ROW()))))</f>
        <v>3.4151549436705353</v>
      </c>
      <c r="D136">
        <f t="shared" ref="D136:D199" ca="1" si="9">IF(B136*B135&lt;=0,1,0)</f>
        <v>0</v>
      </c>
      <c r="E136">
        <f t="shared" ref="E136:E199" ca="1" si="10">SUM(E135+D136)</f>
        <v>1</v>
      </c>
      <c r="F136">
        <f t="shared" ref="F136:F199" ca="1" si="11">D136*E136</f>
        <v>0</v>
      </c>
    </row>
    <row r="137" spans="1:6" x14ac:dyDescent="0.3">
      <c r="A137">
        <f t="shared" si="8"/>
        <v>3.0999999999999828</v>
      </c>
      <c r="B137" cm="1">
        <f t="array" aca="1" ref="B137" ca="1">eval(CONCATENATE(SUBSTITUTE($C$3,"#",CONCATENATE("A",ROW()))))</f>
        <v>3.2134031608470357</v>
      </c>
      <c r="D137">
        <f t="shared" ca="1" si="9"/>
        <v>0</v>
      </c>
      <c r="E137">
        <f t="shared" ca="1" si="10"/>
        <v>1</v>
      </c>
      <c r="F137">
        <f t="shared" ca="1" si="11"/>
        <v>0</v>
      </c>
    </row>
    <row r="138" spans="1:6" x14ac:dyDescent="0.3">
      <c r="A138">
        <f t="shared" si="8"/>
        <v>3.1999999999999829</v>
      </c>
      <c r="B138" cm="1">
        <f t="array" aca="1" ref="B138" ca="1">eval(CONCATENATE(SUBSTITUTE($C$3,"#",CONCATENATE("A",ROW()))))</f>
        <v>2.9692387433394236</v>
      </c>
      <c r="D138">
        <f t="shared" ca="1" si="9"/>
        <v>0</v>
      </c>
      <c r="E138">
        <f t="shared" ca="1" si="10"/>
        <v>1</v>
      </c>
      <c r="F138">
        <f t="shared" ca="1" si="11"/>
        <v>0</v>
      </c>
    </row>
    <row r="139" spans="1:6" x14ac:dyDescent="0.3">
      <c r="A139">
        <f t="shared" si="8"/>
        <v>3.2999999999999829</v>
      </c>
      <c r="B139" cm="1">
        <f t="array" aca="1" ref="B139" ca="1">eval(CONCATENATE(SUBSTITUTE($C$3,"#",CONCATENATE("A",ROW()))))</f>
        <v>2.6808847316193072</v>
      </c>
      <c r="D139">
        <f t="shared" ca="1" si="9"/>
        <v>0</v>
      </c>
      <c r="E139">
        <f t="shared" ca="1" si="10"/>
        <v>1</v>
      </c>
      <c r="F139">
        <f t="shared" ca="1" si="11"/>
        <v>0</v>
      </c>
    </row>
    <row r="140" spans="1:6" x14ac:dyDescent="0.3">
      <c r="A140">
        <f t="shared" si="8"/>
        <v>3.399999999999983</v>
      </c>
      <c r="B140" cm="1">
        <f t="array" aca="1" ref="B140" ca="1">eval(CONCATENATE(SUBSTITUTE($C$3,"#",CONCATENATE("A",ROW()))))</f>
        <v>2.3476603836805996</v>
      </c>
      <c r="D140">
        <f t="shared" ca="1" si="9"/>
        <v>0</v>
      </c>
      <c r="E140">
        <f t="shared" ca="1" si="10"/>
        <v>1</v>
      </c>
      <c r="F140">
        <f t="shared" ca="1" si="11"/>
        <v>0</v>
      </c>
    </row>
    <row r="141" spans="1:6" x14ac:dyDescent="0.3">
      <c r="A141">
        <f t="shared" si="8"/>
        <v>3.4999999999999831</v>
      </c>
      <c r="B141" cm="1">
        <f t="array" aca="1" ref="B141" ca="1">eval(CONCATENATE(SUBSTITUTE($C$3,"#",CONCATENATE("A",ROW()))))</f>
        <v>1.9702025261847256</v>
      </c>
      <c r="D141">
        <f t="shared" ca="1" si="9"/>
        <v>0</v>
      </c>
      <c r="E141">
        <f t="shared" ca="1" si="10"/>
        <v>1</v>
      </c>
      <c r="F141">
        <f t="shared" ca="1" si="11"/>
        <v>0</v>
      </c>
    </row>
    <row r="142" spans="1:6" x14ac:dyDescent="0.3">
      <c r="A142">
        <f t="shared" si="8"/>
        <v>3.5999999999999832</v>
      </c>
      <c r="B142" cm="1">
        <f t="array" aca="1" ref="B142" ca="1">eval(CONCATENATE(SUBSTITUTE($C$3,"#",CONCATENATE("A",ROW()))))</f>
        <v>1.5506737464172762</v>
      </c>
      <c r="D142">
        <f t="shared" ca="1" si="9"/>
        <v>0</v>
      </c>
      <c r="E142">
        <f t="shared" ca="1" si="10"/>
        <v>1</v>
      </c>
      <c r="F142">
        <f t="shared" ca="1" si="11"/>
        <v>0</v>
      </c>
    </row>
    <row r="143" spans="1:6" x14ac:dyDescent="0.3">
      <c r="A143">
        <f t="shared" si="8"/>
        <v>3.6999999999999833</v>
      </c>
      <c r="B143" cm="1">
        <f t="array" aca="1" ref="B143" ca="1">eval(CONCATENATE(SUBSTITUTE($C$3,"#",CONCATENATE("A",ROW()))))</f>
        <v>1.0929451048138719</v>
      </c>
      <c r="D143">
        <f t="shared" ca="1" si="9"/>
        <v>0</v>
      </c>
      <c r="E143">
        <f t="shared" ca="1" si="10"/>
        <v>1</v>
      </c>
      <c r="F143">
        <f t="shared" ca="1" si="11"/>
        <v>0</v>
      </c>
    </row>
    <row r="144" spans="1:6" x14ac:dyDescent="0.3">
      <c r="A144">
        <f t="shared" si="8"/>
        <v>3.7999999999999834</v>
      </c>
      <c r="B144" cm="1">
        <f t="array" aca="1" ref="B144" ca="1">eval(CONCATENATE(SUBSTITUTE($C$3,"#",CONCATENATE("A",ROW()))))</f>
        <v>0.60273929598491549</v>
      </c>
      <c r="D144">
        <f t="shared" ca="1" si="9"/>
        <v>0</v>
      </c>
      <c r="E144">
        <f t="shared" ca="1" si="10"/>
        <v>1</v>
      </c>
      <c r="F144">
        <f t="shared" ca="1" si="11"/>
        <v>0</v>
      </c>
    </row>
    <row r="145" spans="1:6" x14ac:dyDescent="0.3">
      <c r="A145">
        <f t="shared" si="8"/>
        <v>3.8999999999999835</v>
      </c>
      <c r="B145" cm="1">
        <f t="array" aca="1" ref="B145" ca="1">eval(CONCATENATE(SUBSTITUTE($C$3,"#",CONCATENATE("A",ROW()))))</f>
        <v>8.7718837387766979E-2</v>
      </c>
      <c r="D145">
        <f t="shared" ca="1" si="9"/>
        <v>0</v>
      </c>
      <c r="E145">
        <f t="shared" ca="1" si="10"/>
        <v>1</v>
      </c>
      <c r="F145">
        <f t="shared" ca="1" si="11"/>
        <v>0</v>
      </c>
    </row>
    <row r="146" spans="1:6" x14ac:dyDescent="0.3">
      <c r="A146">
        <f t="shared" si="8"/>
        <v>3.9999999999999836</v>
      </c>
      <c r="B146" cm="1">
        <f t="array" aca="1" ref="B146" ca="1">eval(CONCATENATE(SUBSTITUTE($C$3,"#",CONCATENATE("A",ROW()))))</f>
        <v>-0.44249687473328425</v>
      </c>
      <c r="D146">
        <f t="shared" ca="1" si="9"/>
        <v>1</v>
      </c>
      <c r="E146">
        <f t="shared" ca="1" si="10"/>
        <v>2</v>
      </c>
      <c r="F146">
        <f t="shared" ca="1" si="11"/>
        <v>2</v>
      </c>
    </row>
    <row r="147" spans="1:6" x14ac:dyDescent="0.3">
      <c r="A147">
        <f t="shared" si="8"/>
        <v>4.0999999999999837</v>
      </c>
      <c r="B147" cm="1">
        <f t="array" aca="1" ref="B147" ca="1">eval(CONCATENATE(SUBSTITUTE($C$3,"#",CONCATENATE("A",ROW()))))</f>
        <v>-0.97640170838885321</v>
      </c>
      <c r="D147">
        <f t="shared" ca="1" si="9"/>
        <v>0</v>
      </c>
      <c r="E147">
        <f t="shared" ca="1" si="10"/>
        <v>2</v>
      </c>
      <c r="F147">
        <f t="shared" ca="1" si="11"/>
        <v>0</v>
      </c>
    </row>
    <row r="148" spans="1:6" x14ac:dyDescent="0.3">
      <c r="A148">
        <f t="shared" si="8"/>
        <v>4.1999999999999833</v>
      </c>
      <c r="B148" cm="1">
        <f t="array" aca="1" ref="B148" ca="1">eval(CONCATENATE(SUBSTITUTE($C$3,"#",CONCATENATE("A",ROW()))))</f>
        <v>-1.5007750460703573</v>
      </c>
      <c r="D148">
        <f t="shared" ca="1" si="9"/>
        <v>0</v>
      </c>
      <c r="E148">
        <f t="shared" ca="1" si="10"/>
        <v>2</v>
      </c>
      <c r="F148">
        <f t="shared" ca="1" si="11"/>
        <v>0</v>
      </c>
    </row>
    <row r="149" spans="1:6" x14ac:dyDescent="0.3">
      <c r="A149">
        <f t="shared" si="8"/>
        <v>4.2999999999999829</v>
      </c>
      <c r="B149" cm="1">
        <f t="array" aca="1" ref="B149" ca="1">eval(CONCATENATE(SUBSTITUTE($C$3,"#",CONCATENATE("A",ROW()))))</f>
        <v>-2.0009686093871086</v>
      </c>
      <c r="D149">
        <f t="shared" ca="1" si="9"/>
        <v>0</v>
      </c>
      <c r="E149">
        <f t="shared" ca="1" si="10"/>
        <v>2</v>
      </c>
      <c r="F149">
        <f t="shared" ca="1" si="11"/>
        <v>0</v>
      </c>
    </row>
    <row r="150" spans="1:6" x14ac:dyDescent="0.3">
      <c r="A150">
        <f t="shared" si="8"/>
        <v>4.3999999999999826</v>
      </c>
      <c r="B150" cm="1">
        <f t="array" aca="1" ref="B150" ca="1">eval(CONCATENATE(SUBSTITUTE($C$3,"#",CONCATENATE("A",ROW()))))</f>
        <v>-2.461316415622528</v>
      </c>
      <c r="D150">
        <f t="shared" ca="1" si="9"/>
        <v>0</v>
      </c>
      <c r="E150">
        <f t="shared" ca="1" si="10"/>
        <v>2</v>
      </c>
      <c r="F150">
        <f t="shared" ca="1" si="11"/>
        <v>0</v>
      </c>
    </row>
    <row r="151" spans="1:6" x14ac:dyDescent="0.3">
      <c r="A151">
        <f t="shared" si="8"/>
        <v>4.4999999999999822</v>
      </c>
      <c r="B151" cm="1">
        <f t="array" aca="1" ref="B151" ca="1">eval(CONCATENATE(SUBSTITUTE($C$3,"#",CONCATENATE("A",ROW()))))</f>
        <v>-2.8656709190576155</v>
      </c>
      <c r="D151">
        <f t="shared" ca="1" si="9"/>
        <v>0</v>
      </c>
      <c r="E151">
        <f t="shared" ca="1" si="10"/>
        <v>2</v>
      </c>
      <c r="F151">
        <f t="shared" ca="1" si="11"/>
        <v>0</v>
      </c>
    </row>
    <row r="152" spans="1:6" x14ac:dyDescent="0.3">
      <c r="A152">
        <f t="shared" si="8"/>
        <v>4.5999999999999819</v>
      </c>
      <c r="B152" cm="1">
        <f t="array" aca="1" ref="B152" ca="1">eval(CONCATENATE(SUBSTITUTE($C$3,"#",CONCATENATE("A",ROW()))))</f>
        <v>-3.1980612536630804</v>
      </c>
      <c r="D152">
        <f t="shared" ca="1" si="9"/>
        <v>0</v>
      </c>
      <c r="E152">
        <f t="shared" ca="1" si="10"/>
        <v>2</v>
      </c>
      <c r="F152">
        <f t="shared" ca="1" si="11"/>
        <v>0</v>
      </c>
    </row>
    <row r="153" spans="1:6" x14ac:dyDescent="0.3">
      <c r="A153">
        <f t="shared" si="8"/>
        <v>4.6999999999999815</v>
      </c>
      <c r="B153" cm="1">
        <f t="array" aca="1" ref="B153" ca="1">eval(CONCATENATE(SUBSTITUTE($C$3,"#",CONCATENATE("A",ROW()))))</f>
        <v>-3.4434608105783893</v>
      </c>
      <c r="D153">
        <f t="shared" ca="1" si="9"/>
        <v>0</v>
      </c>
      <c r="E153">
        <f t="shared" ca="1" si="10"/>
        <v>2</v>
      </c>
      <c r="F153">
        <f t="shared" ca="1" si="11"/>
        <v>0</v>
      </c>
    </row>
    <row r="154" spans="1:6" x14ac:dyDescent="0.3">
      <c r="A154">
        <f t="shared" si="8"/>
        <v>4.7999999999999812</v>
      </c>
      <c r="B154" cm="1">
        <f t="array" aca="1" ref="B154" ca="1">eval(CONCATENATE(SUBSTITUTE($C$3,"#",CONCATENATE("A",ROW()))))</f>
        <v>-3.5886413906553205</v>
      </c>
      <c r="D154">
        <f t="shared" ca="1" si="9"/>
        <v>0</v>
      </c>
      <c r="E154">
        <f t="shared" ca="1" si="10"/>
        <v>2</v>
      </c>
      <c r="F154">
        <f t="shared" ca="1" si="11"/>
        <v>0</v>
      </c>
    </row>
    <row r="155" spans="1:6" x14ac:dyDescent="0.3">
      <c r="A155">
        <f t="shared" si="8"/>
        <v>4.8999999999999808</v>
      </c>
      <c r="B155" cm="1">
        <f t="array" aca="1" ref="B155" ca="1">eval(CONCATENATE(SUBSTITUTE($C$3,"#",CONCATENATE("A",ROW()))))</f>
        <v>-3.6230802854959321</v>
      </c>
      <c r="D155">
        <f t="shared" ca="1" si="9"/>
        <v>0</v>
      </c>
      <c r="E155">
        <f t="shared" ca="1" si="10"/>
        <v>2</v>
      </c>
      <c r="F155">
        <f t="shared" ca="1" si="11"/>
        <v>0</v>
      </c>
    </row>
    <row r="156" spans="1:6" x14ac:dyDescent="0.3">
      <c r="A156">
        <f t="shared" si="8"/>
        <v>4.9999999999999805</v>
      </c>
      <c r="B156" cm="1">
        <f t="array" aca="1" ref="B156" ca="1">eval(CONCATENATE(SUBSTITUTE($C$3,"#",CONCATENATE("A",ROW()))))</f>
        <v>-3.5398754740351697</v>
      </c>
      <c r="D156">
        <f t="shared" ca="1" si="9"/>
        <v>0</v>
      </c>
      <c r="E156">
        <f t="shared" ca="1" si="10"/>
        <v>2</v>
      </c>
      <c r="F156">
        <f t="shared" ca="1" si="11"/>
        <v>0</v>
      </c>
    </row>
    <row r="157" spans="1:6" x14ac:dyDescent="0.3">
      <c r="A157">
        <f t="shared" si="8"/>
        <v>5.0999999999999801</v>
      </c>
      <c r="B157" cm="1">
        <f t="array" aca="1" ref="B157" ca="1">eval(CONCATENATE(SUBSTITUTE($C$3,"#",CONCATENATE("A",ROW()))))</f>
        <v>-3.3366134934393115</v>
      </c>
      <c r="D157">
        <f t="shared" ca="1" si="9"/>
        <v>0</v>
      </c>
      <c r="E157">
        <f t="shared" ca="1" si="10"/>
        <v>2</v>
      </c>
      <c r="F157">
        <f t="shared" ca="1" si="11"/>
        <v>0</v>
      </c>
    </row>
    <row r="158" spans="1:6" x14ac:dyDescent="0.3">
      <c r="A158">
        <f t="shared" si="8"/>
        <v>5.1999999999999797</v>
      </c>
      <c r="B158" cm="1">
        <f t="array" aca="1" ref="B158" ca="1">eval(CONCATENATE(SUBSTITUTE($C$3,"#",CONCATENATE("A",ROW()))))</f>
        <v>-3.0161254612515607</v>
      </c>
      <c r="D158">
        <f t="shared" ca="1" si="9"/>
        <v>0</v>
      </c>
      <c r="E158">
        <f t="shared" ca="1" si="10"/>
        <v>2</v>
      </c>
      <c r="F158">
        <f t="shared" ca="1" si="11"/>
        <v>0</v>
      </c>
    </row>
    <row r="159" spans="1:6" x14ac:dyDescent="0.3">
      <c r="A159">
        <f t="shared" si="8"/>
        <v>5.2999999999999794</v>
      </c>
      <c r="B159" cm="1">
        <f t="array" aca="1" ref="B159" ca="1">eval(CONCATENATE(SUBSTITUTE($C$3,"#",CONCATENATE("A",ROW()))))</f>
        <v>-2.5870603533221166</v>
      </c>
      <c r="D159">
        <f t="shared" ca="1" si="9"/>
        <v>0</v>
      </c>
      <c r="E159">
        <f t="shared" ca="1" si="10"/>
        <v>2</v>
      </c>
      <c r="F159">
        <f t="shared" ca="1" si="11"/>
        <v>0</v>
      </c>
    </row>
    <row r="160" spans="1:6" x14ac:dyDescent="0.3">
      <c r="A160">
        <f t="shared" si="8"/>
        <v>5.399999999999979</v>
      </c>
      <c r="B160" cm="1">
        <f t="array" aca="1" ref="B160" ca="1">eval(CONCATENATE(SUBSTITUTE($C$3,"#",CONCATENATE("A",ROW()))))</f>
        <v>-2.0642022332695742</v>
      </c>
      <c r="D160">
        <f t="shared" ca="1" si="9"/>
        <v>0</v>
      </c>
      <c r="E160">
        <f t="shared" ca="1" si="10"/>
        <v>2</v>
      </c>
      <c r="F160">
        <f t="shared" ca="1" si="11"/>
        <v>0</v>
      </c>
    </row>
    <row r="161" spans="1:6" x14ac:dyDescent="0.3">
      <c r="A161">
        <f t="shared" si="8"/>
        <v>5.4999999999999787</v>
      </c>
      <c r="B161" cm="1">
        <f t="array" aca="1" ref="B161" ca="1">eval(CONCATENATE(SUBSTITUTE($C$3,"#",CONCATENATE("A",ROW()))))</f>
        <v>-1.4684609357827865</v>
      </c>
      <c r="D161">
        <f t="shared" ca="1" si="9"/>
        <v>0</v>
      </c>
      <c r="E161">
        <f t="shared" ca="1" si="10"/>
        <v>2</v>
      </c>
      <c r="F161">
        <f t="shared" ca="1" si="11"/>
        <v>0</v>
      </c>
    </row>
    <row r="162" spans="1:6" x14ac:dyDescent="0.3">
      <c r="A162">
        <f t="shared" si="8"/>
        <v>5.5999999999999783</v>
      </c>
      <c r="B162" cm="1">
        <f t="array" aca="1" ref="B162" ca="1">eval(CONCATENATE(SUBSTITUTE($C$3,"#",CONCATENATE("A",ROW()))))</f>
        <v>-0.82647485371721041</v>
      </c>
      <c r="D162">
        <f t="shared" ca="1" si="9"/>
        <v>0</v>
      </c>
      <c r="E162">
        <f t="shared" ca="1" si="10"/>
        <v>2</v>
      </c>
      <c r="F162">
        <f t="shared" ca="1" si="11"/>
        <v>0</v>
      </c>
    </row>
    <row r="163" spans="1:6" x14ac:dyDescent="0.3">
      <c r="A163">
        <f t="shared" si="8"/>
        <v>5.699999999999978</v>
      </c>
      <c r="B163" cm="1">
        <f t="array" aca="1" ref="B163" ca="1">eval(CONCATENATE(SUBSTITUTE($C$3,"#",CONCATENATE("A",ROW()))))</f>
        <v>-0.16978081722835181</v>
      </c>
      <c r="D163">
        <f t="shared" ca="1" si="9"/>
        <v>0</v>
      </c>
      <c r="E163">
        <f t="shared" ca="1" si="10"/>
        <v>2</v>
      </c>
      <c r="F163">
        <f t="shared" ca="1" si="11"/>
        <v>0</v>
      </c>
    </row>
    <row r="164" spans="1:6" x14ac:dyDescent="0.3">
      <c r="A164">
        <f t="shared" si="8"/>
        <v>5.7999999999999776</v>
      </c>
      <c r="B164" cm="1">
        <f t="array" aca="1" ref="B164" ca="1">eval(CONCATENATE(SUBSTITUTE($C$3,"#",CONCATENATE("A",ROW()))))</f>
        <v>0.46647001325516979</v>
      </c>
      <c r="D164">
        <f t="shared" ca="1" si="9"/>
        <v>1</v>
      </c>
      <c r="E164">
        <f t="shared" ca="1" si="10"/>
        <v>3</v>
      </c>
      <c r="F164">
        <f t="shared" ca="1" si="11"/>
        <v>3</v>
      </c>
    </row>
    <row r="165" spans="1:6" x14ac:dyDescent="0.3">
      <c r="A165">
        <f t="shared" si="8"/>
        <v>5.8999999999999773</v>
      </c>
      <c r="B165" cm="1">
        <f t="array" aca="1" ref="B165" ca="1">eval(CONCATENATE(SUBSTITUTE($C$3,"#",CONCATENATE("A",ROW()))))</f>
        <v>1.0452400042945889</v>
      </c>
      <c r="D165">
        <f t="shared" ca="1" si="9"/>
        <v>0</v>
      </c>
      <c r="E165">
        <f t="shared" ca="1" si="10"/>
        <v>3</v>
      </c>
      <c r="F165">
        <f t="shared" ca="1" si="11"/>
        <v>0</v>
      </c>
    </row>
    <row r="166" spans="1:6" x14ac:dyDescent="0.3">
      <c r="A166">
        <f t="shared" si="8"/>
        <v>5.9999999999999769</v>
      </c>
      <c r="B166" cm="1">
        <f t="array" aca="1" ref="B166" ca="1">eval(CONCATENATE(SUBSTITUTE($C$3,"#",CONCATENATE("A",ROW()))))</f>
        <v>1.5297287221473419</v>
      </c>
      <c r="D166">
        <f t="shared" ca="1" si="9"/>
        <v>0</v>
      </c>
      <c r="E166">
        <f t="shared" ca="1" si="10"/>
        <v>3</v>
      </c>
      <c r="F166">
        <f t="shared" ca="1" si="11"/>
        <v>0</v>
      </c>
    </row>
    <row r="167" spans="1:6" x14ac:dyDescent="0.3">
      <c r="A167">
        <f t="shared" si="8"/>
        <v>6.0999999999999766</v>
      </c>
      <c r="B167" cm="1">
        <f t="array" aca="1" ref="B167" ca="1">eval(CONCATENATE(SUBSTITUTE($C$3,"#",CONCATENATE("A",ROW()))))</f>
        <v>1.8858023054046438</v>
      </c>
      <c r="D167">
        <f t="shared" ca="1" si="9"/>
        <v>0</v>
      </c>
      <c r="E167">
        <f t="shared" ca="1" si="10"/>
        <v>3</v>
      </c>
      <c r="F167">
        <f t="shared" ca="1" si="11"/>
        <v>0</v>
      </c>
    </row>
    <row r="168" spans="1:6" x14ac:dyDescent="0.3">
      <c r="A168">
        <f t="shared" si="8"/>
        <v>6.1999999999999762</v>
      </c>
      <c r="B168" cm="1">
        <f t="array" aca="1" ref="B168" ca="1">eval(CONCATENATE(SUBSTITUTE($C$3,"#",CONCATENATE("A",ROW()))))</f>
        <v>2.0845946327848122</v>
      </c>
      <c r="D168">
        <f t="shared" ca="1" si="9"/>
        <v>0</v>
      </c>
      <c r="E168">
        <f t="shared" ca="1" si="10"/>
        <v>3</v>
      </c>
      <c r="F168">
        <f t="shared" ca="1" si="11"/>
        <v>0</v>
      </c>
    </row>
    <row r="169" spans="1:6" x14ac:dyDescent="0.3">
      <c r="A169">
        <f t="shared" si="8"/>
        <v>6.2999999999999758</v>
      </c>
      <c r="B169" cm="1">
        <f t="array" aca="1" ref="B169" ca="1">eval(CONCATENATE(SUBSTITUTE($C$3,"#",CONCATENATE("A",ROW()))))</f>
        <v>2.105104799579558</v>
      </c>
      <c r="D169">
        <f t="shared" ca="1" si="9"/>
        <v>0</v>
      </c>
      <c r="E169">
        <f t="shared" ca="1" si="10"/>
        <v>3</v>
      </c>
      <c r="F169">
        <f t="shared" ca="1" si="11"/>
        <v>0</v>
      </c>
    </row>
    <row r="170" spans="1:6" x14ac:dyDescent="0.3">
      <c r="A170">
        <f t="shared" si="8"/>
        <v>6.3999999999999755</v>
      </c>
      <c r="B170" cm="1">
        <f t="array" aca="1" ref="B170" ca="1">eval(CONCATENATE(SUBSTITUTE($C$3,"#",CONCATENATE("A",ROW()))))</f>
        <v>1.9365806557109719</v>
      </c>
      <c r="D170">
        <f t="shared" ca="1" si="9"/>
        <v>0</v>
      </c>
      <c r="E170">
        <f t="shared" ca="1" si="10"/>
        <v>3</v>
      </c>
      <c r="F170">
        <f t="shared" ca="1" si="11"/>
        <v>0</v>
      </c>
    </row>
    <row r="171" spans="1:6" x14ac:dyDescent="0.3">
      <c r="A171">
        <f t="shared" si="8"/>
        <v>6.4999999999999751</v>
      </c>
      <c r="B171" cm="1">
        <f t="array" aca="1" ref="B171" ca="1">eval(CONCATENATE(SUBSTITUTE($C$3,"#",CONCATENATE("A",ROW()))))</f>
        <v>1.5804553468696041</v>
      </c>
      <c r="D171">
        <f t="shared" ca="1" si="9"/>
        <v>0</v>
      </c>
      <c r="E171">
        <f t="shared" ca="1" si="10"/>
        <v>3</v>
      </c>
      <c r="F171">
        <f t="shared" ca="1" si="11"/>
        <v>0</v>
      </c>
    </row>
    <row r="172" spans="1:6" x14ac:dyDescent="0.3">
      <c r="A172">
        <f t="shared" si="8"/>
        <v>6.5999999999999748</v>
      </c>
      <c r="B172" cm="1">
        <f t="array" aca="1" ref="B172" ca="1">eval(CONCATENATE(SUBSTITUTE($C$3,"#",CONCATENATE("A",ROW()))))</f>
        <v>1.0515981486741093</v>
      </c>
      <c r="D172">
        <f t="shared" ca="1" si="9"/>
        <v>0</v>
      </c>
      <c r="E172">
        <f t="shared" ca="1" si="10"/>
        <v>3</v>
      </c>
      <c r="F172">
        <f t="shared" ca="1" si="11"/>
        <v>0</v>
      </c>
    </row>
    <row r="173" spans="1:6" x14ac:dyDescent="0.3">
      <c r="A173">
        <f t="shared" si="8"/>
        <v>6.6999999999999744</v>
      </c>
      <c r="B173" cm="1">
        <f t="array" aca="1" ref="B173" ca="1">eval(CONCATENATE(SUBSTITUTE($C$3,"#",CONCATENATE("A",ROW()))))</f>
        <v>0.37865711379601519</v>
      </c>
      <c r="D173">
        <f t="shared" ca="1" si="9"/>
        <v>0</v>
      </c>
      <c r="E173">
        <f t="shared" ca="1" si="10"/>
        <v>3</v>
      </c>
      <c r="F173">
        <f t="shared" ca="1" si="11"/>
        <v>0</v>
      </c>
    </row>
    <row r="174" spans="1:6" x14ac:dyDescent="0.3">
      <c r="A174">
        <f t="shared" si="8"/>
        <v>6.7999999999999741</v>
      </c>
      <c r="B174" cm="1">
        <f t="array" aca="1" ref="B174" ca="1">eval(CONCATENATE(SUBSTITUTE($C$3,"#",CONCATENATE("A",ROW()))))</f>
        <v>-0.39668729003986503</v>
      </c>
      <c r="D174">
        <f t="shared" ca="1" si="9"/>
        <v>1</v>
      </c>
      <c r="E174">
        <f t="shared" ca="1" si="10"/>
        <v>4</v>
      </c>
      <c r="F174">
        <f t="shared" ca="1" si="11"/>
        <v>4</v>
      </c>
    </row>
    <row r="175" spans="1:6" x14ac:dyDescent="0.3">
      <c r="A175">
        <f t="shared" si="8"/>
        <v>6.8999999999999737</v>
      </c>
      <c r="B175" cm="1">
        <f t="array" aca="1" ref="B175" ca="1">eval(CONCATENATE(SUBSTITUTE($C$3,"#",CONCATENATE("A",ROW()))))</f>
        <v>-1.221669662760823</v>
      </c>
      <c r="D175">
        <f t="shared" ca="1" si="9"/>
        <v>0</v>
      </c>
      <c r="E175">
        <f t="shared" ca="1" si="10"/>
        <v>4</v>
      </c>
      <c r="F175">
        <f t="shared" ca="1" si="11"/>
        <v>0</v>
      </c>
    </row>
    <row r="176" spans="1:6" x14ac:dyDescent="0.3">
      <c r="A176">
        <f t="shared" si="8"/>
        <v>6.9999999999999734</v>
      </c>
      <c r="B176" cm="1">
        <f t="array" aca="1" ref="B176" ca="1">eval(CONCATENATE(SUBSTITUTE($C$3,"#",CONCATENATE("A",ROW()))))</f>
        <v>-2.0356056501667594</v>
      </c>
      <c r="D176">
        <f t="shared" ca="1" si="9"/>
        <v>0</v>
      </c>
      <c r="E176">
        <f t="shared" ca="1" si="10"/>
        <v>4</v>
      </c>
      <c r="F176">
        <f t="shared" ca="1" si="11"/>
        <v>0</v>
      </c>
    </row>
    <row r="177" spans="1:6" x14ac:dyDescent="0.3">
      <c r="A177">
        <f t="shared" si="8"/>
        <v>7.099999999999973</v>
      </c>
      <c r="B177" cm="1">
        <f t="array" aca="1" ref="B177" ca="1">eval(CONCATENATE(SUBSTITUTE($C$3,"#",CONCATENATE("A",ROW()))))</f>
        <v>-2.7741773153641178</v>
      </c>
      <c r="D177">
        <f t="shared" ca="1" si="9"/>
        <v>0</v>
      </c>
      <c r="E177">
        <f t="shared" ca="1" si="10"/>
        <v>4</v>
      </c>
      <c r="F177">
        <f t="shared" ca="1" si="11"/>
        <v>0</v>
      </c>
    </row>
    <row r="178" spans="1:6" x14ac:dyDescent="0.3">
      <c r="A178">
        <f t="shared" si="8"/>
        <v>7.1999999999999726</v>
      </c>
      <c r="B178" cm="1">
        <f t="array" aca="1" ref="B178" ca="1">eval(CONCATENATE(SUBSTITUTE($C$3,"#",CONCATENATE("A",ROW()))))</f>
        <v>-3.3746084980808333</v>
      </c>
      <c r="D178">
        <f t="shared" ca="1" si="9"/>
        <v>0</v>
      </c>
      <c r="E178">
        <f t="shared" ca="1" si="10"/>
        <v>4</v>
      </c>
      <c r="F178">
        <f t="shared" ca="1" si="11"/>
        <v>0</v>
      </c>
    </row>
    <row r="179" spans="1:6" x14ac:dyDescent="0.3">
      <c r="A179">
        <f t="shared" si="8"/>
        <v>7.2999999999999723</v>
      </c>
      <c r="B179" cm="1">
        <f t="array" aca="1" ref="B179" ca="1">eval(CONCATENATE(SUBSTITUTE($C$3,"#",CONCATENATE("A",ROW()))))</f>
        <v>-3.781368174112651</v>
      </c>
      <c r="D179">
        <f t="shared" ca="1" si="9"/>
        <v>0</v>
      </c>
      <c r="E179">
        <f t="shared" ca="1" si="10"/>
        <v>4</v>
      </c>
      <c r="F179">
        <f t="shared" ca="1" si="11"/>
        <v>0</v>
      </c>
    </row>
    <row r="180" spans="1:6" x14ac:dyDescent="0.3">
      <c r="A180">
        <f t="shared" si="8"/>
        <v>7.3999999999999719</v>
      </c>
      <c r="B180" cm="1">
        <f t="array" aca="1" ref="B180" ca="1">eval(CONCATENATE(SUBSTITUTE($C$3,"#",CONCATENATE("A",ROW()))))</f>
        <v>-3.9519196684842881</v>
      </c>
      <c r="D180">
        <f t="shared" ca="1" si="9"/>
        <v>0</v>
      </c>
      <c r="E180">
        <f t="shared" ca="1" si="10"/>
        <v>4</v>
      </c>
      <c r="F180">
        <f t="shared" ca="1" si="11"/>
        <v>0</v>
      </c>
    </row>
    <row r="181" spans="1:6" x14ac:dyDescent="0.3">
      <c r="A181">
        <f t="shared" si="8"/>
        <v>7.4999999999999716</v>
      </c>
      <c r="B181" cm="1">
        <f t="array" aca="1" ref="B181" ca="1">eval(CONCATENATE(SUBSTITUTE($C$3,"#",CONCATENATE("A",ROW()))))</f>
        <v>-3.8619426647727599</v>
      </c>
      <c r="D181">
        <f t="shared" ca="1" si="9"/>
        <v>0</v>
      </c>
      <c r="E181">
        <f t="shared" ca="1" si="10"/>
        <v>4</v>
      </c>
      <c r="F181">
        <f t="shared" ca="1" si="11"/>
        <v>0</v>
      </c>
    </row>
    <row r="182" spans="1:6" x14ac:dyDescent="0.3">
      <c r="A182">
        <f t="shared" si="8"/>
        <v>7.5999999999999712</v>
      </c>
      <c r="B182" cm="1">
        <f t="array" aca="1" ref="B182" ca="1">eval(CONCATENATE(SUBSTITUTE($C$3,"#",CONCATENATE("A",ROW()))))</f>
        <v>-3.5094106124512781</v>
      </c>
      <c r="D182">
        <f t="shared" ca="1" si="9"/>
        <v>0</v>
      </c>
      <c r="E182">
        <f t="shared" ca="1" si="10"/>
        <v>4</v>
      </c>
      <c r="F182">
        <f t="shared" ca="1" si="11"/>
        <v>0</v>
      </c>
    </row>
    <row r="183" spans="1:6" x14ac:dyDescent="0.3">
      <c r="A183">
        <f t="shared" si="8"/>
        <v>7.6999999999999709</v>
      </c>
      <c r="B183" cm="1">
        <f t="array" aca="1" ref="B183" ca="1">eval(CONCATENATE(SUBSTITUTE($C$3,"#",CONCATENATE("A",ROW()))))</f>
        <v>-2.9169240339416782</v>
      </c>
      <c r="D183">
        <f t="shared" ca="1" si="9"/>
        <v>0</v>
      </c>
      <c r="E183">
        <f t="shared" ca="1" si="10"/>
        <v>4</v>
      </c>
      <c r="F183">
        <f t="shared" ca="1" si="11"/>
        <v>0</v>
      </c>
    </row>
    <row r="184" spans="1:6" x14ac:dyDescent="0.3">
      <c r="A184">
        <f t="shared" si="8"/>
        <v>7.7999999999999705</v>
      </c>
      <c r="B184" cm="1">
        <f t="array" aca="1" ref="B184" ca="1">eval(CONCATENATE(SUBSTITUTE($C$3,"#",CONCATENATE("A",ROW()))))</f>
        <v>-2.131791859085733</v>
      </c>
      <c r="D184">
        <f t="shared" ca="1" si="9"/>
        <v>0</v>
      </c>
      <c r="E184">
        <f t="shared" ca="1" si="10"/>
        <v>4</v>
      </c>
      <c r="F184">
        <f t="shared" ca="1" si="11"/>
        <v>0</v>
      </c>
    </row>
    <row r="185" spans="1:6" x14ac:dyDescent="0.3">
      <c r="A185">
        <f t="shared" si="8"/>
        <v>7.8999999999999702</v>
      </c>
      <c r="B185" cm="1">
        <f t="array" aca="1" ref="B185" ca="1">eval(CONCATENATE(SUBSTITUTE($C$3,"#",CONCATENATE("A",ROW()))))</f>
        <v>-1.2235229183287668</v>
      </c>
      <c r="D185">
        <f t="shared" ca="1" si="9"/>
        <v>0</v>
      </c>
      <c r="E185">
        <f t="shared" ca="1" si="10"/>
        <v>4</v>
      </c>
      <c r="F185">
        <f t="shared" ca="1" si="11"/>
        <v>0</v>
      </c>
    </row>
    <row r="186" spans="1:6" x14ac:dyDescent="0.3">
      <c r="A186">
        <f t="shared" si="8"/>
        <v>7.9999999999999698</v>
      </c>
      <c r="B186" cm="1">
        <f t="array" aca="1" ref="B186" ca="1">eval(CONCATENATE(SUBSTITUTE($C$3,"#",CONCATENATE("A",ROW()))))</f>
        <v>-0.27863351446346662</v>
      </c>
      <c r="D186">
        <f t="shared" ca="1" si="9"/>
        <v>0</v>
      </c>
      <c r="E186">
        <f t="shared" ca="1" si="10"/>
        <v>4</v>
      </c>
      <c r="F186">
        <f t="shared" ca="1" si="11"/>
        <v>0</v>
      </c>
    </row>
    <row r="187" spans="1:6" x14ac:dyDescent="0.3">
      <c r="A187">
        <f t="shared" si="8"/>
        <v>8.0999999999999694</v>
      </c>
      <c r="B187" cm="1">
        <f t="array" aca="1" ref="B187" ca="1">eval(CONCATENATE(SUBSTITUTE($C$3,"#",CONCATENATE("A",ROW()))))</f>
        <v>0.60702100298368</v>
      </c>
      <c r="D187">
        <f t="shared" ca="1" si="9"/>
        <v>1</v>
      </c>
      <c r="E187">
        <f t="shared" ca="1" si="10"/>
        <v>5</v>
      </c>
      <c r="F187">
        <f t="shared" ca="1" si="11"/>
        <v>5</v>
      </c>
    </row>
    <row r="188" spans="1:6" x14ac:dyDescent="0.3">
      <c r="A188">
        <f t="shared" si="8"/>
        <v>8.1999999999999691</v>
      </c>
      <c r="B188" cm="1">
        <f t="array" aca="1" ref="B188" ca="1">eval(CONCATENATE(SUBSTITUTE($C$3,"#",CONCATENATE("A",ROW()))))</f>
        <v>1.3378496534840203</v>
      </c>
      <c r="D188">
        <f t="shared" ca="1" si="9"/>
        <v>0</v>
      </c>
      <c r="E188">
        <f t="shared" ca="1" si="10"/>
        <v>5</v>
      </c>
      <c r="F188">
        <f t="shared" ca="1" si="11"/>
        <v>0</v>
      </c>
    </row>
    <row r="189" spans="1:6" x14ac:dyDescent="0.3">
      <c r="A189">
        <f t="shared" si="8"/>
        <v>8.2999999999999687</v>
      </c>
      <c r="B189" cm="1">
        <f t="array" aca="1" ref="B189" ca="1">eval(CONCATENATE(SUBSTITUTE($C$3,"#",CONCATENATE("A",ROW()))))</f>
        <v>1.8291967888301497</v>
      </c>
      <c r="D189">
        <f t="shared" ca="1" si="9"/>
        <v>0</v>
      </c>
      <c r="E189">
        <f t="shared" ca="1" si="10"/>
        <v>5</v>
      </c>
      <c r="F189">
        <f t="shared" ca="1" si="11"/>
        <v>0</v>
      </c>
    </row>
    <row r="190" spans="1:6" x14ac:dyDescent="0.3">
      <c r="A190">
        <f t="shared" si="8"/>
        <v>8.3999999999999684</v>
      </c>
      <c r="B190" cm="1">
        <f t="array" aca="1" ref="B190" ca="1">eval(CONCATENATE(SUBSTITUTE($C$3,"#",CONCATENATE("A",ROW()))))</f>
        <v>2.017938842984853</v>
      </c>
      <c r="D190">
        <f t="shared" ca="1" si="9"/>
        <v>0</v>
      </c>
      <c r="E190">
        <f t="shared" ca="1" si="10"/>
        <v>5</v>
      </c>
      <c r="F190">
        <f t="shared" ca="1" si="11"/>
        <v>0</v>
      </c>
    </row>
    <row r="191" spans="1:6" x14ac:dyDescent="0.3">
      <c r="A191">
        <f t="shared" si="8"/>
        <v>8.499999999999968</v>
      </c>
      <c r="B191" cm="1">
        <f t="array" aca="1" ref="B191" ca="1">eval(CONCATENATE(SUBSTITUTE($C$3,"#",CONCATENATE("A",ROW()))))</f>
        <v>1.8716913118320471</v>
      </c>
      <c r="D191">
        <f t="shared" ca="1" si="9"/>
        <v>0</v>
      </c>
      <c r="E191">
        <f t="shared" ca="1" si="10"/>
        <v>5</v>
      </c>
      <c r="F191">
        <f t="shared" ca="1" si="11"/>
        <v>0</v>
      </c>
    </row>
    <row r="192" spans="1:6" x14ac:dyDescent="0.3">
      <c r="A192">
        <f t="shared" si="8"/>
        <v>8.5999999999999677</v>
      </c>
      <c r="B192" cm="1">
        <f t="array" aca="1" ref="B192" ca="1">eval(CONCATENATE(SUBSTITUTE($C$3,"#",CONCATENATE("A",ROW()))))</f>
        <v>1.395281930647865</v>
      </c>
      <c r="D192">
        <f t="shared" ca="1" si="9"/>
        <v>0</v>
      </c>
      <c r="E192">
        <f t="shared" ca="1" si="10"/>
        <v>5</v>
      </c>
      <c r="F192">
        <f t="shared" ca="1" si="11"/>
        <v>0</v>
      </c>
    </row>
    <row r="193" spans="1:6" x14ac:dyDescent="0.3">
      <c r="A193">
        <f t="shared" si="8"/>
        <v>8.6999999999999673</v>
      </c>
      <c r="B193" cm="1">
        <f t="array" aca="1" ref="B193" ca="1">eval(CONCATENATE(SUBSTITUTE($C$3,"#",CONCATENATE("A",ROW()))))</f>
        <v>0.63329633641724281</v>
      </c>
      <c r="D193">
        <f t="shared" ca="1" si="9"/>
        <v>0</v>
      </c>
      <c r="E193">
        <f t="shared" ca="1" si="10"/>
        <v>5</v>
      </c>
      <c r="F193">
        <f t="shared" ca="1" si="11"/>
        <v>0</v>
      </c>
    </row>
    <row r="194" spans="1:6" x14ac:dyDescent="0.3">
      <c r="A194">
        <f t="shared" si="8"/>
        <v>8.799999999999967</v>
      </c>
      <c r="B194" cm="1">
        <f t="array" aca="1" ref="B194" ca="1">eval(CONCATENATE(SUBSTITUTE($C$3,"#",CONCATENATE("A",ROW()))))</f>
        <v>-0.33215416073502613</v>
      </c>
      <c r="D194">
        <f t="shared" ca="1" si="9"/>
        <v>1</v>
      </c>
      <c r="E194">
        <f t="shared" ca="1" si="10"/>
        <v>6</v>
      </c>
      <c r="F194">
        <f t="shared" ca="1" si="11"/>
        <v>6</v>
      </c>
    </row>
    <row r="195" spans="1:6" x14ac:dyDescent="0.3">
      <c r="A195">
        <f t="shared" si="8"/>
        <v>8.8999999999999666</v>
      </c>
      <c r="B195" cm="1">
        <f t="array" aca="1" ref="B195" ca="1">eval(CONCATENATE(SUBSTITUTE($C$3,"#",CONCATENATE("A",ROW()))))</f>
        <v>-1.388768621202306</v>
      </c>
      <c r="D195">
        <f t="shared" ca="1" si="9"/>
        <v>0</v>
      </c>
      <c r="E195">
        <f t="shared" ca="1" si="10"/>
        <v>6</v>
      </c>
      <c r="F195">
        <f t="shared" ca="1" si="11"/>
        <v>0</v>
      </c>
    </row>
    <row r="196" spans="1:6" x14ac:dyDescent="0.3">
      <c r="A196">
        <f t="shared" si="8"/>
        <v>8.9999999999999662</v>
      </c>
      <c r="B196" cm="1">
        <f t="array" aca="1" ref="B196" ca="1">eval(CONCATENATE(SUBSTITUTE($C$3,"#",CONCATENATE("A",ROW()))))</f>
        <v>-2.4061590768272776</v>
      </c>
      <c r="D196">
        <f t="shared" ca="1" si="9"/>
        <v>0</v>
      </c>
      <c r="E196">
        <f t="shared" ca="1" si="10"/>
        <v>6</v>
      </c>
      <c r="F196">
        <f t="shared" ca="1" si="11"/>
        <v>0</v>
      </c>
    </row>
    <row r="197" spans="1:6" x14ac:dyDescent="0.3">
      <c r="A197">
        <f t="shared" si="8"/>
        <v>9.0999999999999659</v>
      </c>
      <c r="B197" cm="1">
        <f t="array" aca="1" ref="B197" ca="1">eval(CONCATENATE(SUBSTITUTE($C$3,"#",CONCATENATE("A",ROW()))))</f>
        <v>-3.2516537671177002</v>
      </c>
      <c r="D197">
        <f t="shared" ca="1" si="9"/>
        <v>0</v>
      </c>
      <c r="E197">
        <f t="shared" ca="1" si="10"/>
        <v>6</v>
      </c>
      <c r="F197">
        <f t="shared" ca="1" si="11"/>
        <v>0</v>
      </c>
    </row>
    <row r="198" spans="1:6" x14ac:dyDescent="0.3">
      <c r="A198">
        <f t="shared" si="8"/>
        <v>9.1999999999999655</v>
      </c>
      <c r="B198" cm="1">
        <f t="array" aca="1" ref="B198" ca="1">eval(CONCATENATE(SUBSTITUTE($C$3,"#",CONCATENATE("A",ROW()))))</f>
        <v>-3.8080403105267133</v>
      </c>
      <c r="D198">
        <f t="shared" ca="1" si="9"/>
        <v>0</v>
      </c>
      <c r="E198">
        <f t="shared" ca="1" si="10"/>
        <v>6</v>
      </c>
      <c r="F198">
        <f t="shared" ca="1" si="11"/>
        <v>0</v>
      </c>
    </row>
    <row r="199" spans="1:6" x14ac:dyDescent="0.3">
      <c r="A199">
        <f t="shared" si="8"/>
        <v>9.2999999999999652</v>
      </c>
      <c r="B199" cm="1">
        <f t="array" aca="1" ref="B199" ca="1">eval(CONCATENATE(SUBSTITUTE($C$3,"#",CONCATENATE("A",ROW()))))</f>
        <v>-3.9909422738110703</v>
      </c>
      <c r="D199">
        <f t="shared" ca="1" si="9"/>
        <v>0</v>
      </c>
      <c r="E199">
        <f t="shared" ca="1" si="10"/>
        <v>6</v>
      </c>
      <c r="F199">
        <f t="shared" ca="1" si="11"/>
        <v>0</v>
      </c>
    </row>
    <row r="200" spans="1:6" x14ac:dyDescent="0.3">
      <c r="A200">
        <f t="shared" ref="A200:A206" si="12">A199+0.1</f>
        <v>9.3999999999999648</v>
      </c>
      <c r="B200" cm="1">
        <f t="array" aca="1" ref="B200" ca="1">eval(CONCATENATE(SUBSTITUTE($C$3,"#",CONCATENATE("A",ROW()))))</f>
        <v>-3.7632406626428527</v>
      </c>
      <c r="D200">
        <f t="shared" ref="D200:D206" ca="1" si="13">IF(B200*B199&lt;=0,1,0)</f>
        <v>0</v>
      </c>
      <c r="E200">
        <f t="shared" ref="E200:E206" ca="1" si="14">SUM(E199+D200)</f>
        <v>6</v>
      </c>
      <c r="F200">
        <f t="shared" ref="F200:F206" ca="1" si="15">D200*E200</f>
        <v>0</v>
      </c>
    </row>
    <row r="201" spans="1:6" x14ac:dyDescent="0.3">
      <c r="A201">
        <f t="shared" si="12"/>
        <v>9.4999999999999645</v>
      </c>
      <c r="B201" cm="1">
        <f t="array" aca="1" ref="B201" ca="1">eval(CONCATENATE(SUBSTITUTE($C$3,"#",CONCATENATE("A",ROW()))))</f>
        <v>-3.1440289593597237</v>
      </c>
      <c r="D201">
        <f t="shared" ca="1" si="13"/>
        <v>0</v>
      </c>
      <c r="E201">
        <f t="shared" ca="1" si="14"/>
        <v>6</v>
      </c>
      <c r="F201">
        <f t="shared" ca="1" si="15"/>
        <v>0</v>
      </c>
    </row>
    <row r="202" spans="1:6" x14ac:dyDescent="0.3">
      <c r="A202">
        <f t="shared" si="12"/>
        <v>9.5999999999999641</v>
      </c>
      <c r="B202" cm="1">
        <f t="array" aca="1" ref="B202" ca="1">eval(CONCATENATE(SUBSTITUTE($C$3,"#",CONCATENATE("A",ROW()))))</f>
        <v>-2.21008077045903</v>
      </c>
      <c r="D202">
        <f t="shared" ca="1" si="13"/>
        <v>0</v>
      </c>
      <c r="E202">
        <f t="shared" ca="1" si="14"/>
        <v>6</v>
      </c>
      <c r="F202">
        <f t="shared" ca="1" si="15"/>
        <v>0</v>
      </c>
    </row>
    <row r="203" spans="1:6" x14ac:dyDescent="0.3">
      <c r="A203">
        <f t="shared" si="12"/>
        <v>9.6999999999999638</v>
      </c>
      <c r="B203" cm="1">
        <f t="array" aca="1" ref="B203" ca="1">eval(CONCATENATE(SUBSTITUTE($C$3,"#",CONCATENATE("A",ROW()))))</f>
        <v>-1.088707555061198</v>
      </c>
      <c r="D203">
        <f t="shared" ca="1" si="13"/>
        <v>0</v>
      </c>
      <c r="E203">
        <f t="shared" ca="1" si="14"/>
        <v>6</v>
      </c>
      <c r="F203">
        <f t="shared" ca="1" si="15"/>
        <v>0</v>
      </c>
    </row>
    <row r="204" spans="1:6" x14ac:dyDescent="0.3">
      <c r="A204">
        <f t="shared" si="12"/>
        <v>9.7999999999999634</v>
      </c>
      <c r="B204" cm="1">
        <f t="array" aca="1" ref="B204" ca="1">eval(CONCATENATE(SUBSTITUTE($C$3,"#",CONCATENATE("A",ROW()))))</f>
        <v>5.7887133027333615E-2</v>
      </c>
      <c r="D204">
        <f t="shared" ca="1" si="13"/>
        <v>1</v>
      </c>
      <c r="E204">
        <f t="shared" ca="1" si="14"/>
        <v>7</v>
      </c>
      <c r="F204">
        <f t="shared" ca="1" si="15"/>
        <v>7</v>
      </c>
    </row>
    <row r="205" spans="1:6" x14ac:dyDescent="0.3">
      <c r="A205">
        <f t="shared" si="12"/>
        <v>9.8999999999999631</v>
      </c>
      <c r="B205" cm="1">
        <f t="array" aca="1" ref="B205" ca="1">eval(CONCATENATE(SUBSTITUTE($C$3,"#",CONCATENATE("A",ROW()))))</f>
        <v>1.0552423755956197</v>
      </c>
      <c r="D205">
        <f t="shared" ca="1" si="13"/>
        <v>0</v>
      </c>
      <c r="E205">
        <f t="shared" ca="1" si="14"/>
        <v>7</v>
      </c>
      <c r="F205">
        <f t="shared" ca="1" si="15"/>
        <v>0</v>
      </c>
    </row>
    <row r="206" spans="1:6" x14ac:dyDescent="0.3">
      <c r="A206">
        <f t="shared" si="12"/>
        <v>9.9999999999999627</v>
      </c>
      <c r="B206" cm="1">
        <f t="array" aca="1" ref="B206" ca="1">eval(CONCATENATE(SUBSTITUTE($C$3,"#",CONCATENATE("A",ROW()))))</f>
        <v>1.7433757451589487</v>
      </c>
      <c r="D206">
        <f t="shared" ca="1" si="13"/>
        <v>0</v>
      </c>
      <c r="E206">
        <f t="shared" ca="1" si="14"/>
        <v>7</v>
      </c>
      <c r="F206">
        <f t="shared" ca="1" si="15"/>
        <v>0</v>
      </c>
    </row>
  </sheetData>
  <phoneticPr fontId="1" type="noConversion"/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ex6</vt:lpstr>
      <vt:lpstr>ex7</vt:lpstr>
      <vt:lpstr>ex1_2자동화</vt:lpstr>
      <vt:lpstr>ex7자동화</vt:lpstr>
      <vt:lpstr>ex8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2023-06-10T12:25:42Z</dcterms:modified>
</cp:coreProperties>
</file>