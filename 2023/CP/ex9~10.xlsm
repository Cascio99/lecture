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3 - 1\0. CP 1\"/>
    </mc:Choice>
  </mc:AlternateContent>
  <xr:revisionPtr revIDLastSave="0" documentId="13_ncr:1_{0012A43A-910A-4127-B388-57638D84BF6C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ex9" sheetId="3" r:id="rId1"/>
    <sheet name="ex10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4" i="3" l="1"/>
  <c r="C34" i="3"/>
  <c r="AA50" i="3" s="1"/>
  <c r="N33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AA20" i="3"/>
  <c r="Z20" i="3"/>
  <c r="Y20" i="3"/>
  <c r="X20" i="3"/>
  <c r="W20" i="3"/>
  <c r="V20" i="3"/>
  <c r="U20" i="3"/>
  <c r="T20" i="3"/>
  <c r="S20" i="3"/>
  <c r="R20" i="3"/>
  <c r="Q20" i="3"/>
  <c r="P20" i="3"/>
  <c r="O20" i="3"/>
  <c r="N20" i="3"/>
  <c r="M20" i="3"/>
  <c r="L20" i="3"/>
  <c r="K20" i="3"/>
  <c r="J20" i="3"/>
  <c r="I20" i="3"/>
  <c r="H20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M14" i="3"/>
  <c r="L14" i="3"/>
  <c r="K14" i="3"/>
  <c r="J14" i="3"/>
  <c r="I14" i="3"/>
  <c r="H14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AA6" i="3"/>
  <c r="Z6" i="3"/>
  <c r="Y6" i="3"/>
  <c r="X6" i="3"/>
  <c r="W6" i="3"/>
  <c r="V6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AA5" i="3"/>
  <c r="Z5" i="3"/>
  <c r="Y5" i="3"/>
  <c r="X5" i="3"/>
  <c r="W5" i="3"/>
  <c r="V5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AA4" i="3"/>
  <c r="Z4" i="3"/>
  <c r="Y4" i="3"/>
  <c r="X4" i="3"/>
  <c r="W4" i="3"/>
  <c r="V4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AA3" i="3"/>
  <c r="Z3" i="3"/>
  <c r="Y3" i="3"/>
  <c r="X3" i="3"/>
  <c r="W3" i="3"/>
  <c r="V3" i="3"/>
  <c r="U3" i="3"/>
  <c r="T3" i="3"/>
  <c r="S3" i="3"/>
  <c r="R3" i="3"/>
  <c r="Q3" i="3"/>
  <c r="P3" i="3"/>
  <c r="O3" i="3"/>
  <c r="N3" i="3"/>
  <c r="M3" i="3"/>
  <c r="L3" i="3"/>
  <c r="K3" i="3"/>
  <c r="J3" i="3"/>
  <c r="I3" i="3"/>
  <c r="H3" i="3"/>
  <c r="G18" i="3" s="1"/>
  <c r="G19" i="3" s="1"/>
  <c r="Q33" i="3" l="1"/>
  <c r="Z33" i="3"/>
  <c r="P33" i="3"/>
  <c r="I31" i="3"/>
  <c r="P34" i="3"/>
  <c r="R31" i="3"/>
  <c r="H35" i="3"/>
  <c r="U31" i="3"/>
  <c r="T35" i="3"/>
  <c r="J32" i="3"/>
  <c r="L36" i="3"/>
  <c r="M32" i="3"/>
  <c r="X36" i="3"/>
  <c r="V32" i="3"/>
  <c r="P37" i="3"/>
  <c r="Y32" i="3"/>
  <c r="H38" i="3"/>
  <c r="P31" i="3"/>
  <c r="H32" i="3"/>
  <c r="T32" i="3"/>
  <c r="L33" i="3"/>
  <c r="X33" i="3"/>
  <c r="N34" i="3"/>
  <c r="Z34" i="3"/>
  <c r="R35" i="3"/>
  <c r="J36" i="3"/>
  <c r="V36" i="3"/>
  <c r="N37" i="3"/>
  <c r="Z37" i="3"/>
  <c r="R38" i="3"/>
  <c r="J39" i="3"/>
  <c r="V39" i="3"/>
  <c r="N40" i="3"/>
  <c r="Z40" i="3"/>
  <c r="R41" i="3"/>
  <c r="J42" i="3"/>
  <c r="V42" i="3"/>
  <c r="N43" i="3"/>
  <c r="Z43" i="3"/>
  <c r="R44" i="3"/>
  <c r="J45" i="3"/>
  <c r="V45" i="3"/>
  <c r="N46" i="3"/>
  <c r="Z46" i="3"/>
  <c r="R47" i="3"/>
  <c r="I48" i="3"/>
  <c r="U48" i="3"/>
  <c r="L49" i="3"/>
  <c r="X49" i="3"/>
  <c r="P50" i="3"/>
  <c r="Q31" i="3"/>
  <c r="I32" i="3"/>
  <c r="U32" i="3"/>
  <c r="M33" i="3"/>
  <c r="Y33" i="3"/>
  <c r="O34" i="3"/>
  <c r="AA34" i="3"/>
  <c r="S35" i="3"/>
  <c r="K36" i="3"/>
  <c r="W36" i="3"/>
  <c r="O37" i="3"/>
  <c r="AA37" i="3"/>
  <c r="S38" i="3"/>
  <c r="K39" i="3"/>
  <c r="W39" i="3"/>
  <c r="O40" i="3"/>
  <c r="AA40" i="3"/>
  <c r="S41" i="3"/>
  <c r="K42" i="3"/>
  <c r="W42" i="3"/>
  <c r="O43" i="3"/>
  <c r="AA43" i="3"/>
  <c r="S44" i="3"/>
  <c r="K45" i="3"/>
  <c r="W45" i="3"/>
  <c r="O46" i="3"/>
  <c r="AA46" i="3"/>
  <c r="S47" i="3"/>
  <c r="J48" i="3"/>
  <c r="V48" i="3"/>
  <c r="M49" i="3"/>
  <c r="Y49" i="3"/>
  <c r="Q50" i="3"/>
  <c r="T38" i="3"/>
  <c r="L39" i="3"/>
  <c r="X39" i="3"/>
  <c r="P40" i="3"/>
  <c r="H41" i="3"/>
  <c r="T41" i="3"/>
  <c r="L42" i="3"/>
  <c r="X42" i="3"/>
  <c r="P43" i="3"/>
  <c r="H44" i="3"/>
  <c r="T44" i="3"/>
  <c r="L45" i="3"/>
  <c r="X45" i="3"/>
  <c r="P46" i="3"/>
  <c r="H47" i="3"/>
  <c r="T47" i="3"/>
  <c r="K48" i="3"/>
  <c r="W48" i="3"/>
  <c r="N49" i="3"/>
  <c r="Z49" i="3"/>
  <c r="R50" i="3"/>
  <c r="S31" i="3"/>
  <c r="K32" i="3"/>
  <c r="W32" i="3"/>
  <c r="O33" i="3"/>
  <c r="AA33" i="3"/>
  <c r="Q34" i="3"/>
  <c r="I35" i="3"/>
  <c r="U35" i="3"/>
  <c r="M36" i="3"/>
  <c r="Y36" i="3"/>
  <c r="Q37" i="3"/>
  <c r="I38" i="3"/>
  <c r="U38" i="3"/>
  <c r="M39" i="3"/>
  <c r="Y39" i="3"/>
  <c r="Q40" i="3"/>
  <c r="I41" i="3"/>
  <c r="U41" i="3"/>
  <c r="M42" i="3"/>
  <c r="Y42" i="3"/>
  <c r="Q43" i="3"/>
  <c r="I44" i="3"/>
  <c r="U44" i="3"/>
  <c r="M45" i="3"/>
  <c r="Y45" i="3"/>
  <c r="Q46" i="3"/>
  <c r="I47" i="3"/>
  <c r="U47" i="3"/>
  <c r="L48" i="3"/>
  <c r="X48" i="3"/>
  <c r="O49" i="3"/>
  <c r="AA49" i="3"/>
  <c r="S50" i="3"/>
  <c r="H31" i="3"/>
  <c r="T31" i="3"/>
  <c r="L32" i="3"/>
  <c r="X32" i="3"/>
  <c r="R34" i="3"/>
  <c r="J35" i="3"/>
  <c r="V35" i="3"/>
  <c r="N36" i="3"/>
  <c r="Z36" i="3"/>
  <c r="R37" i="3"/>
  <c r="J38" i="3"/>
  <c r="V38" i="3"/>
  <c r="N39" i="3"/>
  <c r="Z39" i="3"/>
  <c r="R40" i="3"/>
  <c r="J41" i="3"/>
  <c r="V41" i="3"/>
  <c r="N42" i="3"/>
  <c r="Z42" i="3"/>
  <c r="R43" i="3"/>
  <c r="J44" i="3"/>
  <c r="V44" i="3"/>
  <c r="N45" i="3"/>
  <c r="Z45" i="3"/>
  <c r="R46" i="3"/>
  <c r="J47" i="3"/>
  <c r="V47" i="3"/>
  <c r="M48" i="3"/>
  <c r="Y48" i="3"/>
  <c r="P49" i="3"/>
  <c r="H50" i="3"/>
  <c r="T50" i="3"/>
  <c r="S34" i="3"/>
  <c r="K35" i="3"/>
  <c r="W35" i="3"/>
  <c r="O36" i="3"/>
  <c r="AA36" i="3"/>
  <c r="S37" i="3"/>
  <c r="K38" i="3"/>
  <c r="W38" i="3"/>
  <c r="O39" i="3"/>
  <c r="AA39" i="3"/>
  <c r="S40" i="3"/>
  <c r="K41" i="3"/>
  <c r="W41" i="3"/>
  <c r="O42" i="3"/>
  <c r="AA42" i="3"/>
  <c r="S43" i="3"/>
  <c r="K44" i="3"/>
  <c r="W44" i="3"/>
  <c r="O45" i="3"/>
  <c r="AA45" i="3"/>
  <c r="S46" i="3"/>
  <c r="K47" i="3"/>
  <c r="W47" i="3"/>
  <c r="N48" i="3"/>
  <c r="Z48" i="3"/>
  <c r="Q49" i="3"/>
  <c r="I50" i="3"/>
  <c r="U50" i="3"/>
  <c r="J31" i="3"/>
  <c r="V31" i="3"/>
  <c r="N32" i="3"/>
  <c r="Z32" i="3"/>
  <c r="R33" i="3"/>
  <c r="H34" i="3"/>
  <c r="T34" i="3"/>
  <c r="L35" i="3"/>
  <c r="X35" i="3"/>
  <c r="P36" i="3"/>
  <c r="H37" i="3"/>
  <c r="T37" i="3"/>
  <c r="L38" i="3"/>
  <c r="X38" i="3"/>
  <c r="P39" i="3"/>
  <c r="H40" i="3"/>
  <c r="T40" i="3"/>
  <c r="L41" i="3"/>
  <c r="X41" i="3"/>
  <c r="P42" i="3"/>
  <c r="H43" i="3"/>
  <c r="T43" i="3"/>
  <c r="L44" i="3"/>
  <c r="X44" i="3"/>
  <c r="P45" i="3"/>
  <c r="H46" i="3"/>
  <c r="T46" i="3"/>
  <c r="L47" i="3"/>
  <c r="X47" i="3"/>
  <c r="O48" i="3"/>
  <c r="AA48" i="3"/>
  <c r="R49" i="3"/>
  <c r="J50" i="3"/>
  <c r="V50" i="3"/>
  <c r="K31" i="3"/>
  <c r="W31" i="3"/>
  <c r="O32" i="3"/>
  <c r="AA32" i="3"/>
  <c r="S33" i="3"/>
  <c r="I34" i="3"/>
  <c r="U34" i="3"/>
  <c r="M35" i="3"/>
  <c r="Y35" i="3"/>
  <c r="Q36" i="3"/>
  <c r="I37" i="3"/>
  <c r="U37" i="3"/>
  <c r="M38" i="3"/>
  <c r="Y38" i="3"/>
  <c r="Q39" i="3"/>
  <c r="I40" i="3"/>
  <c r="U40" i="3"/>
  <c r="M41" i="3"/>
  <c r="Y41" i="3"/>
  <c r="Q42" i="3"/>
  <c r="I43" i="3"/>
  <c r="U43" i="3"/>
  <c r="M44" i="3"/>
  <c r="Y44" i="3"/>
  <c r="Q45" i="3"/>
  <c r="I46" i="3"/>
  <c r="U46" i="3"/>
  <c r="M47" i="3"/>
  <c r="Y47" i="3"/>
  <c r="P48" i="3"/>
  <c r="S49" i="3"/>
  <c r="K50" i="3"/>
  <c r="W50" i="3"/>
  <c r="L31" i="3"/>
  <c r="X31" i="3"/>
  <c r="P32" i="3"/>
  <c r="H33" i="3"/>
  <c r="T33" i="3"/>
  <c r="J34" i="3"/>
  <c r="V34" i="3"/>
  <c r="N35" i="3"/>
  <c r="Z35" i="3"/>
  <c r="R36" i="3"/>
  <c r="J37" i="3"/>
  <c r="V37" i="3"/>
  <c r="N38" i="3"/>
  <c r="Z38" i="3"/>
  <c r="R39" i="3"/>
  <c r="J40" i="3"/>
  <c r="V40" i="3"/>
  <c r="N41" i="3"/>
  <c r="Z41" i="3"/>
  <c r="R42" i="3"/>
  <c r="J43" i="3"/>
  <c r="V43" i="3"/>
  <c r="N44" i="3"/>
  <c r="Z44" i="3"/>
  <c r="R45" i="3"/>
  <c r="J46" i="3"/>
  <c r="V46" i="3"/>
  <c r="N47" i="3"/>
  <c r="Z47" i="3"/>
  <c r="Q48" i="3"/>
  <c r="H49" i="3"/>
  <c r="T49" i="3"/>
  <c r="L50" i="3"/>
  <c r="X50" i="3"/>
  <c r="M31" i="3"/>
  <c r="Y31" i="3"/>
  <c r="Q32" i="3"/>
  <c r="I33" i="3"/>
  <c r="U33" i="3"/>
  <c r="K34" i="3"/>
  <c r="W34" i="3"/>
  <c r="O35" i="3"/>
  <c r="AA35" i="3"/>
  <c r="S36" i="3"/>
  <c r="K37" i="3"/>
  <c r="W37" i="3"/>
  <c r="O38" i="3"/>
  <c r="AA38" i="3"/>
  <c r="S39" i="3"/>
  <c r="K40" i="3"/>
  <c r="W40" i="3"/>
  <c r="O41" i="3"/>
  <c r="AA41" i="3"/>
  <c r="S42" i="3"/>
  <c r="K43" i="3"/>
  <c r="W43" i="3"/>
  <c r="O44" i="3"/>
  <c r="AA44" i="3"/>
  <c r="S45" i="3"/>
  <c r="K46" i="3"/>
  <c r="W46" i="3"/>
  <c r="O47" i="3"/>
  <c r="AA47" i="3"/>
  <c r="R48" i="3"/>
  <c r="I49" i="3"/>
  <c r="U49" i="3"/>
  <c r="M50" i="3"/>
  <c r="Y50" i="3"/>
  <c r="N31" i="3"/>
  <c r="Z31" i="3"/>
  <c r="R32" i="3"/>
  <c r="J33" i="3"/>
  <c r="V33" i="3"/>
  <c r="L34" i="3"/>
  <c r="X34" i="3"/>
  <c r="P35" i="3"/>
  <c r="H36" i="3"/>
  <c r="T36" i="3"/>
  <c r="L37" i="3"/>
  <c r="X37" i="3"/>
  <c r="P38" i="3"/>
  <c r="H39" i="3"/>
  <c r="T39" i="3"/>
  <c r="L40" i="3"/>
  <c r="X40" i="3"/>
  <c r="P41" i="3"/>
  <c r="H42" i="3"/>
  <c r="T42" i="3"/>
  <c r="L43" i="3"/>
  <c r="X43" i="3"/>
  <c r="P44" i="3"/>
  <c r="H45" i="3"/>
  <c r="T45" i="3"/>
  <c r="L46" i="3"/>
  <c r="X46" i="3"/>
  <c r="P47" i="3"/>
  <c r="S48" i="3"/>
  <c r="J49" i="3"/>
  <c r="V49" i="3"/>
  <c r="N50" i="3"/>
  <c r="Z50" i="3"/>
  <c r="O31" i="3"/>
  <c r="AA31" i="3"/>
  <c r="S32" i="3"/>
  <c r="K33" i="3"/>
  <c r="W33" i="3"/>
  <c r="M34" i="3"/>
  <c r="Y34" i="3"/>
  <c r="Q35" i="3"/>
  <c r="I36" i="3"/>
  <c r="U36" i="3"/>
  <c r="M37" i="3"/>
  <c r="Y37" i="3"/>
  <c r="Q38" i="3"/>
  <c r="I39" i="3"/>
  <c r="U39" i="3"/>
  <c r="M40" i="3"/>
  <c r="Y40" i="3"/>
  <c r="Q41" i="3"/>
  <c r="I42" i="3"/>
  <c r="U42" i="3"/>
  <c r="M43" i="3"/>
  <c r="Y43" i="3"/>
  <c r="Q44" i="3"/>
  <c r="I45" i="3"/>
  <c r="U45" i="3"/>
  <c r="M46" i="3"/>
  <c r="Y46" i="3"/>
  <c r="Q47" i="3"/>
  <c r="H48" i="3"/>
  <c r="T48" i="3"/>
  <c r="K49" i="3"/>
  <c r="W49" i="3"/>
  <c r="O50" i="3"/>
  <c r="G48" i="3" l="1"/>
  <c r="G49" i="3" s="1"/>
  <c r="L33" i="2"/>
  <c r="D34" i="2"/>
  <c r="C34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18" i="2" s="1"/>
  <c r="G19" i="2" s="1"/>
  <c r="AA50" i="2" l="1"/>
  <c r="T35" i="2"/>
  <c r="H39" i="2"/>
  <c r="J42" i="2"/>
  <c r="H31" i="2"/>
  <c r="I31" i="2"/>
  <c r="X33" i="2"/>
  <c r="Z33" i="2"/>
  <c r="H36" i="2"/>
  <c r="R38" i="2"/>
  <c r="M32" i="2"/>
  <c r="T42" i="2"/>
  <c r="R32" i="2"/>
  <c r="V45" i="2"/>
  <c r="T32" i="2"/>
  <c r="L46" i="2"/>
  <c r="J36" i="2"/>
  <c r="J39" i="2"/>
  <c r="V42" i="2"/>
  <c r="N46" i="2"/>
  <c r="N31" i="2"/>
  <c r="V32" i="2"/>
  <c r="L36" i="2"/>
  <c r="T39" i="2"/>
  <c r="L43" i="2"/>
  <c r="X46" i="2"/>
  <c r="P31" i="2"/>
  <c r="T36" i="2"/>
  <c r="V39" i="2"/>
  <c r="R31" i="2"/>
  <c r="Y32" i="2"/>
  <c r="N34" i="2"/>
  <c r="V36" i="2"/>
  <c r="L40" i="2"/>
  <c r="X43" i="2"/>
  <c r="P47" i="2"/>
  <c r="Z46" i="2"/>
  <c r="T31" i="2"/>
  <c r="J33" i="2"/>
  <c r="P34" i="2"/>
  <c r="X36" i="2"/>
  <c r="N40" i="2"/>
  <c r="Z43" i="2"/>
  <c r="R47" i="2"/>
  <c r="N43" i="2"/>
  <c r="U31" i="2"/>
  <c r="X34" i="2"/>
  <c r="L37" i="2"/>
  <c r="X40" i="2"/>
  <c r="P44" i="2"/>
  <c r="I48" i="2"/>
  <c r="N33" i="2"/>
  <c r="U48" i="2"/>
  <c r="L34" i="2"/>
  <c r="Z31" i="2"/>
  <c r="Z34" i="2"/>
  <c r="N37" i="2"/>
  <c r="Z40" i="2"/>
  <c r="R44" i="2"/>
  <c r="H32" i="2"/>
  <c r="P33" i="2"/>
  <c r="H35" i="2"/>
  <c r="X37" i="2"/>
  <c r="P41" i="2"/>
  <c r="H45" i="2"/>
  <c r="L49" i="2"/>
  <c r="X32" i="2"/>
  <c r="J32" i="2"/>
  <c r="P35" i="2"/>
  <c r="Z37" i="2"/>
  <c r="R41" i="2"/>
  <c r="J45" i="2"/>
  <c r="X49" i="2"/>
  <c r="Q33" i="2"/>
  <c r="L32" i="2"/>
  <c r="V33" i="2"/>
  <c r="R35" i="2"/>
  <c r="P38" i="2"/>
  <c r="H42" i="2"/>
  <c r="T45" i="2"/>
  <c r="P50" i="2"/>
  <c r="Q31" i="2"/>
  <c r="I32" i="2"/>
  <c r="U32" i="2"/>
  <c r="M33" i="2"/>
  <c r="Y33" i="2"/>
  <c r="O34" i="2"/>
  <c r="AA34" i="2"/>
  <c r="S35" i="2"/>
  <c r="K36" i="2"/>
  <c r="W36" i="2"/>
  <c r="O37" i="2"/>
  <c r="AA37" i="2"/>
  <c r="S38" i="2"/>
  <c r="K39" i="2"/>
  <c r="W39" i="2"/>
  <c r="O40" i="2"/>
  <c r="AA40" i="2"/>
  <c r="S41" i="2"/>
  <c r="K42" i="2"/>
  <c r="W42" i="2"/>
  <c r="O43" i="2"/>
  <c r="AA43" i="2"/>
  <c r="S44" i="2"/>
  <c r="K45" i="2"/>
  <c r="W45" i="2"/>
  <c r="O46" i="2"/>
  <c r="AA46" i="2"/>
  <c r="S47" i="2"/>
  <c r="J48" i="2"/>
  <c r="V48" i="2"/>
  <c r="M49" i="2"/>
  <c r="Y49" i="2"/>
  <c r="Q50" i="2"/>
  <c r="P37" i="2"/>
  <c r="H38" i="2"/>
  <c r="T38" i="2"/>
  <c r="L39" i="2"/>
  <c r="X39" i="2"/>
  <c r="P40" i="2"/>
  <c r="H41" i="2"/>
  <c r="T41" i="2"/>
  <c r="L42" i="2"/>
  <c r="X42" i="2"/>
  <c r="P43" i="2"/>
  <c r="H44" i="2"/>
  <c r="T44" i="2"/>
  <c r="L45" i="2"/>
  <c r="X45" i="2"/>
  <c r="P46" i="2"/>
  <c r="H47" i="2"/>
  <c r="T47" i="2"/>
  <c r="K48" i="2"/>
  <c r="W48" i="2"/>
  <c r="N49" i="2"/>
  <c r="Z49" i="2"/>
  <c r="R50" i="2"/>
  <c r="S31" i="2"/>
  <c r="K32" i="2"/>
  <c r="W32" i="2"/>
  <c r="O33" i="2"/>
  <c r="AA33" i="2"/>
  <c r="Q34" i="2"/>
  <c r="I35" i="2"/>
  <c r="U35" i="2"/>
  <c r="M36" i="2"/>
  <c r="Y36" i="2"/>
  <c r="Q37" i="2"/>
  <c r="I38" i="2"/>
  <c r="U38" i="2"/>
  <c r="M39" i="2"/>
  <c r="Y39" i="2"/>
  <c r="Q40" i="2"/>
  <c r="I41" i="2"/>
  <c r="U41" i="2"/>
  <c r="M42" i="2"/>
  <c r="Y42" i="2"/>
  <c r="Q43" i="2"/>
  <c r="I44" i="2"/>
  <c r="U44" i="2"/>
  <c r="M45" i="2"/>
  <c r="Y45" i="2"/>
  <c r="Q46" i="2"/>
  <c r="I47" i="2"/>
  <c r="U47" i="2"/>
  <c r="L48" i="2"/>
  <c r="X48" i="2"/>
  <c r="O49" i="2"/>
  <c r="AA49" i="2"/>
  <c r="S50" i="2"/>
  <c r="R34" i="2"/>
  <c r="J35" i="2"/>
  <c r="V35" i="2"/>
  <c r="N36" i="2"/>
  <c r="Z36" i="2"/>
  <c r="R37" i="2"/>
  <c r="J38" i="2"/>
  <c r="V38" i="2"/>
  <c r="N39" i="2"/>
  <c r="Z39" i="2"/>
  <c r="R40" i="2"/>
  <c r="J41" i="2"/>
  <c r="V41" i="2"/>
  <c r="N42" i="2"/>
  <c r="Z42" i="2"/>
  <c r="R43" i="2"/>
  <c r="J44" i="2"/>
  <c r="V44" i="2"/>
  <c r="N45" i="2"/>
  <c r="Z45" i="2"/>
  <c r="R46" i="2"/>
  <c r="J47" i="2"/>
  <c r="V47" i="2"/>
  <c r="M48" i="2"/>
  <c r="Y48" i="2"/>
  <c r="P49" i="2"/>
  <c r="H50" i="2"/>
  <c r="T50" i="2"/>
  <c r="S34" i="2"/>
  <c r="K35" i="2"/>
  <c r="W35" i="2"/>
  <c r="O36" i="2"/>
  <c r="AA36" i="2"/>
  <c r="S37" i="2"/>
  <c r="K38" i="2"/>
  <c r="W38" i="2"/>
  <c r="O39" i="2"/>
  <c r="AA39" i="2"/>
  <c r="S40" i="2"/>
  <c r="K41" i="2"/>
  <c r="W41" i="2"/>
  <c r="O42" i="2"/>
  <c r="AA42" i="2"/>
  <c r="S43" i="2"/>
  <c r="K44" i="2"/>
  <c r="W44" i="2"/>
  <c r="O45" i="2"/>
  <c r="AA45" i="2"/>
  <c r="S46" i="2"/>
  <c r="K47" i="2"/>
  <c r="W47" i="2"/>
  <c r="N48" i="2"/>
  <c r="Z48" i="2"/>
  <c r="Q49" i="2"/>
  <c r="I50" i="2"/>
  <c r="U50" i="2"/>
  <c r="J31" i="2"/>
  <c r="V31" i="2"/>
  <c r="N32" i="2"/>
  <c r="Z32" i="2"/>
  <c r="R33" i="2"/>
  <c r="H34" i="2"/>
  <c r="T34" i="2"/>
  <c r="L35" i="2"/>
  <c r="X35" i="2"/>
  <c r="P36" i="2"/>
  <c r="H37" i="2"/>
  <c r="T37" i="2"/>
  <c r="L38" i="2"/>
  <c r="X38" i="2"/>
  <c r="P39" i="2"/>
  <c r="H40" i="2"/>
  <c r="T40" i="2"/>
  <c r="L41" i="2"/>
  <c r="X41" i="2"/>
  <c r="P42" i="2"/>
  <c r="H43" i="2"/>
  <c r="T43" i="2"/>
  <c r="L44" i="2"/>
  <c r="X44" i="2"/>
  <c r="P45" i="2"/>
  <c r="H46" i="2"/>
  <c r="T46" i="2"/>
  <c r="L47" i="2"/>
  <c r="X47" i="2"/>
  <c r="O48" i="2"/>
  <c r="AA48" i="2"/>
  <c r="R49" i="2"/>
  <c r="J50" i="2"/>
  <c r="V50" i="2"/>
  <c r="K31" i="2"/>
  <c r="W31" i="2"/>
  <c r="O32" i="2"/>
  <c r="AA32" i="2"/>
  <c r="S33" i="2"/>
  <c r="I34" i="2"/>
  <c r="U34" i="2"/>
  <c r="M35" i="2"/>
  <c r="Y35" i="2"/>
  <c r="Q36" i="2"/>
  <c r="I37" i="2"/>
  <c r="U37" i="2"/>
  <c r="M38" i="2"/>
  <c r="Y38" i="2"/>
  <c r="Q39" i="2"/>
  <c r="I40" i="2"/>
  <c r="U40" i="2"/>
  <c r="M41" i="2"/>
  <c r="Y41" i="2"/>
  <c r="Q42" i="2"/>
  <c r="I43" i="2"/>
  <c r="U43" i="2"/>
  <c r="M44" i="2"/>
  <c r="Y44" i="2"/>
  <c r="Q45" i="2"/>
  <c r="I46" i="2"/>
  <c r="U46" i="2"/>
  <c r="M47" i="2"/>
  <c r="Y47" i="2"/>
  <c r="P48" i="2"/>
  <c r="S49" i="2"/>
  <c r="K50" i="2"/>
  <c r="W50" i="2"/>
  <c r="L31" i="2"/>
  <c r="X31" i="2"/>
  <c r="P32" i="2"/>
  <c r="H33" i="2"/>
  <c r="T33" i="2"/>
  <c r="J34" i="2"/>
  <c r="V34" i="2"/>
  <c r="N35" i="2"/>
  <c r="Z35" i="2"/>
  <c r="R36" i="2"/>
  <c r="J37" i="2"/>
  <c r="V37" i="2"/>
  <c r="N38" i="2"/>
  <c r="Z38" i="2"/>
  <c r="R39" i="2"/>
  <c r="J40" i="2"/>
  <c r="V40" i="2"/>
  <c r="N41" i="2"/>
  <c r="Z41" i="2"/>
  <c r="R42" i="2"/>
  <c r="J43" i="2"/>
  <c r="V43" i="2"/>
  <c r="N44" i="2"/>
  <c r="Z44" i="2"/>
  <c r="R45" i="2"/>
  <c r="J46" i="2"/>
  <c r="V46" i="2"/>
  <c r="N47" i="2"/>
  <c r="Z47" i="2"/>
  <c r="Q48" i="2"/>
  <c r="H49" i="2"/>
  <c r="T49" i="2"/>
  <c r="L50" i="2"/>
  <c r="X50" i="2"/>
  <c r="M31" i="2"/>
  <c r="Y31" i="2"/>
  <c r="Q32" i="2"/>
  <c r="I33" i="2"/>
  <c r="U33" i="2"/>
  <c r="K34" i="2"/>
  <c r="W34" i="2"/>
  <c r="O35" i="2"/>
  <c r="AA35" i="2"/>
  <c r="S36" i="2"/>
  <c r="K37" i="2"/>
  <c r="W37" i="2"/>
  <c r="O38" i="2"/>
  <c r="AA38" i="2"/>
  <c r="S39" i="2"/>
  <c r="K40" i="2"/>
  <c r="W40" i="2"/>
  <c r="O41" i="2"/>
  <c r="AA41" i="2"/>
  <c r="S42" i="2"/>
  <c r="K43" i="2"/>
  <c r="W43" i="2"/>
  <c r="O44" i="2"/>
  <c r="AA44" i="2"/>
  <c r="S45" i="2"/>
  <c r="K46" i="2"/>
  <c r="W46" i="2"/>
  <c r="O47" i="2"/>
  <c r="AA47" i="2"/>
  <c r="R48" i="2"/>
  <c r="I49" i="2"/>
  <c r="U49" i="2"/>
  <c r="M50" i="2"/>
  <c r="Y50" i="2"/>
  <c r="S48" i="2"/>
  <c r="J49" i="2"/>
  <c r="V49" i="2"/>
  <c r="N50" i="2"/>
  <c r="Z50" i="2"/>
  <c r="O31" i="2"/>
  <c r="AA31" i="2"/>
  <c r="S32" i="2"/>
  <c r="K33" i="2"/>
  <c r="W33" i="2"/>
  <c r="M34" i="2"/>
  <c r="Y34" i="2"/>
  <c r="Q35" i="2"/>
  <c r="I36" i="2"/>
  <c r="U36" i="2"/>
  <c r="M37" i="2"/>
  <c r="Y37" i="2"/>
  <c r="Q38" i="2"/>
  <c r="I39" i="2"/>
  <c r="U39" i="2"/>
  <c r="M40" i="2"/>
  <c r="Y40" i="2"/>
  <c r="Q41" i="2"/>
  <c r="I42" i="2"/>
  <c r="U42" i="2"/>
  <c r="M43" i="2"/>
  <c r="Y43" i="2"/>
  <c r="Q44" i="2"/>
  <c r="I45" i="2"/>
  <c r="U45" i="2"/>
  <c r="M46" i="2"/>
  <c r="Y46" i="2"/>
  <c r="Q47" i="2"/>
  <c r="H48" i="2"/>
  <c r="T48" i="2"/>
  <c r="K49" i="2"/>
  <c r="W49" i="2"/>
  <c r="O50" i="2"/>
  <c r="G48" i="2" l="1"/>
  <c r="G49" i="2" s="1"/>
</calcChain>
</file>

<file path=xl/sharedStrings.xml><?xml version="1.0" encoding="utf-8"?>
<sst xmlns="http://schemas.openxmlformats.org/spreadsheetml/2006/main" count="38" uniqueCount="23">
  <si>
    <t>ex9. 스핀모델</t>
    <phoneticPr fontId="1" type="noConversion"/>
  </si>
  <si>
    <t>학습내용: 조건부서식, INT_Random</t>
    <phoneticPr fontId="1" type="noConversion"/>
  </si>
  <si>
    <t>h3~aa22</t>
    <phoneticPr fontId="1" type="noConversion"/>
  </si>
  <si>
    <t>= 0</t>
    <phoneticPr fontId="1" type="noConversion"/>
  </si>
  <si>
    <t>=1</t>
    <phoneticPr fontId="1" type="noConversion"/>
  </si>
  <si>
    <t>Total Spinup#</t>
    <phoneticPr fontId="1" type="noConversion"/>
  </si>
  <si>
    <t>&lt;S&gt;</t>
    <phoneticPr fontId="1" type="noConversion"/>
  </si>
  <si>
    <t>체크 B-scanf@T=1,10,100,1000k, T-scan@B=1,10,100,1000T, No hysteresis!</t>
    <phoneticPr fontId="1" type="noConversion"/>
  </si>
  <si>
    <t>B(Tesla)//z</t>
    <phoneticPr fontId="1" type="noConversion"/>
  </si>
  <si>
    <t>Temperature(K)</t>
    <phoneticPr fontId="1" type="noConversion"/>
  </si>
  <si>
    <t>B(T)</t>
    <phoneticPr fontId="1" type="noConversion"/>
  </si>
  <si>
    <t>-&lt;S&gt;</t>
    <phoneticPr fontId="1" type="noConversion"/>
  </si>
  <si>
    <t>T(K)</t>
    <phoneticPr fontId="1" type="noConversion"/>
  </si>
  <si>
    <t>mu_B*B</t>
    <phoneticPr fontId="1" type="noConversion"/>
  </si>
  <si>
    <t>k_B*T</t>
    <phoneticPr fontId="1" type="noConversion"/>
  </si>
  <si>
    <t>B=100, T=1일 때 모두 down스핀으로</t>
    <phoneticPr fontId="1" type="noConversion"/>
  </si>
  <si>
    <t>Total Sup#</t>
    <phoneticPr fontId="1" type="noConversion"/>
  </si>
  <si>
    <t>M=-&lt;S&gt;</t>
    <phoneticPr fontId="1" type="noConversion"/>
  </si>
  <si>
    <t>ex10_상자성 자동화(Paramagnetism)</t>
    <phoneticPr fontId="1" type="noConversion"/>
  </si>
  <si>
    <t>ex) 상자성(Paramagnetism)</t>
    <phoneticPr fontId="1" type="noConversion"/>
  </si>
  <si>
    <t>체크: T=300K,B=0.1,1,10,-10, 외부자기장만으로는 열적요동 때문에 정렬하기 힘들다. T=1K,B=…, B가 커지면서 정렬</t>
    <phoneticPr fontId="1" type="noConversion"/>
  </si>
  <si>
    <t>B=10,T=1,10,100,1000 온도가 올라갈수록 자성이 없어짐</t>
    <phoneticPr fontId="1" type="noConversion"/>
  </si>
  <si>
    <t>M: 자화밀도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</si>
</sst>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"/>
      <color theme="1"/>
      <name val="맑은 고딕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quotePrefix="1"/>
    <xf numFmtId="0" fontId="0" fillId="2" borderId="0" xfId="0" applyFill="1"/>
    <xf numFmtId="0" fontId="2" fillId="0" borderId="0" xfId="0" applyFont="1"/>
    <xf numFmtId="0" fontId="0" fillId="3" borderId="0" xfId="0" applyFill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M vs H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'ex10'!$AD$32:$AD$431</c:f>
              <c:numCache>
                <c:formatCode>General</c:formatCode>
                <c:ptCount val="400"/>
                <c:pt idx="0">
                  <c:v>-100</c:v>
                </c:pt>
                <c:pt idx="1">
                  <c:v>-99</c:v>
                </c:pt>
                <c:pt idx="2">
                  <c:v>-98</c:v>
                </c:pt>
                <c:pt idx="3">
                  <c:v>-97</c:v>
                </c:pt>
                <c:pt idx="4">
                  <c:v>-96</c:v>
                </c:pt>
                <c:pt idx="5">
                  <c:v>-95</c:v>
                </c:pt>
                <c:pt idx="6">
                  <c:v>-94</c:v>
                </c:pt>
                <c:pt idx="7">
                  <c:v>-93</c:v>
                </c:pt>
                <c:pt idx="8">
                  <c:v>-92</c:v>
                </c:pt>
                <c:pt idx="9">
                  <c:v>-91</c:v>
                </c:pt>
                <c:pt idx="10">
                  <c:v>-90</c:v>
                </c:pt>
                <c:pt idx="11">
                  <c:v>-89</c:v>
                </c:pt>
                <c:pt idx="12">
                  <c:v>-88</c:v>
                </c:pt>
                <c:pt idx="13">
                  <c:v>-87</c:v>
                </c:pt>
                <c:pt idx="14">
                  <c:v>-86</c:v>
                </c:pt>
                <c:pt idx="15">
                  <c:v>-85</c:v>
                </c:pt>
                <c:pt idx="16">
                  <c:v>-84</c:v>
                </c:pt>
                <c:pt idx="17">
                  <c:v>-83</c:v>
                </c:pt>
                <c:pt idx="18">
                  <c:v>-82</c:v>
                </c:pt>
                <c:pt idx="19">
                  <c:v>-81</c:v>
                </c:pt>
                <c:pt idx="20">
                  <c:v>-80</c:v>
                </c:pt>
                <c:pt idx="21">
                  <c:v>-79</c:v>
                </c:pt>
                <c:pt idx="22">
                  <c:v>-78</c:v>
                </c:pt>
                <c:pt idx="23">
                  <c:v>-77</c:v>
                </c:pt>
                <c:pt idx="24">
                  <c:v>-76</c:v>
                </c:pt>
                <c:pt idx="25">
                  <c:v>-75</c:v>
                </c:pt>
                <c:pt idx="26">
                  <c:v>-74</c:v>
                </c:pt>
                <c:pt idx="27">
                  <c:v>-73</c:v>
                </c:pt>
                <c:pt idx="28">
                  <c:v>-72</c:v>
                </c:pt>
                <c:pt idx="29">
                  <c:v>-71</c:v>
                </c:pt>
                <c:pt idx="30">
                  <c:v>-70</c:v>
                </c:pt>
                <c:pt idx="31">
                  <c:v>-69</c:v>
                </c:pt>
                <c:pt idx="32">
                  <c:v>-68</c:v>
                </c:pt>
                <c:pt idx="33">
                  <c:v>-67</c:v>
                </c:pt>
                <c:pt idx="34">
                  <c:v>-66</c:v>
                </c:pt>
                <c:pt idx="35">
                  <c:v>-65</c:v>
                </c:pt>
                <c:pt idx="36">
                  <c:v>-64</c:v>
                </c:pt>
                <c:pt idx="37">
                  <c:v>-63</c:v>
                </c:pt>
                <c:pt idx="38">
                  <c:v>-62</c:v>
                </c:pt>
                <c:pt idx="39">
                  <c:v>-61</c:v>
                </c:pt>
                <c:pt idx="40">
                  <c:v>-60</c:v>
                </c:pt>
                <c:pt idx="41">
                  <c:v>-59</c:v>
                </c:pt>
                <c:pt idx="42">
                  <c:v>-58</c:v>
                </c:pt>
                <c:pt idx="43">
                  <c:v>-57</c:v>
                </c:pt>
                <c:pt idx="44">
                  <c:v>-56</c:v>
                </c:pt>
                <c:pt idx="45">
                  <c:v>-55</c:v>
                </c:pt>
                <c:pt idx="46">
                  <c:v>-54</c:v>
                </c:pt>
                <c:pt idx="47">
                  <c:v>-53</c:v>
                </c:pt>
                <c:pt idx="48">
                  <c:v>-52</c:v>
                </c:pt>
                <c:pt idx="49">
                  <c:v>-51</c:v>
                </c:pt>
                <c:pt idx="50">
                  <c:v>-50</c:v>
                </c:pt>
                <c:pt idx="51">
                  <c:v>-49</c:v>
                </c:pt>
                <c:pt idx="52">
                  <c:v>-48</c:v>
                </c:pt>
                <c:pt idx="53">
                  <c:v>-47</c:v>
                </c:pt>
                <c:pt idx="54">
                  <c:v>-46</c:v>
                </c:pt>
                <c:pt idx="55">
                  <c:v>-45</c:v>
                </c:pt>
                <c:pt idx="56">
                  <c:v>-44</c:v>
                </c:pt>
                <c:pt idx="57">
                  <c:v>-43</c:v>
                </c:pt>
                <c:pt idx="58">
                  <c:v>-42</c:v>
                </c:pt>
                <c:pt idx="59">
                  <c:v>-41</c:v>
                </c:pt>
                <c:pt idx="60">
                  <c:v>-40</c:v>
                </c:pt>
                <c:pt idx="61">
                  <c:v>-39</c:v>
                </c:pt>
                <c:pt idx="62">
                  <c:v>-38</c:v>
                </c:pt>
                <c:pt idx="63">
                  <c:v>-37</c:v>
                </c:pt>
                <c:pt idx="64">
                  <c:v>-36</c:v>
                </c:pt>
                <c:pt idx="65">
                  <c:v>-35</c:v>
                </c:pt>
                <c:pt idx="66">
                  <c:v>-34</c:v>
                </c:pt>
                <c:pt idx="67">
                  <c:v>-33</c:v>
                </c:pt>
                <c:pt idx="68">
                  <c:v>-32</c:v>
                </c:pt>
                <c:pt idx="69">
                  <c:v>-31</c:v>
                </c:pt>
                <c:pt idx="70">
                  <c:v>-30</c:v>
                </c:pt>
                <c:pt idx="71">
                  <c:v>-29</c:v>
                </c:pt>
                <c:pt idx="72">
                  <c:v>-28</c:v>
                </c:pt>
                <c:pt idx="73">
                  <c:v>-27</c:v>
                </c:pt>
                <c:pt idx="74">
                  <c:v>-26</c:v>
                </c:pt>
                <c:pt idx="75">
                  <c:v>-25</c:v>
                </c:pt>
                <c:pt idx="76">
                  <c:v>-24</c:v>
                </c:pt>
                <c:pt idx="77">
                  <c:v>-23</c:v>
                </c:pt>
                <c:pt idx="78">
                  <c:v>-22</c:v>
                </c:pt>
                <c:pt idx="79">
                  <c:v>-21</c:v>
                </c:pt>
                <c:pt idx="80">
                  <c:v>-20</c:v>
                </c:pt>
                <c:pt idx="81">
                  <c:v>-19</c:v>
                </c:pt>
                <c:pt idx="82">
                  <c:v>-18</c:v>
                </c:pt>
                <c:pt idx="83">
                  <c:v>-17</c:v>
                </c:pt>
                <c:pt idx="84">
                  <c:v>-16</c:v>
                </c:pt>
                <c:pt idx="85">
                  <c:v>-15</c:v>
                </c:pt>
                <c:pt idx="86">
                  <c:v>-14</c:v>
                </c:pt>
                <c:pt idx="87">
                  <c:v>-13</c:v>
                </c:pt>
                <c:pt idx="88">
                  <c:v>-12</c:v>
                </c:pt>
                <c:pt idx="89">
                  <c:v>-11</c:v>
                </c:pt>
                <c:pt idx="90">
                  <c:v>-10</c:v>
                </c:pt>
                <c:pt idx="91">
                  <c:v>-9</c:v>
                </c:pt>
                <c:pt idx="92">
                  <c:v>-8</c:v>
                </c:pt>
                <c:pt idx="93">
                  <c:v>-7</c:v>
                </c:pt>
                <c:pt idx="94">
                  <c:v>-6</c:v>
                </c:pt>
                <c:pt idx="95">
                  <c:v>-5</c:v>
                </c:pt>
                <c:pt idx="96">
                  <c:v>-4</c:v>
                </c:pt>
                <c:pt idx="97">
                  <c:v>-3</c:v>
                </c:pt>
                <c:pt idx="98">
                  <c:v>-2</c:v>
                </c:pt>
                <c:pt idx="99">
                  <c:v>-1</c:v>
                </c:pt>
                <c:pt idx="100">
                  <c:v>0</c:v>
                </c:pt>
                <c:pt idx="101">
                  <c:v>1</c:v>
                </c:pt>
                <c:pt idx="102">
                  <c:v>2</c:v>
                </c:pt>
                <c:pt idx="103">
                  <c:v>3</c:v>
                </c:pt>
                <c:pt idx="104">
                  <c:v>4</c:v>
                </c:pt>
                <c:pt idx="105">
                  <c:v>5</c:v>
                </c:pt>
                <c:pt idx="106">
                  <c:v>6</c:v>
                </c:pt>
                <c:pt idx="107">
                  <c:v>7</c:v>
                </c:pt>
                <c:pt idx="108">
                  <c:v>8</c:v>
                </c:pt>
                <c:pt idx="109">
                  <c:v>9</c:v>
                </c:pt>
                <c:pt idx="110">
                  <c:v>10</c:v>
                </c:pt>
                <c:pt idx="111">
                  <c:v>11</c:v>
                </c:pt>
                <c:pt idx="112">
                  <c:v>12</c:v>
                </c:pt>
                <c:pt idx="113">
                  <c:v>13</c:v>
                </c:pt>
                <c:pt idx="114">
                  <c:v>14</c:v>
                </c:pt>
                <c:pt idx="115">
                  <c:v>15</c:v>
                </c:pt>
                <c:pt idx="116">
                  <c:v>16</c:v>
                </c:pt>
                <c:pt idx="117">
                  <c:v>17</c:v>
                </c:pt>
                <c:pt idx="118">
                  <c:v>18</c:v>
                </c:pt>
                <c:pt idx="119">
                  <c:v>19</c:v>
                </c:pt>
                <c:pt idx="120">
                  <c:v>20</c:v>
                </c:pt>
                <c:pt idx="121">
                  <c:v>21</c:v>
                </c:pt>
                <c:pt idx="122">
                  <c:v>22</c:v>
                </c:pt>
                <c:pt idx="123">
                  <c:v>23</c:v>
                </c:pt>
                <c:pt idx="124">
                  <c:v>24</c:v>
                </c:pt>
                <c:pt idx="125">
                  <c:v>25</c:v>
                </c:pt>
                <c:pt idx="126">
                  <c:v>26</c:v>
                </c:pt>
                <c:pt idx="127">
                  <c:v>27</c:v>
                </c:pt>
                <c:pt idx="128">
                  <c:v>28</c:v>
                </c:pt>
                <c:pt idx="129">
                  <c:v>29</c:v>
                </c:pt>
                <c:pt idx="130">
                  <c:v>30</c:v>
                </c:pt>
                <c:pt idx="131">
                  <c:v>31</c:v>
                </c:pt>
                <c:pt idx="132">
                  <c:v>32</c:v>
                </c:pt>
                <c:pt idx="133">
                  <c:v>33</c:v>
                </c:pt>
                <c:pt idx="134">
                  <c:v>34</c:v>
                </c:pt>
                <c:pt idx="135">
                  <c:v>35</c:v>
                </c:pt>
                <c:pt idx="136">
                  <c:v>36</c:v>
                </c:pt>
                <c:pt idx="137">
                  <c:v>37</c:v>
                </c:pt>
                <c:pt idx="138">
                  <c:v>38</c:v>
                </c:pt>
                <c:pt idx="139">
                  <c:v>39</c:v>
                </c:pt>
                <c:pt idx="140">
                  <c:v>40</c:v>
                </c:pt>
                <c:pt idx="141">
                  <c:v>41</c:v>
                </c:pt>
                <c:pt idx="142">
                  <c:v>42</c:v>
                </c:pt>
                <c:pt idx="143">
                  <c:v>43</c:v>
                </c:pt>
                <c:pt idx="144">
                  <c:v>44</c:v>
                </c:pt>
                <c:pt idx="145">
                  <c:v>45</c:v>
                </c:pt>
                <c:pt idx="146">
                  <c:v>46</c:v>
                </c:pt>
                <c:pt idx="147">
                  <c:v>47</c:v>
                </c:pt>
                <c:pt idx="148">
                  <c:v>48</c:v>
                </c:pt>
                <c:pt idx="149">
                  <c:v>49</c:v>
                </c:pt>
                <c:pt idx="150">
                  <c:v>50</c:v>
                </c:pt>
                <c:pt idx="151">
                  <c:v>51</c:v>
                </c:pt>
                <c:pt idx="152">
                  <c:v>52</c:v>
                </c:pt>
                <c:pt idx="153">
                  <c:v>53</c:v>
                </c:pt>
                <c:pt idx="154">
                  <c:v>54</c:v>
                </c:pt>
                <c:pt idx="155">
                  <c:v>55</c:v>
                </c:pt>
                <c:pt idx="156">
                  <c:v>56</c:v>
                </c:pt>
                <c:pt idx="157">
                  <c:v>57</c:v>
                </c:pt>
                <c:pt idx="158">
                  <c:v>58</c:v>
                </c:pt>
                <c:pt idx="159">
                  <c:v>59</c:v>
                </c:pt>
                <c:pt idx="160">
                  <c:v>60</c:v>
                </c:pt>
                <c:pt idx="161">
                  <c:v>61</c:v>
                </c:pt>
                <c:pt idx="162">
                  <c:v>62</c:v>
                </c:pt>
                <c:pt idx="163">
                  <c:v>63</c:v>
                </c:pt>
                <c:pt idx="164">
                  <c:v>64</c:v>
                </c:pt>
                <c:pt idx="165">
                  <c:v>65</c:v>
                </c:pt>
                <c:pt idx="166">
                  <c:v>66</c:v>
                </c:pt>
                <c:pt idx="167">
                  <c:v>67</c:v>
                </c:pt>
                <c:pt idx="168">
                  <c:v>68</c:v>
                </c:pt>
                <c:pt idx="169">
                  <c:v>69</c:v>
                </c:pt>
                <c:pt idx="170">
                  <c:v>70</c:v>
                </c:pt>
                <c:pt idx="171">
                  <c:v>71</c:v>
                </c:pt>
                <c:pt idx="172">
                  <c:v>72</c:v>
                </c:pt>
                <c:pt idx="173">
                  <c:v>73</c:v>
                </c:pt>
                <c:pt idx="174">
                  <c:v>74</c:v>
                </c:pt>
                <c:pt idx="175">
                  <c:v>75</c:v>
                </c:pt>
                <c:pt idx="176">
                  <c:v>76</c:v>
                </c:pt>
                <c:pt idx="177">
                  <c:v>77</c:v>
                </c:pt>
                <c:pt idx="178">
                  <c:v>78</c:v>
                </c:pt>
                <c:pt idx="179">
                  <c:v>79</c:v>
                </c:pt>
                <c:pt idx="180">
                  <c:v>80</c:v>
                </c:pt>
                <c:pt idx="181">
                  <c:v>81</c:v>
                </c:pt>
                <c:pt idx="182">
                  <c:v>82</c:v>
                </c:pt>
                <c:pt idx="183">
                  <c:v>83</c:v>
                </c:pt>
                <c:pt idx="184">
                  <c:v>84</c:v>
                </c:pt>
                <c:pt idx="185">
                  <c:v>85</c:v>
                </c:pt>
                <c:pt idx="186">
                  <c:v>86</c:v>
                </c:pt>
                <c:pt idx="187">
                  <c:v>87</c:v>
                </c:pt>
                <c:pt idx="188">
                  <c:v>88</c:v>
                </c:pt>
                <c:pt idx="189">
                  <c:v>89</c:v>
                </c:pt>
                <c:pt idx="190">
                  <c:v>90</c:v>
                </c:pt>
                <c:pt idx="191">
                  <c:v>91</c:v>
                </c:pt>
                <c:pt idx="192">
                  <c:v>92</c:v>
                </c:pt>
                <c:pt idx="193">
                  <c:v>93</c:v>
                </c:pt>
                <c:pt idx="194">
                  <c:v>94</c:v>
                </c:pt>
                <c:pt idx="195">
                  <c:v>95</c:v>
                </c:pt>
                <c:pt idx="196">
                  <c:v>96</c:v>
                </c:pt>
                <c:pt idx="197">
                  <c:v>97</c:v>
                </c:pt>
                <c:pt idx="198">
                  <c:v>98</c:v>
                </c:pt>
                <c:pt idx="199">
                  <c:v>99</c:v>
                </c:pt>
                <c:pt idx="200">
                  <c:v>100</c:v>
                </c:pt>
                <c:pt idx="201">
                  <c:v>99</c:v>
                </c:pt>
                <c:pt idx="202">
                  <c:v>98</c:v>
                </c:pt>
                <c:pt idx="203">
                  <c:v>97</c:v>
                </c:pt>
                <c:pt idx="204">
                  <c:v>96</c:v>
                </c:pt>
                <c:pt idx="205">
                  <c:v>95</c:v>
                </c:pt>
                <c:pt idx="206">
                  <c:v>94</c:v>
                </c:pt>
                <c:pt idx="207">
                  <c:v>93</c:v>
                </c:pt>
                <c:pt idx="208">
                  <c:v>92</c:v>
                </c:pt>
                <c:pt idx="209">
                  <c:v>91</c:v>
                </c:pt>
                <c:pt idx="210">
                  <c:v>90</c:v>
                </c:pt>
                <c:pt idx="211">
                  <c:v>89</c:v>
                </c:pt>
                <c:pt idx="212">
                  <c:v>88</c:v>
                </c:pt>
                <c:pt idx="213">
                  <c:v>87</c:v>
                </c:pt>
                <c:pt idx="214">
                  <c:v>86</c:v>
                </c:pt>
                <c:pt idx="215">
                  <c:v>85</c:v>
                </c:pt>
                <c:pt idx="216">
                  <c:v>84</c:v>
                </c:pt>
                <c:pt idx="217">
                  <c:v>83</c:v>
                </c:pt>
                <c:pt idx="218">
                  <c:v>82</c:v>
                </c:pt>
                <c:pt idx="219">
                  <c:v>81</c:v>
                </c:pt>
                <c:pt idx="220">
                  <c:v>80</c:v>
                </c:pt>
                <c:pt idx="221">
                  <c:v>79</c:v>
                </c:pt>
                <c:pt idx="222">
                  <c:v>78</c:v>
                </c:pt>
                <c:pt idx="223">
                  <c:v>77</c:v>
                </c:pt>
                <c:pt idx="224">
                  <c:v>76</c:v>
                </c:pt>
                <c:pt idx="225">
                  <c:v>75</c:v>
                </c:pt>
                <c:pt idx="226">
                  <c:v>74</c:v>
                </c:pt>
                <c:pt idx="227">
                  <c:v>73</c:v>
                </c:pt>
                <c:pt idx="228">
                  <c:v>72</c:v>
                </c:pt>
                <c:pt idx="229">
                  <c:v>71</c:v>
                </c:pt>
                <c:pt idx="230">
                  <c:v>70</c:v>
                </c:pt>
                <c:pt idx="231">
                  <c:v>69</c:v>
                </c:pt>
                <c:pt idx="232">
                  <c:v>68</c:v>
                </c:pt>
                <c:pt idx="233">
                  <c:v>67</c:v>
                </c:pt>
                <c:pt idx="234">
                  <c:v>66</c:v>
                </c:pt>
                <c:pt idx="235">
                  <c:v>65</c:v>
                </c:pt>
                <c:pt idx="236">
                  <c:v>64</c:v>
                </c:pt>
                <c:pt idx="237">
                  <c:v>63</c:v>
                </c:pt>
                <c:pt idx="238">
                  <c:v>62</c:v>
                </c:pt>
                <c:pt idx="239">
                  <c:v>61</c:v>
                </c:pt>
                <c:pt idx="240">
                  <c:v>60</c:v>
                </c:pt>
                <c:pt idx="241">
                  <c:v>59</c:v>
                </c:pt>
                <c:pt idx="242">
                  <c:v>58</c:v>
                </c:pt>
                <c:pt idx="243">
                  <c:v>57</c:v>
                </c:pt>
                <c:pt idx="244">
                  <c:v>56</c:v>
                </c:pt>
                <c:pt idx="245">
                  <c:v>55</c:v>
                </c:pt>
                <c:pt idx="246">
                  <c:v>54</c:v>
                </c:pt>
                <c:pt idx="247">
                  <c:v>53</c:v>
                </c:pt>
                <c:pt idx="248">
                  <c:v>52</c:v>
                </c:pt>
                <c:pt idx="249">
                  <c:v>51</c:v>
                </c:pt>
                <c:pt idx="250">
                  <c:v>50</c:v>
                </c:pt>
                <c:pt idx="251">
                  <c:v>49</c:v>
                </c:pt>
                <c:pt idx="252">
                  <c:v>48</c:v>
                </c:pt>
                <c:pt idx="253">
                  <c:v>47</c:v>
                </c:pt>
                <c:pt idx="254">
                  <c:v>46</c:v>
                </c:pt>
                <c:pt idx="255">
                  <c:v>45</c:v>
                </c:pt>
                <c:pt idx="256">
                  <c:v>44</c:v>
                </c:pt>
                <c:pt idx="257">
                  <c:v>43</c:v>
                </c:pt>
                <c:pt idx="258">
                  <c:v>42</c:v>
                </c:pt>
                <c:pt idx="259">
                  <c:v>41</c:v>
                </c:pt>
                <c:pt idx="260">
                  <c:v>40</c:v>
                </c:pt>
                <c:pt idx="261">
                  <c:v>39</c:v>
                </c:pt>
                <c:pt idx="262">
                  <c:v>38</c:v>
                </c:pt>
                <c:pt idx="263">
                  <c:v>37</c:v>
                </c:pt>
                <c:pt idx="264">
                  <c:v>36</c:v>
                </c:pt>
                <c:pt idx="265">
                  <c:v>35</c:v>
                </c:pt>
                <c:pt idx="266">
                  <c:v>34</c:v>
                </c:pt>
                <c:pt idx="267">
                  <c:v>33</c:v>
                </c:pt>
                <c:pt idx="268">
                  <c:v>32</c:v>
                </c:pt>
                <c:pt idx="269">
                  <c:v>31</c:v>
                </c:pt>
                <c:pt idx="270">
                  <c:v>30</c:v>
                </c:pt>
                <c:pt idx="271">
                  <c:v>29</c:v>
                </c:pt>
                <c:pt idx="272">
                  <c:v>28</c:v>
                </c:pt>
                <c:pt idx="273">
                  <c:v>27</c:v>
                </c:pt>
                <c:pt idx="274">
                  <c:v>26</c:v>
                </c:pt>
                <c:pt idx="275">
                  <c:v>25</c:v>
                </c:pt>
                <c:pt idx="276">
                  <c:v>24</c:v>
                </c:pt>
                <c:pt idx="277">
                  <c:v>23</c:v>
                </c:pt>
                <c:pt idx="278">
                  <c:v>22</c:v>
                </c:pt>
                <c:pt idx="279">
                  <c:v>21</c:v>
                </c:pt>
                <c:pt idx="280">
                  <c:v>20</c:v>
                </c:pt>
                <c:pt idx="281">
                  <c:v>19</c:v>
                </c:pt>
                <c:pt idx="282">
                  <c:v>18</c:v>
                </c:pt>
                <c:pt idx="283">
                  <c:v>17</c:v>
                </c:pt>
                <c:pt idx="284">
                  <c:v>16</c:v>
                </c:pt>
                <c:pt idx="285">
                  <c:v>15</c:v>
                </c:pt>
                <c:pt idx="286">
                  <c:v>14</c:v>
                </c:pt>
                <c:pt idx="287">
                  <c:v>13</c:v>
                </c:pt>
                <c:pt idx="288">
                  <c:v>12</c:v>
                </c:pt>
                <c:pt idx="289">
                  <c:v>11</c:v>
                </c:pt>
                <c:pt idx="290">
                  <c:v>10</c:v>
                </c:pt>
                <c:pt idx="291">
                  <c:v>9</c:v>
                </c:pt>
                <c:pt idx="292">
                  <c:v>8</c:v>
                </c:pt>
                <c:pt idx="293">
                  <c:v>7</c:v>
                </c:pt>
                <c:pt idx="294">
                  <c:v>6</c:v>
                </c:pt>
                <c:pt idx="295">
                  <c:v>5</c:v>
                </c:pt>
                <c:pt idx="296">
                  <c:v>4</c:v>
                </c:pt>
                <c:pt idx="297">
                  <c:v>3</c:v>
                </c:pt>
                <c:pt idx="298">
                  <c:v>2</c:v>
                </c:pt>
                <c:pt idx="299">
                  <c:v>1</c:v>
                </c:pt>
                <c:pt idx="300">
                  <c:v>0</c:v>
                </c:pt>
                <c:pt idx="301">
                  <c:v>-1</c:v>
                </c:pt>
                <c:pt idx="302">
                  <c:v>-2</c:v>
                </c:pt>
                <c:pt idx="303">
                  <c:v>-3</c:v>
                </c:pt>
                <c:pt idx="304">
                  <c:v>-4</c:v>
                </c:pt>
                <c:pt idx="305">
                  <c:v>-5</c:v>
                </c:pt>
                <c:pt idx="306">
                  <c:v>-6</c:v>
                </c:pt>
                <c:pt idx="307">
                  <c:v>-7</c:v>
                </c:pt>
                <c:pt idx="308">
                  <c:v>-8</c:v>
                </c:pt>
                <c:pt idx="309">
                  <c:v>-9</c:v>
                </c:pt>
                <c:pt idx="310">
                  <c:v>-10</c:v>
                </c:pt>
                <c:pt idx="311">
                  <c:v>-11</c:v>
                </c:pt>
                <c:pt idx="312">
                  <c:v>-12</c:v>
                </c:pt>
                <c:pt idx="313">
                  <c:v>-13</c:v>
                </c:pt>
                <c:pt idx="314">
                  <c:v>-14</c:v>
                </c:pt>
                <c:pt idx="315">
                  <c:v>-15</c:v>
                </c:pt>
                <c:pt idx="316">
                  <c:v>-16</c:v>
                </c:pt>
                <c:pt idx="317">
                  <c:v>-17</c:v>
                </c:pt>
                <c:pt idx="318">
                  <c:v>-18</c:v>
                </c:pt>
                <c:pt idx="319">
                  <c:v>-19</c:v>
                </c:pt>
                <c:pt idx="320">
                  <c:v>-20</c:v>
                </c:pt>
                <c:pt idx="321">
                  <c:v>-21</c:v>
                </c:pt>
                <c:pt idx="322">
                  <c:v>-22</c:v>
                </c:pt>
                <c:pt idx="323">
                  <c:v>-23</c:v>
                </c:pt>
                <c:pt idx="324">
                  <c:v>-24</c:v>
                </c:pt>
                <c:pt idx="325">
                  <c:v>-25</c:v>
                </c:pt>
                <c:pt idx="326">
                  <c:v>-26</c:v>
                </c:pt>
                <c:pt idx="327">
                  <c:v>-27</c:v>
                </c:pt>
                <c:pt idx="328">
                  <c:v>-28</c:v>
                </c:pt>
                <c:pt idx="329">
                  <c:v>-29</c:v>
                </c:pt>
                <c:pt idx="330">
                  <c:v>-30</c:v>
                </c:pt>
                <c:pt idx="331">
                  <c:v>-31</c:v>
                </c:pt>
                <c:pt idx="332">
                  <c:v>-32</c:v>
                </c:pt>
                <c:pt idx="333">
                  <c:v>-33</c:v>
                </c:pt>
                <c:pt idx="334">
                  <c:v>-34</c:v>
                </c:pt>
                <c:pt idx="335">
                  <c:v>-35</c:v>
                </c:pt>
                <c:pt idx="336">
                  <c:v>-36</c:v>
                </c:pt>
                <c:pt idx="337">
                  <c:v>-37</c:v>
                </c:pt>
                <c:pt idx="338">
                  <c:v>-38</c:v>
                </c:pt>
                <c:pt idx="339">
                  <c:v>-39</c:v>
                </c:pt>
                <c:pt idx="340">
                  <c:v>-40</c:v>
                </c:pt>
                <c:pt idx="341">
                  <c:v>-41</c:v>
                </c:pt>
                <c:pt idx="342">
                  <c:v>-42</c:v>
                </c:pt>
                <c:pt idx="343">
                  <c:v>-43</c:v>
                </c:pt>
                <c:pt idx="344">
                  <c:v>-44</c:v>
                </c:pt>
                <c:pt idx="345">
                  <c:v>-45</c:v>
                </c:pt>
                <c:pt idx="346">
                  <c:v>-46</c:v>
                </c:pt>
                <c:pt idx="347">
                  <c:v>-47</c:v>
                </c:pt>
                <c:pt idx="348">
                  <c:v>-48</c:v>
                </c:pt>
                <c:pt idx="349">
                  <c:v>-49</c:v>
                </c:pt>
                <c:pt idx="350">
                  <c:v>-50</c:v>
                </c:pt>
                <c:pt idx="351">
                  <c:v>-51</c:v>
                </c:pt>
                <c:pt idx="352">
                  <c:v>-52</c:v>
                </c:pt>
                <c:pt idx="353">
                  <c:v>-53</c:v>
                </c:pt>
                <c:pt idx="354">
                  <c:v>-54</c:v>
                </c:pt>
                <c:pt idx="355">
                  <c:v>-55</c:v>
                </c:pt>
                <c:pt idx="356">
                  <c:v>-56</c:v>
                </c:pt>
                <c:pt idx="357">
                  <c:v>-57</c:v>
                </c:pt>
                <c:pt idx="358">
                  <c:v>-58</c:v>
                </c:pt>
                <c:pt idx="359">
                  <c:v>-59</c:v>
                </c:pt>
                <c:pt idx="360">
                  <c:v>-60</c:v>
                </c:pt>
                <c:pt idx="361">
                  <c:v>-61</c:v>
                </c:pt>
                <c:pt idx="362">
                  <c:v>-62</c:v>
                </c:pt>
                <c:pt idx="363">
                  <c:v>-63</c:v>
                </c:pt>
                <c:pt idx="364">
                  <c:v>-64</c:v>
                </c:pt>
                <c:pt idx="365">
                  <c:v>-65</c:v>
                </c:pt>
                <c:pt idx="366">
                  <c:v>-66</c:v>
                </c:pt>
                <c:pt idx="367">
                  <c:v>-67</c:v>
                </c:pt>
                <c:pt idx="368">
                  <c:v>-68</c:v>
                </c:pt>
                <c:pt idx="369">
                  <c:v>-69</c:v>
                </c:pt>
                <c:pt idx="370">
                  <c:v>-70</c:v>
                </c:pt>
                <c:pt idx="371">
                  <c:v>-71</c:v>
                </c:pt>
                <c:pt idx="372">
                  <c:v>-72</c:v>
                </c:pt>
                <c:pt idx="373">
                  <c:v>-73</c:v>
                </c:pt>
                <c:pt idx="374">
                  <c:v>-74</c:v>
                </c:pt>
                <c:pt idx="375">
                  <c:v>-75</c:v>
                </c:pt>
                <c:pt idx="376">
                  <c:v>-76</c:v>
                </c:pt>
                <c:pt idx="377">
                  <c:v>-77</c:v>
                </c:pt>
                <c:pt idx="378">
                  <c:v>-78</c:v>
                </c:pt>
                <c:pt idx="379">
                  <c:v>-79</c:v>
                </c:pt>
                <c:pt idx="380">
                  <c:v>-80</c:v>
                </c:pt>
                <c:pt idx="381">
                  <c:v>-81</c:v>
                </c:pt>
                <c:pt idx="382">
                  <c:v>-82</c:v>
                </c:pt>
                <c:pt idx="383">
                  <c:v>-83</c:v>
                </c:pt>
                <c:pt idx="384">
                  <c:v>-84</c:v>
                </c:pt>
                <c:pt idx="385">
                  <c:v>-85</c:v>
                </c:pt>
                <c:pt idx="386">
                  <c:v>-86</c:v>
                </c:pt>
                <c:pt idx="387">
                  <c:v>-87</c:v>
                </c:pt>
                <c:pt idx="388">
                  <c:v>-88</c:v>
                </c:pt>
                <c:pt idx="389">
                  <c:v>-89</c:v>
                </c:pt>
                <c:pt idx="390">
                  <c:v>-90</c:v>
                </c:pt>
                <c:pt idx="391">
                  <c:v>-91</c:v>
                </c:pt>
                <c:pt idx="392">
                  <c:v>-92</c:v>
                </c:pt>
                <c:pt idx="393">
                  <c:v>-93</c:v>
                </c:pt>
                <c:pt idx="394">
                  <c:v>-94</c:v>
                </c:pt>
                <c:pt idx="395">
                  <c:v>-95</c:v>
                </c:pt>
                <c:pt idx="396">
                  <c:v>-96</c:v>
                </c:pt>
                <c:pt idx="397">
                  <c:v>-97</c:v>
                </c:pt>
                <c:pt idx="398">
                  <c:v>-98</c:v>
                </c:pt>
                <c:pt idx="399">
                  <c:v>-99</c:v>
                </c:pt>
              </c:numCache>
            </c:numRef>
          </c:xVal>
          <c:yVal>
            <c:numRef>
              <c:f>'ex10'!$AE$32:$AE$431</c:f>
              <c:numCache>
                <c:formatCode>General</c:formatCode>
                <c:ptCount val="400"/>
                <c:pt idx="0">
                  <c:v>-0.5</c:v>
                </c:pt>
                <c:pt idx="1">
                  <c:v>-0.5</c:v>
                </c:pt>
                <c:pt idx="2">
                  <c:v>-0.5</c:v>
                </c:pt>
                <c:pt idx="3">
                  <c:v>-0.5</c:v>
                </c:pt>
                <c:pt idx="4">
                  <c:v>-0.5</c:v>
                </c:pt>
                <c:pt idx="5">
                  <c:v>-0.5</c:v>
                </c:pt>
                <c:pt idx="6">
                  <c:v>-0.5</c:v>
                </c:pt>
                <c:pt idx="7">
                  <c:v>-0.5</c:v>
                </c:pt>
                <c:pt idx="8">
                  <c:v>-0.5</c:v>
                </c:pt>
                <c:pt idx="9">
                  <c:v>-0.5</c:v>
                </c:pt>
                <c:pt idx="10">
                  <c:v>-0.5</c:v>
                </c:pt>
                <c:pt idx="11">
                  <c:v>-0.5</c:v>
                </c:pt>
                <c:pt idx="12">
                  <c:v>-0.5</c:v>
                </c:pt>
                <c:pt idx="13">
                  <c:v>-0.5</c:v>
                </c:pt>
                <c:pt idx="14">
                  <c:v>-0.5</c:v>
                </c:pt>
                <c:pt idx="15">
                  <c:v>-0.5</c:v>
                </c:pt>
                <c:pt idx="16">
                  <c:v>-0.5</c:v>
                </c:pt>
                <c:pt idx="17">
                  <c:v>-0.5</c:v>
                </c:pt>
                <c:pt idx="18">
                  <c:v>-0.5</c:v>
                </c:pt>
                <c:pt idx="19">
                  <c:v>-0.5</c:v>
                </c:pt>
                <c:pt idx="20">
                  <c:v>-0.5</c:v>
                </c:pt>
                <c:pt idx="21">
                  <c:v>-0.5</c:v>
                </c:pt>
                <c:pt idx="22">
                  <c:v>-0.5</c:v>
                </c:pt>
                <c:pt idx="23">
                  <c:v>-0.5</c:v>
                </c:pt>
                <c:pt idx="24">
                  <c:v>-0.5</c:v>
                </c:pt>
                <c:pt idx="25">
                  <c:v>-0.5</c:v>
                </c:pt>
                <c:pt idx="26">
                  <c:v>-0.5</c:v>
                </c:pt>
                <c:pt idx="27">
                  <c:v>-0.5</c:v>
                </c:pt>
                <c:pt idx="28">
                  <c:v>-0.5</c:v>
                </c:pt>
                <c:pt idx="29">
                  <c:v>-0.5</c:v>
                </c:pt>
                <c:pt idx="30">
                  <c:v>-0.5</c:v>
                </c:pt>
                <c:pt idx="31">
                  <c:v>-0.5</c:v>
                </c:pt>
                <c:pt idx="32">
                  <c:v>-0.5</c:v>
                </c:pt>
                <c:pt idx="33">
                  <c:v>-0.5</c:v>
                </c:pt>
                <c:pt idx="34">
                  <c:v>-0.5</c:v>
                </c:pt>
                <c:pt idx="35">
                  <c:v>-0.5</c:v>
                </c:pt>
                <c:pt idx="36">
                  <c:v>-0.5</c:v>
                </c:pt>
                <c:pt idx="37">
                  <c:v>-0.5</c:v>
                </c:pt>
                <c:pt idx="38">
                  <c:v>-0.5</c:v>
                </c:pt>
                <c:pt idx="39">
                  <c:v>-0.4975</c:v>
                </c:pt>
                <c:pt idx="40">
                  <c:v>-0.4975</c:v>
                </c:pt>
                <c:pt idx="41">
                  <c:v>-0.5</c:v>
                </c:pt>
                <c:pt idx="42">
                  <c:v>-0.5</c:v>
                </c:pt>
                <c:pt idx="43">
                  <c:v>-0.4975</c:v>
                </c:pt>
                <c:pt idx="44">
                  <c:v>-0.5</c:v>
                </c:pt>
                <c:pt idx="45">
                  <c:v>-0.5</c:v>
                </c:pt>
                <c:pt idx="46">
                  <c:v>-0.5</c:v>
                </c:pt>
                <c:pt idx="47">
                  <c:v>-0.5</c:v>
                </c:pt>
                <c:pt idx="48">
                  <c:v>-0.5</c:v>
                </c:pt>
                <c:pt idx="49">
                  <c:v>-0.5</c:v>
                </c:pt>
                <c:pt idx="50">
                  <c:v>-0.5</c:v>
                </c:pt>
                <c:pt idx="51">
                  <c:v>-0.4975</c:v>
                </c:pt>
                <c:pt idx="52">
                  <c:v>-0.5</c:v>
                </c:pt>
                <c:pt idx="53">
                  <c:v>-0.4975</c:v>
                </c:pt>
                <c:pt idx="54">
                  <c:v>-0.4975</c:v>
                </c:pt>
                <c:pt idx="55">
                  <c:v>-0.5</c:v>
                </c:pt>
                <c:pt idx="56">
                  <c:v>-0.49249999999999999</c:v>
                </c:pt>
                <c:pt idx="57">
                  <c:v>-0.5</c:v>
                </c:pt>
                <c:pt idx="58">
                  <c:v>-0.495</c:v>
                </c:pt>
                <c:pt idx="59">
                  <c:v>-0.5</c:v>
                </c:pt>
                <c:pt idx="60">
                  <c:v>-0.495</c:v>
                </c:pt>
                <c:pt idx="61">
                  <c:v>-0.4975</c:v>
                </c:pt>
                <c:pt idx="62">
                  <c:v>-0.49</c:v>
                </c:pt>
                <c:pt idx="63">
                  <c:v>-0.495</c:v>
                </c:pt>
                <c:pt idx="64">
                  <c:v>-0.49</c:v>
                </c:pt>
                <c:pt idx="65">
                  <c:v>-0.48499999999999999</c:v>
                </c:pt>
                <c:pt idx="66">
                  <c:v>-0.49249999999999999</c:v>
                </c:pt>
                <c:pt idx="67">
                  <c:v>-0.47749999999999998</c:v>
                </c:pt>
                <c:pt idx="68">
                  <c:v>-0.48249999999999998</c:v>
                </c:pt>
                <c:pt idx="69">
                  <c:v>-0.46750000000000003</c:v>
                </c:pt>
                <c:pt idx="70">
                  <c:v>-0.49249999999999999</c:v>
                </c:pt>
                <c:pt idx="71">
                  <c:v>-0.48249999999999998</c:v>
                </c:pt>
                <c:pt idx="72">
                  <c:v>-0.48</c:v>
                </c:pt>
                <c:pt idx="73">
                  <c:v>-0.46750000000000003</c:v>
                </c:pt>
                <c:pt idx="74">
                  <c:v>-0.46</c:v>
                </c:pt>
                <c:pt idx="75">
                  <c:v>-0.45750000000000002</c:v>
                </c:pt>
                <c:pt idx="76">
                  <c:v>-0.46500000000000002</c:v>
                </c:pt>
                <c:pt idx="77">
                  <c:v>-0.45500000000000002</c:v>
                </c:pt>
                <c:pt idx="78">
                  <c:v>-0.45</c:v>
                </c:pt>
                <c:pt idx="79">
                  <c:v>-0.44750000000000001</c:v>
                </c:pt>
                <c:pt idx="80">
                  <c:v>-0.44750000000000001</c:v>
                </c:pt>
                <c:pt idx="81">
                  <c:v>-0.44</c:v>
                </c:pt>
                <c:pt idx="82">
                  <c:v>-0.43</c:v>
                </c:pt>
                <c:pt idx="83">
                  <c:v>-0.40749999999999997</c:v>
                </c:pt>
                <c:pt idx="84">
                  <c:v>-0.4</c:v>
                </c:pt>
                <c:pt idx="85">
                  <c:v>-0.38750000000000001</c:v>
                </c:pt>
                <c:pt idx="86">
                  <c:v>-0.35749999999999998</c:v>
                </c:pt>
                <c:pt idx="87">
                  <c:v>-0.36499999999999999</c:v>
                </c:pt>
                <c:pt idx="88">
                  <c:v>-0.32500000000000001</c:v>
                </c:pt>
                <c:pt idx="89">
                  <c:v>-0.31</c:v>
                </c:pt>
                <c:pt idx="90">
                  <c:v>-0.30499999999999999</c:v>
                </c:pt>
                <c:pt idx="91">
                  <c:v>-0.29249999999999998</c:v>
                </c:pt>
                <c:pt idx="92">
                  <c:v>-0.27250000000000002</c:v>
                </c:pt>
                <c:pt idx="93">
                  <c:v>-0.19750000000000001</c:v>
                </c:pt>
                <c:pt idx="94">
                  <c:v>-0.19</c:v>
                </c:pt>
                <c:pt idx="95">
                  <c:v>-0.17</c:v>
                </c:pt>
                <c:pt idx="96">
                  <c:v>-0.13750000000000001</c:v>
                </c:pt>
                <c:pt idx="97">
                  <c:v>-0.1075</c:v>
                </c:pt>
                <c:pt idx="98">
                  <c:v>-0.1075</c:v>
                </c:pt>
                <c:pt idx="99">
                  <c:v>-1.7500000000000002E-2</c:v>
                </c:pt>
                <c:pt idx="100">
                  <c:v>-2.2499999999999999E-2</c:v>
                </c:pt>
                <c:pt idx="101">
                  <c:v>5.2499999999999998E-2</c:v>
                </c:pt>
                <c:pt idx="102">
                  <c:v>2.75E-2</c:v>
                </c:pt>
                <c:pt idx="103">
                  <c:v>0.06</c:v>
                </c:pt>
                <c:pt idx="104">
                  <c:v>0.14000000000000001</c:v>
                </c:pt>
                <c:pt idx="105">
                  <c:v>0.1925</c:v>
                </c:pt>
                <c:pt idx="106">
                  <c:v>0.1575</c:v>
                </c:pt>
                <c:pt idx="107">
                  <c:v>0.24249999999999999</c:v>
                </c:pt>
                <c:pt idx="108">
                  <c:v>0.26500000000000001</c:v>
                </c:pt>
                <c:pt idx="109">
                  <c:v>0.29749999999999999</c:v>
                </c:pt>
                <c:pt idx="110">
                  <c:v>0.25750000000000001</c:v>
                </c:pt>
                <c:pt idx="111">
                  <c:v>0.3</c:v>
                </c:pt>
                <c:pt idx="112">
                  <c:v>0.35749999999999998</c:v>
                </c:pt>
                <c:pt idx="113">
                  <c:v>0.34749999999999998</c:v>
                </c:pt>
                <c:pt idx="114">
                  <c:v>0.36249999999999999</c:v>
                </c:pt>
                <c:pt idx="115">
                  <c:v>0.3775</c:v>
                </c:pt>
                <c:pt idx="116">
                  <c:v>0.39250000000000002</c:v>
                </c:pt>
                <c:pt idx="117">
                  <c:v>0.39</c:v>
                </c:pt>
                <c:pt idx="118">
                  <c:v>0.41499999999999998</c:v>
                </c:pt>
                <c:pt idx="119">
                  <c:v>0.42749999999999999</c:v>
                </c:pt>
                <c:pt idx="120">
                  <c:v>0.45250000000000001</c:v>
                </c:pt>
                <c:pt idx="121">
                  <c:v>0.42</c:v>
                </c:pt>
                <c:pt idx="122">
                  <c:v>0.45750000000000002</c:v>
                </c:pt>
                <c:pt idx="123">
                  <c:v>0.45500000000000002</c:v>
                </c:pt>
                <c:pt idx="124">
                  <c:v>0.47</c:v>
                </c:pt>
                <c:pt idx="125">
                  <c:v>0.46250000000000002</c:v>
                </c:pt>
                <c:pt idx="126">
                  <c:v>0.45250000000000001</c:v>
                </c:pt>
                <c:pt idx="127">
                  <c:v>0.48249999999999998</c:v>
                </c:pt>
                <c:pt idx="128">
                  <c:v>0.47499999999999998</c:v>
                </c:pt>
                <c:pt idx="129">
                  <c:v>0.47749999999999998</c:v>
                </c:pt>
                <c:pt idx="130">
                  <c:v>0.48</c:v>
                </c:pt>
                <c:pt idx="131">
                  <c:v>0.48749999999999999</c:v>
                </c:pt>
                <c:pt idx="132">
                  <c:v>0.48</c:v>
                </c:pt>
                <c:pt idx="133">
                  <c:v>0.495</c:v>
                </c:pt>
                <c:pt idx="134">
                  <c:v>0.49249999999999999</c:v>
                </c:pt>
                <c:pt idx="135">
                  <c:v>0.49249999999999999</c:v>
                </c:pt>
                <c:pt idx="136">
                  <c:v>0.48749999999999999</c:v>
                </c:pt>
                <c:pt idx="137">
                  <c:v>0.49249999999999999</c:v>
                </c:pt>
                <c:pt idx="138">
                  <c:v>0.5</c:v>
                </c:pt>
                <c:pt idx="139">
                  <c:v>0.495</c:v>
                </c:pt>
                <c:pt idx="140">
                  <c:v>0.495</c:v>
                </c:pt>
                <c:pt idx="141">
                  <c:v>0.495</c:v>
                </c:pt>
                <c:pt idx="142">
                  <c:v>0.4975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0.495</c:v>
                </c:pt>
                <c:pt idx="149">
                  <c:v>0.5</c:v>
                </c:pt>
                <c:pt idx="150">
                  <c:v>0.4975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0.4975</c:v>
                </c:pt>
                <c:pt idx="156">
                  <c:v>0.5</c:v>
                </c:pt>
                <c:pt idx="157">
                  <c:v>0.5</c:v>
                </c:pt>
                <c:pt idx="158">
                  <c:v>0.4975</c:v>
                </c:pt>
                <c:pt idx="159">
                  <c:v>0.4975</c:v>
                </c:pt>
                <c:pt idx="160">
                  <c:v>0.4975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0.4975</c:v>
                </c:pt>
                <c:pt idx="168">
                  <c:v>0.5</c:v>
                </c:pt>
                <c:pt idx="169">
                  <c:v>0.4975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0.4975</c:v>
                </c:pt>
                <c:pt idx="252">
                  <c:v>0.4975</c:v>
                </c:pt>
                <c:pt idx="253">
                  <c:v>0.5</c:v>
                </c:pt>
                <c:pt idx="254">
                  <c:v>0.4975</c:v>
                </c:pt>
                <c:pt idx="255">
                  <c:v>0.5</c:v>
                </c:pt>
                <c:pt idx="256">
                  <c:v>0.4975</c:v>
                </c:pt>
                <c:pt idx="257">
                  <c:v>0.4975</c:v>
                </c:pt>
                <c:pt idx="258">
                  <c:v>0.495</c:v>
                </c:pt>
                <c:pt idx="259">
                  <c:v>0.5</c:v>
                </c:pt>
                <c:pt idx="260">
                  <c:v>0.5</c:v>
                </c:pt>
                <c:pt idx="261">
                  <c:v>0.4975</c:v>
                </c:pt>
                <c:pt idx="262">
                  <c:v>0.49249999999999999</c:v>
                </c:pt>
                <c:pt idx="263">
                  <c:v>0.5</c:v>
                </c:pt>
                <c:pt idx="264">
                  <c:v>0.495</c:v>
                </c:pt>
                <c:pt idx="265">
                  <c:v>0.49249999999999999</c:v>
                </c:pt>
                <c:pt idx="266">
                  <c:v>0.48249999999999998</c:v>
                </c:pt>
                <c:pt idx="267">
                  <c:v>0.49249999999999999</c:v>
                </c:pt>
                <c:pt idx="268">
                  <c:v>0.48499999999999999</c:v>
                </c:pt>
                <c:pt idx="269">
                  <c:v>0.48</c:v>
                </c:pt>
                <c:pt idx="270">
                  <c:v>0.48</c:v>
                </c:pt>
                <c:pt idx="271">
                  <c:v>0.48249999999999998</c:v>
                </c:pt>
                <c:pt idx="272">
                  <c:v>0.47499999999999998</c:v>
                </c:pt>
                <c:pt idx="273">
                  <c:v>0.47499999999999998</c:v>
                </c:pt>
                <c:pt idx="274">
                  <c:v>0.46250000000000002</c:v>
                </c:pt>
                <c:pt idx="275">
                  <c:v>0.46750000000000003</c:v>
                </c:pt>
                <c:pt idx="276">
                  <c:v>0.44750000000000001</c:v>
                </c:pt>
                <c:pt idx="277">
                  <c:v>0.44500000000000001</c:v>
                </c:pt>
                <c:pt idx="278">
                  <c:v>0.435</c:v>
                </c:pt>
                <c:pt idx="279">
                  <c:v>0.46</c:v>
                </c:pt>
                <c:pt idx="280">
                  <c:v>0.44500000000000001</c:v>
                </c:pt>
                <c:pt idx="281">
                  <c:v>0.42749999999999999</c:v>
                </c:pt>
                <c:pt idx="282">
                  <c:v>0.41</c:v>
                </c:pt>
                <c:pt idx="283">
                  <c:v>0.40250000000000002</c:v>
                </c:pt>
                <c:pt idx="284">
                  <c:v>0.41</c:v>
                </c:pt>
                <c:pt idx="285">
                  <c:v>0.38</c:v>
                </c:pt>
                <c:pt idx="286">
                  <c:v>0.38</c:v>
                </c:pt>
                <c:pt idx="287">
                  <c:v>0.33750000000000002</c:v>
                </c:pt>
                <c:pt idx="288">
                  <c:v>0.33250000000000002</c:v>
                </c:pt>
                <c:pt idx="289">
                  <c:v>0.30249999999999999</c:v>
                </c:pt>
                <c:pt idx="290">
                  <c:v>0.28999999999999998</c:v>
                </c:pt>
                <c:pt idx="291">
                  <c:v>0.2525</c:v>
                </c:pt>
                <c:pt idx="292">
                  <c:v>0.21</c:v>
                </c:pt>
                <c:pt idx="293">
                  <c:v>0.215</c:v>
                </c:pt>
                <c:pt idx="294">
                  <c:v>0.155</c:v>
                </c:pt>
                <c:pt idx="295">
                  <c:v>0.16</c:v>
                </c:pt>
                <c:pt idx="296">
                  <c:v>9.7500000000000003E-2</c:v>
                </c:pt>
                <c:pt idx="297">
                  <c:v>0.13250000000000001</c:v>
                </c:pt>
                <c:pt idx="298">
                  <c:v>4.2500000000000003E-2</c:v>
                </c:pt>
                <c:pt idx="299">
                  <c:v>2.75E-2</c:v>
                </c:pt>
                <c:pt idx="300">
                  <c:v>2.75E-2</c:v>
                </c:pt>
                <c:pt idx="301">
                  <c:v>-4.2500000000000003E-2</c:v>
                </c:pt>
                <c:pt idx="302">
                  <c:v>-7.4999999999999997E-2</c:v>
                </c:pt>
                <c:pt idx="303">
                  <c:v>-8.5000000000000006E-2</c:v>
                </c:pt>
                <c:pt idx="304">
                  <c:v>-0.125</c:v>
                </c:pt>
                <c:pt idx="305">
                  <c:v>-0.1925</c:v>
                </c:pt>
                <c:pt idx="306">
                  <c:v>-0.1575</c:v>
                </c:pt>
                <c:pt idx="307">
                  <c:v>-0.24</c:v>
                </c:pt>
                <c:pt idx="308">
                  <c:v>-0.27750000000000002</c:v>
                </c:pt>
                <c:pt idx="309">
                  <c:v>-0.26500000000000001</c:v>
                </c:pt>
                <c:pt idx="310">
                  <c:v>-0.29249999999999998</c:v>
                </c:pt>
                <c:pt idx="311">
                  <c:v>-0.3075</c:v>
                </c:pt>
                <c:pt idx="312">
                  <c:v>-0.3775</c:v>
                </c:pt>
                <c:pt idx="313">
                  <c:v>-0.35499999999999998</c:v>
                </c:pt>
                <c:pt idx="314">
                  <c:v>-0.375</c:v>
                </c:pt>
                <c:pt idx="315">
                  <c:v>-0.34749999999999998</c:v>
                </c:pt>
                <c:pt idx="316">
                  <c:v>-0.39250000000000002</c:v>
                </c:pt>
                <c:pt idx="317">
                  <c:v>-0.41</c:v>
                </c:pt>
                <c:pt idx="318">
                  <c:v>-0.42499999999999999</c:v>
                </c:pt>
                <c:pt idx="319">
                  <c:v>-0.42499999999999999</c:v>
                </c:pt>
                <c:pt idx="320">
                  <c:v>-0.435</c:v>
                </c:pt>
                <c:pt idx="321">
                  <c:v>-0.44</c:v>
                </c:pt>
                <c:pt idx="322">
                  <c:v>-0.45500000000000002</c:v>
                </c:pt>
                <c:pt idx="323">
                  <c:v>-0.44750000000000001</c:v>
                </c:pt>
                <c:pt idx="324">
                  <c:v>-0.47</c:v>
                </c:pt>
                <c:pt idx="325">
                  <c:v>-0.45250000000000001</c:v>
                </c:pt>
                <c:pt idx="326">
                  <c:v>-0.46250000000000002</c:v>
                </c:pt>
                <c:pt idx="327">
                  <c:v>-0.47</c:v>
                </c:pt>
                <c:pt idx="328">
                  <c:v>-0.47499999999999998</c:v>
                </c:pt>
                <c:pt idx="329">
                  <c:v>-0.47</c:v>
                </c:pt>
                <c:pt idx="330">
                  <c:v>-0.48249999999999998</c:v>
                </c:pt>
                <c:pt idx="331">
                  <c:v>-0.48499999999999999</c:v>
                </c:pt>
                <c:pt idx="332">
                  <c:v>-0.48249999999999998</c:v>
                </c:pt>
                <c:pt idx="333">
                  <c:v>-0.49249999999999999</c:v>
                </c:pt>
                <c:pt idx="334">
                  <c:v>-0.48499999999999999</c:v>
                </c:pt>
                <c:pt idx="335">
                  <c:v>-0.49</c:v>
                </c:pt>
                <c:pt idx="336">
                  <c:v>-0.4975</c:v>
                </c:pt>
                <c:pt idx="337">
                  <c:v>-0.495</c:v>
                </c:pt>
                <c:pt idx="338">
                  <c:v>-0.4975</c:v>
                </c:pt>
                <c:pt idx="339">
                  <c:v>-0.4975</c:v>
                </c:pt>
                <c:pt idx="340">
                  <c:v>-0.5</c:v>
                </c:pt>
                <c:pt idx="341">
                  <c:v>-0.495</c:v>
                </c:pt>
                <c:pt idx="342">
                  <c:v>-0.5</c:v>
                </c:pt>
                <c:pt idx="343">
                  <c:v>-0.5</c:v>
                </c:pt>
                <c:pt idx="344">
                  <c:v>-0.4975</c:v>
                </c:pt>
                <c:pt idx="345">
                  <c:v>-0.495</c:v>
                </c:pt>
                <c:pt idx="346">
                  <c:v>-0.5</c:v>
                </c:pt>
                <c:pt idx="347">
                  <c:v>-0.4975</c:v>
                </c:pt>
                <c:pt idx="348">
                  <c:v>-0.5</c:v>
                </c:pt>
                <c:pt idx="349">
                  <c:v>-0.5</c:v>
                </c:pt>
                <c:pt idx="350">
                  <c:v>-0.5</c:v>
                </c:pt>
                <c:pt idx="351">
                  <c:v>-0.5</c:v>
                </c:pt>
                <c:pt idx="352">
                  <c:v>-0.5</c:v>
                </c:pt>
                <c:pt idx="353">
                  <c:v>-0.4975</c:v>
                </c:pt>
                <c:pt idx="354">
                  <c:v>-0.5</c:v>
                </c:pt>
                <c:pt idx="355">
                  <c:v>-0.5</c:v>
                </c:pt>
                <c:pt idx="356">
                  <c:v>-0.5</c:v>
                </c:pt>
                <c:pt idx="357">
                  <c:v>-0.495</c:v>
                </c:pt>
                <c:pt idx="358">
                  <c:v>-0.5</c:v>
                </c:pt>
                <c:pt idx="359">
                  <c:v>-0.5</c:v>
                </c:pt>
                <c:pt idx="360">
                  <c:v>-0.5</c:v>
                </c:pt>
                <c:pt idx="361">
                  <c:v>-0.5</c:v>
                </c:pt>
                <c:pt idx="362">
                  <c:v>-0.5</c:v>
                </c:pt>
                <c:pt idx="363">
                  <c:v>-0.5</c:v>
                </c:pt>
                <c:pt idx="364">
                  <c:v>-0.5</c:v>
                </c:pt>
                <c:pt idx="365">
                  <c:v>-0.5</c:v>
                </c:pt>
                <c:pt idx="366">
                  <c:v>-0.5</c:v>
                </c:pt>
                <c:pt idx="367">
                  <c:v>-0.5</c:v>
                </c:pt>
                <c:pt idx="368">
                  <c:v>-0.5</c:v>
                </c:pt>
                <c:pt idx="369">
                  <c:v>-0.5</c:v>
                </c:pt>
                <c:pt idx="370">
                  <c:v>-0.5</c:v>
                </c:pt>
                <c:pt idx="371">
                  <c:v>-0.5</c:v>
                </c:pt>
                <c:pt idx="372">
                  <c:v>-0.5</c:v>
                </c:pt>
                <c:pt idx="373">
                  <c:v>-0.5</c:v>
                </c:pt>
                <c:pt idx="374">
                  <c:v>-0.5</c:v>
                </c:pt>
                <c:pt idx="375">
                  <c:v>-0.5</c:v>
                </c:pt>
                <c:pt idx="376">
                  <c:v>-0.5</c:v>
                </c:pt>
                <c:pt idx="377">
                  <c:v>-0.5</c:v>
                </c:pt>
                <c:pt idx="378">
                  <c:v>-0.5</c:v>
                </c:pt>
                <c:pt idx="379">
                  <c:v>-0.5</c:v>
                </c:pt>
                <c:pt idx="380">
                  <c:v>-0.5</c:v>
                </c:pt>
                <c:pt idx="381">
                  <c:v>-0.5</c:v>
                </c:pt>
                <c:pt idx="382">
                  <c:v>-0.5</c:v>
                </c:pt>
                <c:pt idx="383">
                  <c:v>-0.5</c:v>
                </c:pt>
                <c:pt idx="384">
                  <c:v>-0.5</c:v>
                </c:pt>
                <c:pt idx="385">
                  <c:v>-0.5</c:v>
                </c:pt>
                <c:pt idx="386">
                  <c:v>-0.5</c:v>
                </c:pt>
                <c:pt idx="387">
                  <c:v>-0.5</c:v>
                </c:pt>
                <c:pt idx="388">
                  <c:v>-0.5</c:v>
                </c:pt>
                <c:pt idx="389">
                  <c:v>-0.5</c:v>
                </c:pt>
                <c:pt idx="390">
                  <c:v>-0.5</c:v>
                </c:pt>
                <c:pt idx="391">
                  <c:v>-0.5</c:v>
                </c:pt>
                <c:pt idx="392">
                  <c:v>-0.5</c:v>
                </c:pt>
                <c:pt idx="393">
                  <c:v>-0.5</c:v>
                </c:pt>
                <c:pt idx="394">
                  <c:v>-0.5</c:v>
                </c:pt>
                <c:pt idx="395">
                  <c:v>-0.5</c:v>
                </c:pt>
                <c:pt idx="396">
                  <c:v>-0.5</c:v>
                </c:pt>
                <c:pt idx="397">
                  <c:v>-0.5</c:v>
                </c:pt>
                <c:pt idx="398">
                  <c:v>-0.5</c:v>
                </c:pt>
                <c:pt idx="399">
                  <c:v>-0.5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27-4D87-8664-D33164883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825208"/>
        <c:axId val="347825568"/>
      </c:scatterChart>
      <c:valAx>
        <c:axId val="347825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7825568"/>
        <c:crosses val="autoZero"/>
        <c:crossBetween val="midCat"/>
      </c:valAx>
      <c:valAx>
        <c:axId val="34782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7825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M vs T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'ex10'!$AF$32:$AF$431</c:f>
              <c:numCache>
                <c:formatCode>General</c:formatCode>
                <c:ptCount val="4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  <c:pt idx="66">
                  <c:v>133</c:v>
                </c:pt>
                <c:pt idx="67">
                  <c:v>135</c:v>
                </c:pt>
                <c:pt idx="68">
                  <c:v>137</c:v>
                </c:pt>
                <c:pt idx="69">
                  <c:v>139</c:v>
                </c:pt>
                <c:pt idx="70">
                  <c:v>141</c:v>
                </c:pt>
                <c:pt idx="71">
                  <c:v>143</c:v>
                </c:pt>
                <c:pt idx="72">
                  <c:v>145</c:v>
                </c:pt>
                <c:pt idx="73">
                  <c:v>147</c:v>
                </c:pt>
                <c:pt idx="74">
                  <c:v>149</c:v>
                </c:pt>
                <c:pt idx="75">
                  <c:v>151</c:v>
                </c:pt>
                <c:pt idx="76">
                  <c:v>153</c:v>
                </c:pt>
                <c:pt idx="77">
                  <c:v>155</c:v>
                </c:pt>
                <c:pt idx="78">
                  <c:v>157</c:v>
                </c:pt>
                <c:pt idx="79">
                  <c:v>159</c:v>
                </c:pt>
                <c:pt idx="80">
                  <c:v>161</c:v>
                </c:pt>
                <c:pt idx="81">
                  <c:v>163</c:v>
                </c:pt>
                <c:pt idx="82">
                  <c:v>165</c:v>
                </c:pt>
                <c:pt idx="83">
                  <c:v>167</c:v>
                </c:pt>
                <c:pt idx="84">
                  <c:v>169</c:v>
                </c:pt>
                <c:pt idx="85">
                  <c:v>171</c:v>
                </c:pt>
                <c:pt idx="86">
                  <c:v>173</c:v>
                </c:pt>
                <c:pt idx="87">
                  <c:v>175</c:v>
                </c:pt>
                <c:pt idx="88">
                  <c:v>177</c:v>
                </c:pt>
                <c:pt idx="89">
                  <c:v>179</c:v>
                </c:pt>
                <c:pt idx="90">
                  <c:v>181</c:v>
                </c:pt>
                <c:pt idx="91">
                  <c:v>183</c:v>
                </c:pt>
                <c:pt idx="92">
                  <c:v>185</c:v>
                </c:pt>
                <c:pt idx="93">
                  <c:v>187</c:v>
                </c:pt>
                <c:pt idx="94">
                  <c:v>189</c:v>
                </c:pt>
                <c:pt idx="95">
                  <c:v>191</c:v>
                </c:pt>
                <c:pt idx="96">
                  <c:v>193</c:v>
                </c:pt>
                <c:pt idx="97">
                  <c:v>195</c:v>
                </c:pt>
                <c:pt idx="98">
                  <c:v>197</c:v>
                </c:pt>
                <c:pt idx="99">
                  <c:v>199</c:v>
                </c:pt>
                <c:pt idx="100">
                  <c:v>201</c:v>
                </c:pt>
                <c:pt idx="101">
                  <c:v>203</c:v>
                </c:pt>
                <c:pt idx="102">
                  <c:v>205</c:v>
                </c:pt>
                <c:pt idx="103">
                  <c:v>207</c:v>
                </c:pt>
                <c:pt idx="104">
                  <c:v>209</c:v>
                </c:pt>
                <c:pt idx="105">
                  <c:v>211</c:v>
                </c:pt>
                <c:pt idx="106">
                  <c:v>213</c:v>
                </c:pt>
                <c:pt idx="107">
                  <c:v>215</c:v>
                </c:pt>
                <c:pt idx="108">
                  <c:v>217</c:v>
                </c:pt>
                <c:pt idx="109">
                  <c:v>219</c:v>
                </c:pt>
                <c:pt idx="110">
                  <c:v>221</c:v>
                </c:pt>
                <c:pt idx="111">
                  <c:v>223</c:v>
                </c:pt>
                <c:pt idx="112">
                  <c:v>225</c:v>
                </c:pt>
                <c:pt idx="113">
                  <c:v>227</c:v>
                </c:pt>
                <c:pt idx="114">
                  <c:v>229</c:v>
                </c:pt>
                <c:pt idx="115">
                  <c:v>231</c:v>
                </c:pt>
                <c:pt idx="116">
                  <c:v>233</c:v>
                </c:pt>
                <c:pt idx="117">
                  <c:v>235</c:v>
                </c:pt>
                <c:pt idx="118">
                  <c:v>237</c:v>
                </c:pt>
                <c:pt idx="119">
                  <c:v>239</c:v>
                </c:pt>
                <c:pt idx="120">
                  <c:v>241</c:v>
                </c:pt>
                <c:pt idx="121">
                  <c:v>243</c:v>
                </c:pt>
                <c:pt idx="122">
                  <c:v>245</c:v>
                </c:pt>
                <c:pt idx="123">
                  <c:v>247</c:v>
                </c:pt>
                <c:pt idx="124">
                  <c:v>249</c:v>
                </c:pt>
                <c:pt idx="125">
                  <c:v>251</c:v>
                </c:pt>
                <c:pt idx="126">
                  <c:v>253</c:v>
                </c:pt>
                <c:pt idx="127">
                  <c:v>255</c:v>
                </c:pt>
                <c:pt idx="128">
                  <c:v>257</c:v>
                </c:pt>
                <c:pt idx="129">
                  <c:v>259</c:v>
                </c:pt>
                <c:pt idx="130">
                  <c:v>261</c:v>
                </c:pt>
                <c:pt idx="131">
                  <c:v>263</c:v>
                </c:pt>
                <c:pt idx="132">
                  <c:v>265</c:v>
                </c:pt>
                <c:pt idx="133">
                  <c:v>267</c:v>
                </c:pt>
                <c:pt idx="134">
                  <c:v>269</c:v>
                </c:pt>
                <c:pt idx="135">
                  <c:v>271</c:v>
                </c:pt>
                <c:pt idx="136">
                  <c:v>273</c:v>
                </c:pt>
                <c:pt idx="137">
                  <c:v>275</c:v>
                </c:pt>
                <c:pt idx="138">
                  <c:v>277</c:v>
                </c:pt>
                <c:pt idx="139">
                  <c:v>279</c:v>
                </c:pt>
                <c:pt idx="140">
                  <c:v>281</c:v>
                </c:pt>
                <c:pt idx="141">
                  <c:v>283</c:v>
                </c:pt>
                <c:pt idx="142">
                  <c:v>285</c:v>
                </c:pt>
                <c:pt idx="143">
                  <c:v>287</c:v>
                </c:pt>
                <c:pt idx="144">
                  <c:v>289</c:v>
                </c:pt>
                <c:pt idx="145">
                  <c:v>291</c:v>
                </c:pt>
                <c:pt idx="146">
                  <c:v>293</c:v>
                </c:pt>
                <c:pt idx="147">
                  <c:v>295</c:v>
                </c:pt>
                <c:pt idx="148">
                  <c:v>297</c:v>
                </c:pt>
                <c:pt idx="149">
                  <c:v>299</c:v>
                </c:pt>
                <c:pt idx="150">
                  <c:v>301</c:v>
                </c:pt>
                <c:pt idx="151">
                  <c:v>303</c:v>
                </c:pt>
                <c:pt idx="152">
                  <c:v>305</c:v>
                </c:pt>
                <c:pt idx="153">
                  <c:v>307</c:v>
                </c:pt>
                <c:pt idx="154">
                  <c:v>309</c:v>
                </c:pt>
                <c:pt idx="155">
                  <c:v>311</c:v>
                </c:pt>
                <c:pt idx="156">
                  <c:v>313</c:v>
                </c:pt>
                <c:pt idx="157">
                  <c:v>315</c:v>
                </c:pt>
                <c:pt idx="158">
                  <c:v>317</c:v>
                </c:pt>
                <c:pt idx="159">
                  <c:v>319</c:v>
                </c:pt>
                <c:pt idx="160">
                  <c:v>321</c:v>
                </c:pt>
                <c:pt idx="161">
                  <c:v>323</c:v>
                </c:pt>
                <c:pt idx="162">
                  <c:v>325</c:v>
                </c:pt>
                <c:pt idx="163">
                  <c:v>327</c:v>
                </c:pt>
                <c:pt idx="164">
                  <c:v>329</c:v>
                </c:pt>
                <c:pt idx="165">
                  <c:v>331</c:v>
                </c:pt>
                <c:pt idx="166">
                  <c:v>333</c:v>
                </c:pt>
                <c:pt idx="167">
                  <c:v>335</c:v>
                </c:pt>
                <c:pt idx="168">
                  <c:v>337</c:v>
                </c:pt>
                <c:pt idx="169">
                  <c:v>339</c:v>
                </c:pt>
                <c:pt idx="170">
                  <c:v>341</c:v>
                </c:pt>
                <c:pt idx="171">
                  <c:v>343</c:v>
                </c:pt>
                <c:pt idx="172">
                  <c:v>345</c:v>
                </c:pt>
                <c:pt idx="173">
                  <c:v>347</c:v>
                </c:pt>
                <c:pt idx="174">
                  <c:v>349</c:v>
                </c:pt>
                <c:pt idx="175">
                  <c:v>351</c:v>
                </c:pt>
                <c:pt idx="176">
                  <c:v>353</c:v>
                </c:pt>
                <c:pt idx="177">
                  <c:v>355</c:v>
                </c:pt>
                <c:pt idx="178">
                  <c:v>357</c:v>
                </c:pt>
                <c:pt idx="179">
                  <c:v>359</c:v>
                </c:pt>
                <c:pt idx="180">
                  <c:v>361</c:v>
                </c:pt>
                <c:pt idx="181">
                  <c:v>363</c:v>
                </c:pt>
                <c:pt idx="182">
                  <c:v>365</c:v>
                </c:pt>
                <c:pt idx="183">
                  <c:v>367</c:v>
                </c:pt>
                <c:pt idx="184">
                  <c:v>369</c:v>
                </c:pt>
                <c:pt idx="185">
                  <c:v>371</c:v>
                </c:pt>
                <c:pt idx="186">
                  <c:v>373</c:v>
                </c:pt>
                <c:pt idx="187">
                  <c:v>375</c:v>
                </c:pt>
                <c:pt idx="188">
                  <c:v>377</c:v>
                </c:pt>
                <c:pt idx="189">
                  <c:v>379</c:v>
                </c:pt>
                <c:pt idx="190">
                  <c:v>381</c:v>
                </c:pt>
                <c:pt idx="191">
                  <c:v>383</c:v>
                </c:pt>
                <c:pt idx="192">
                  <c:v>385</c:v>
                </c:pt>
                <c:pt idx="193">
                  <c:v>387</c:v>
                </c:pt>
                <c:pt idx="194">
                  <c:v>389</c:v>
                </c:pt>
                <c:pt idx="195">
                  <c:v>391</c:v>
                </c:pt>
                <c:pt idx="196">
                  <c:v>393</c:v>
                </c:pt>
                <c:pt idx="197">
                  <c:v>395</c:v>
                </c:pt>
                <c:pt idx="198">
                  <c:v>397</c:v>
                </c:pt>
                <c:pt idx="199">
                  <c:v>399</c:v>
                </c:pt>
                <c:pt idx="200">
                  <c:v>401</c:v>
                </c:pt>
                <c:pt idx="201">
                  <c:v>399</c:v>
                </c:pt>
                <c:pt idx="202">
                  <c:v>397</c:v>
                </c:pt>
                <c:pt idx="203">
                  <c:v>395</c:v>
                </c:pt>
                <c:pt idx="204">
                  <c:v>393</c:v>
                </c:pt>
                <c:pt idx="205">
                  <c:v>391</c:v>
                </c:pt>
                <c:pt idx="206">
                  <c:v>389</c:v>
                </c:pt>
                <c:pt idx="207">
                  <c:v>387</c:v>
                </c:pt>
                <c:pt idx="208">
                  <c:v>385</c:v>
                </c:pt>
                <c:pt idx="209">
                  <c:v>383</c:v>
                </c:pt>
                <c:pt idx="210">
                  <c:v>381</c:v>
                </c:pt>
                <c:pt idx="211">
                  <c:v>379</c:v>
                </c:pt>
                <c:pt idx="212">
                  <c:v>377</c:v>
                </c:pt>
                <c:pt idx="213">
                  <c:v>375</c:v>
                </c:pt>
                <c:pt idx="214">
                  <c:v>373</c:v>
                </c:pt>
                <c:pt idx="215">
                  <c:v>371</c:v>
                </c:pt>
                <c:pt idx="216">
                  <c:v>369</c:v>
                </c:pt>
                <c:pt idx="217">
                  <c:v>367</c:v>
                </c:pt>
                <c:pt idx="218">
                  <c:v>365</c:v>
                </c:pt>
                <c:pt idx="219">
                  <c:v>363</c:v>
                </c:pt>
                <c:pt idx="220">
                  <c:v>361</c:v>
                </c:pt>
                <c:pt idx="221">
                  <c:v>359</c:v>
                </c:pt>
                <c:pt idx="222">
                  <c:v>357</c:v>
                </c:pt>
                <c:pt idx="223">
                  <c:v>355</c:v>
                </c:pt>
                <c:pt idx="224">
                  <c:v>353</c:v>
                </c:pt>
                <c:pt idx="225">
                  <c:v>351</c:v>
                </c:pt>
                <c:pt idx="226">
                  <c:v>349</c:v>
                </c:pt>
                <c:pt idx="227">
                  <c:v>347</c:v>
                </c:pt>
                <c:pt idx="228">
                  <c:v>345</c:v>
                </c:pt>
                <c:pt idx="229">
                  <c:v>343</c:v>
                </c:pt>
                <c:pt idx="230">
                  <c:v>341</c:v>
                </c:pt>
                <c:pt idx="231">
                  <c:v>339</c:v>
                </c:pt>
                <c:pt idx="232">
                  <c:v>337</c:v>
                </c:pt>
                <c:pt idx="233">
                  <c:v>335</c:v>
                </c:pt>
                <c:pt idx="234">
                  <c:v>333</c:v>
                </c:pt>
                <c:pt idx="235">
                  <c:v>331</c:v>
                </c:pt>
                <c:pt idx="236">
                  <c:v>329</c:v>
                </c:pt>
                <c:pt idx="237">
                  <c:v>327</c:v>
                </c:pt>
                <c:pt idx="238">
                  <c:v>325</c:v>
                </c:pt>
                <c:pt idx="239">
                  <c:v>323</c:v>
                </c:pt>
                <c:pt idx="240">
                  <c:v>321</c:v>
                </c:pt>
                <c:pt idx="241">
                  <c:v>319</c:v>
                </c:pt>
                <c:pt idx="242">
                  <c:v>317</c:v>
                </c:pt>
                <c:pt idx="243">
                  <c:v>315</c:v>
                </c:pt>
                <c:pt idx="244">
                  <c:v>313</c:v>
                </c:pt>
                <c:pt idx="245">
                  <c:v>311</c:v>
                </c:pt>
                <c:pt idx="246">
                  <c:v>309</c:v>
                </c:pt>
                <c:pt idx="247">
                  <c:v>307</c:v>
                </c:pt>
                <c:pt idx="248">
                  <c:v>305</c:v>
                </c:pt>
                <c:pt idx="249">
                  <c:v>303</c:v>
                </c:pt>
                <c:pt idx="250">
                  <c:v>301</c:v>
                </c:pt>
                <c:pt idx="251">
                  <c:v>299</c:v>
                </c:pt>
                <c:pt idx="252">
                  <c:v>297</c:v>
                </c:pt>
                <c:pt idx="253">
                  <c:v>295</c:v>
                </c:pt>
                <c:pt idx="254">
                  <c:v>293</c:v>
                </c:pt>
                <c:pt idx="255">
                  <c:v>291</c:v>
                </c:pt>
                <c:pt idx="256">
                  <c:v>289</c:v>
                </c:pt>
                <c:pt idx="257">
                  <c:v>287</c:v>
                </c:pt>
                <c:pt idx="258">
                  <c:v>285</c:v>
                </c:pt>
                <c:pt idx="259">
                  <c:v>283</c:v>
                </c:pt>
                <c:pt idx="260">
                  <c:v>281</c:v>
                </c:pt>
                <c:pt idx="261">
                  <c:v>279</c:v>
                </c:pt>
                <c:pt idx="262">
                  <c:v>277</c:v>
                </c:pt>
                <c:pt idx="263">
                  <c:v>275</c:v>
                </c:pt>
                <c:pt idx="264">
                  <c:v>273</c:v>
                </c:pt>
                <c:pt idx="265">
                  <c:v>271</c:v>
                </c:pt>
                <c:pt idx="266">
                  <c:v>269</c:v>
                </c:pt>
                <c:pt idx="267">
                  <c:v>267</c:v>
                </c:pt>
                <c:pt idx="268">
                  <c:v>265</c:v>
                </c:pt>
                <c:pt idx="269">
                  <c:v>263</c:v>
                </c:pt>
                <c:pt idx="270">
                  <c:v>261</c:v>
                </c:pt>
                <c:pt idx="271">
                  <c:v>259</c:v>
                </c:pt>
                <c:pt idx="272">
                  <c:v>257</c:v>
                </c:pt>
                <c:pt idx="273">
                  <c:v>255</c:v>
                </c:pt>
                <c:pt idx="274">
                  <c:v>253</c:v>
                </c:pt>
                <c:pt idx="275">
                  <c:v>251</c:v>
                </c:pt>
                <c:pt idx="276">
                  <c:v>249</c:v>
                </c:pt>
                <c:pt idx="277">
                  <c:v>247</c:v>
                </c:pt>
                <c:pt idx="278">
                  <c:v>245</c:v>
                </c:pt>
                <c:pt idx="279">
                  <c:v>243</c:v>
                </c:pt>
                <c:pt idx="280">
                  <c:v>241</c:v>
                </c:pt>
                <c:pt idx="281">
                  <c:v>239</c:v>
                </c:pt>
                <c:pt idx="282">
                  <c:v>237</c:v>
                </c:pt>
                <c:pt idx="283">
                  <c:v>235</c:v>
                </c:pt>
                <c:pt idx="284">
                  <c:v>233</c:v>
                </c:pt>
                <c:pt idx="285">
                  <c:v>231</c:v>
                </c:pt>
                <c:pt idx="286">
                  <c:v>229</c:v>
                </c:pt>
                <c:pt idx="287">
                  <c:v>227</c:v>
                </c:pt>
                <c:pt idx="288">
                  <c:v>225</c:v>
                </c:pt>
                <c:pt idx="289">
                  <c:v>223</c:v>
                </c:pt>
                <c:pt idx="290">
                  <c:v>221</c:v>
                </c:pt>
                <c:pt idx="291">
                  <c:v>219</c:v>
                </c:pt>
                <c:pt idx="292">
                  <c:v>217</c:v>
                </c:pt>
                <c:pt idx="293">
                  <c:v>215</c:v>
                </c:pt>
                <c:pt idx="294">
                  <c:v>213</c:v>
                </c:pt>
                <c:pt idx="295">
                  <c:v>211</c:v>
                </c:pt>
                <c:pt idx="296">
                  <c:v>209</c:v>
                </c:pt>
                <c:pt idx="297">
                  <c:v>207</c:v>
                </c:pt>
                <c:pt idx="298">
                  <c:v>205</c:v>
                </c:pt>
                <c:pt idx="299">
                  <c:v>203</c:v>
                </c:pt>
                <c:pt idx="300">
                  <c:v>201</c:v>
                </c:pt>
                <c:pt idx="301">
                  <c:v>199</c:v>
                </c:pt>
                <c:pt idx="302">
                  <c:v>197</c:v>
                </c:pt>
                <c:pt idx="303">
                  <c:v>195</c:v>
                </c:pt>
                <c:pt idx="304">
                  <c:v>193</c:v>
                </c:pt>
                <c:pt idx="305">
                  <c:v>191</c:v>
                </c:pt>
                <c:pt idx="306">
                  <c:v>189</c:v>
                </c:pt>
                <c:pt idx="307">
                  <c:v>187</c:v>
                </c:pt>
                <c:pt idx="308">
                  <c:v>185</c:v>
                </c:pt>
                <c:pt idx="309">
                  <c:v>183</c:v>
                </c:pt>
                <c:pt idx="310">
                  <c:v>181</c:v>
                </c:pt>
                <c:pt idx="311">
                  <c:v>179</c:v>
                </c:pt>
                <c:pt idx="312">
                  <c:v>177</c:v>
                </c:pt>
                <c:pt idx="313">
                  <c:v>175</c:v>
                </c:pt>
                <c:pt idx="314">
                  <c:v>173</c:v>
                </c:pt>
                <c:pt idx="315">
                  <c:v>171</c:v>
                </c:pt>
                <c:pt idx="316">
                  <c:v>169</c:v>
                </c:pt>
                <c:pt idx="317">
                  <c:v>167</c:v>
                </c:pt>
                <c:pt idx="318">
                  <c:v>165</c:v>
                </c:pt>
                <c:pt idx="319">
                  <c:v>163</c:v>
                </c:pt>
                <c:pt idx="320">
                  <c:v>161</c:v>
                </c:pt>
                <c:pt idx="321">
                  <c:v>159</c:v>
                </c:pt>
                <c:pt idx="322">
                  <c:v>157</c:v>
                </c:pt>
                <c:pt idx="323">
                  <c:v>155</c:v>
                </c:pt>
                <c:pt idx="324">
                  <c:v>153</c:v>
                </c:pt>
                <c:pt idx="325">
                  <c:v>151</c:v>
                </c:pt>
                <c:pt idx="326">
                  <c:v>149</c:v>
                </c:pt>
                <c:pt idx="327">
                  <c:v>147</c:v>
                </c:pt>
                <c:pt idx="328">
                  <c:v>145</c:v>
                </c:pt>
                <c:pt idx="329">
                  <c:v>143</c:v>
                </c:pt>
                <c:pt idx="330">
                  <c:v>141</c:v>
                </c:pt>
                <c:pt idx="331">
                  <c:v>139</c:v>
                </c:pt>
                <c:pt idx="332">
                  <c:v>137</c:v>
                </c:pt>
                <c:pt idx="333">
                  <c:v>135</c:v>
                </c:pt>
                <c:pt idx="334">
                  <c:v>133</c:v>
                </c:pt>
                <c:pt idx="335">
                  <c:v>131</c:v>
                </c:pt>
                <c:pt idx="336">
                  <c:v>129</c:v>
                </c:pt>
                <c:pt idx="337">
                  <c:v>127</c:v>
                </c:pt>
                <c:pt idx="338">
                  <c:v>125</c:v>
                </c:pt>
                <c:pt idx="339">
                  <c:v>123</c:v>
                </c:pt>
                <c:pt idx="340">
                  <c:v>121</c:v>
                </c:pt>
                <c:pt idx="341">
                  <c:v>119</c:v>
                </c:pt>
                <c:pt idx="342">
                  <c:v>117</c:v>
                </c:pt>
                <c:pt idx="343">
                  <c:v>115</c:v>
                </c:pt>
                <c:pt idx="344">
                  <c:v>113</c:v>
                </c:pt>
                <c:pt idx="345">
                  <c:v>111</c:v>
                </c:pt>
                <c:pt idx="346">
                  <c:v>109</c:v>
                </c:pt>
                <c:pt idx="347">
                  <c:v>107</c:v>
                </c:pt>
                <c:pt idx="348">
                  <c:v>105</c:v>
                </c:pt>
                <c:pt idx="349">
                  <c:v>103</c:v>
                </c:pt>
                <c:pt idx="350">
                  <c:v>101</c:v>
                </c:pt>
                <c:pt idx="351">
                  <c:v>99</c:v>
                </c:pt>
                <c:pt idx="352">
                  <c:v>97</c:v>
                </c:pt>
                <c:pt idx="353">
                  <c:v>95</c:v>
                </c:pt>
                <c:pt idx="354">
                  <c:v>93</c:v>
                </c:pt>
                <c:pt idx="355">
                  <c:v>91</c:v>
                </c:pt>
                <c:pt idx="356">
                  <c:v>89</c:v>
                </c:pt>
                <c:pt idx="357">
                  <c:v>87</c:v>
                </c:pt>
                <c:pt idx="358">
                  <c:v>85</c:v>
                </c:pt>
                <c:pt idx="359">
                  <c:v>83</c:v>
                </c:pt>
                <c:pt idx="360">
                  <c:v>81</c:v>
                </c:pt>
                <c:pt idx="361">
                  <c:v>79</c:v>
                </c:pt>
                <c:pt idx="362">
                  <c:v>77</c:v>
                </c:pt>
                <c:pt idx="363">
                  <c:v>75</c:v>
                </c:pt>
                <c:pt idx="364">
                  <c:v>73</c:v>
                </c:pt>
                <c:pt idx="365">
                  <c:v>71</c:v>
                </c:pt>
                <c:pt idx="366">
                  <c:v>69</c:v>
                </c:pt>
                <c:pt idx="367">
                  <c:v>67</c:v>
                </c:pt>
                <c:pt idx="368">
                  <c:v>65</c:v>
                </c:pt>
                <c:pt idx="369">
                  <c:v>63</c:v>
                </c:pt>
                <c:pt idx="370">
                  <c:v>61</c:v>
                </c:pt>
                <c:pt idx="371">
                  <c:v>59</c:v>
                </c:pt>
                <c:pt idx="372">
                  <c:v>57</c:v>
                </c:pt>
                <c:pt idx="373">
                  <c:v>55</c:v>
                </c:pt>
                <c:pt idx="374">
                  <c:v>53</c:v>
                </c:pt>
                <c:pt idx="375">
                  <c:v>51</c:v>
                </c:pt>
                <c:pt idx="376">
                  <c:v>49</c:v>
                </c:pt>
                <c:pt idx="377">
                  <c:v>47</c:v>
                </c:pt>
                <c:pt idx="378">
                  <c:v>45</c:v>
                </c:pt>
                <c:pt idx="379">
                  <c:v>43</c:v>
                </c:pt>
                <c:pt idx="380">
                  <c:v>41</c:v>
                </c:pt>
                <c:pt idx="381">
                  <c:v>39</c:v>
                </c:pt>
                <c:pt idx="382">
                  <c:v>37</c:v>
                </c:pt>
                <c:pt idx="383">
                  <c:v>35</c:v>
                </c:pt>
                <c:pt idx="384">
                  <c:v>33</c:v>
                </c:pt>
                <c:pt idx="385">
                  <c:v>31</c:v>
                </c:pt>
                <c:pt idx="386">
                  <c:v>29</c:v>
                </c:pt>
                <c:pt idx="387">
                  <c:v>27</c:v>
                </c:pt>
                <c:pt idx="388">
                  <c:v>25</c:v>
                </c:pt>
                <c:pt idx="389">
                  <c:v>23</c:v>
                </c:pt>
                <c:pt idx="390">
                  <c:v>21</c:v>
                </c:pt>
                <c:pt idx="391">
                  <c:v>19</c:v>
                </c:pt>
                <c:pt idx="392">
                  <c:v>17</c:v>
                </c:pt>
                <c:pt idx="393">
                  <c:v>15</c:v>
                </c:pt>
                <c:pt idx="394">
                  <c:v>13</c:v>
                </c:pt>
                <c:pt idx="395">
                  <c:v>11</c:v>
                </c:pt>
                <c:pt idx="396">
                  <c:v>9</c:v>
                </c:pt>
                <c:pt idx="397">
                  <c:v>7</c:v>
                </c:pt>
                <c:pt idx="398">
                  <c:v>5</c:v>
                </c:pt>
                <c:pt idx="399">
                  <c:v>3</c:v>
                </c:pt>
              </c:numCache>
            </c:numRef>
          </c:xVal>
          <c:yVal>
            <c:numRef>
              <c:f>'ex10'!$AG$32:$AG$431</c:f>
              <c:numCache>
                <c:formatCode>General</c:formatCode>
                <c:ptCount val="400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0.4975</c:v>
                </c:pt>
                <c:pt idx="10">
                  <c:v>0.5</c:v>
                </c:pt>
                <c:pt idx="11">
                  <c:v>0.495</c:v>
                </c:pt>
                <c:pt idx="12">
                  <c:v>0.4975</c:v>
                </c:pt>
                <c:pt idx="13">
                  <c:v>0.49</c:v>
                </c:pt>
                <c:pt idx="14">
                  <c:v>0.48499999999999999</c:v>
                </c:pt>
                <c:pt idx="15">
                  <c:v>0.48749999999999999</c:v>
                </c:pt>
                <c:pt idx="16">
                  <c:v>0.47749999999999998</c:v>
                </c:pt>
                <c:pt idx="17">
                  <c:v>0.48249999999999998</c:v>
                </c:pt>
                <c:pt idx="18">
                  <c:v>0.47249999999999998</c:v>
                </c:pt>
                <c:pt idx="19">
                  <c:v>0.46750000000000003</c:v>
                </c:pt>
                <c:pt idx="20">
                  <c:v>0.46</c:v>
                </c:pt>
                <c:pt idx="21">
                  <c:v>0.47</c:v>
                </c:pt>
                <c:pt idx="22">
                  <c:v>0.44750000000000001</c:v>
                </c:pt>
                <c:pt idx="23">
                  <c:v>0.46750000000000003</c:v>
                </c:pt>
                <c:pt idx="24">
                  <c:v>0.44</c:v>
                </c:pt>
                <c:pt idx="25">
                  <c:v>0.435</c:v>
                </c:pt>
                <c:pt idx="26">
                  <c:v>0.40250000000000002</c:v>
                </c:pt>
                <c:pt idx="27">
                  <c:v>0.4425</c:v>
                </c:pt>
                <c:pt idx="28">
                  <c:v>0.39</c:v>
                </c:pt>
                <c:pt idx="29">
                  <c:v>0.40749999999999997</c:v>
                </c:pt>
                <c:pt idx="30">
                  <c:v>0.4</c:v>
                </c:pt>
                <c:pt idx="31">
                  <c:v>0.39500000000000002</c:v>
                </c:pt>
                <c:pt idx="32">
                  <c:v>0.38</c:v>
                </c:pt>
                <c:pt idx="33">
                  <c:v>0.34</c:v>
                </c:pt>
                <c:pt idx="34">
                  <c:v>0.39500000000000002</c:v>
                </c:pt>
                <c:pt idx="35">
                  <c:v>0.38500000000000001</c:v>
                </c:pt>
                <c:pt idx="36">
                  <c:v>0.34</c:v>
                </c:pt>
                <c:pt idx="37">
                  <c:v>0.35499999999999998</c:v>
                </c:pt>
                <c:pt idx="38">
                  <c:v>0.36</c:v>
                </c:pt>
                <c:pt idx="39">
                  <c:v>0.34250000000000003</c:v>
                </c:pt>
                <c:pt idx="40">
                  <c:v>0.35749999999999998</c:v>
                </c:pt>
                <c:pt idx="41">
                  <c:v>0.35499999999999998</c:v>
                </c:pt>
                <c:pt idx="42">
                  <c:v>0.30249999999999999</c:v>
                </c:pt>
                <c:pt idx="43">
                  <c:v>0.28499999999999998</c:v>
                </c:pt>
                <c:pt idx="44">
                  <c:v>0.33750000000000002</c:v>
                </c:pt>
                <c:pt idx="45">
                  <c:v>0.32500000000000001</c:v>
                </c:pt>
                <c:pt idx="46">
                  <c:v>0.28499999999999998</c:v>
                </c:pt>
                <c:pt idx="47">
                  <c:v>0.3</c:v>
                </c:pt>
                <c:pt idx="48">
                  <c:v>0.32</c:v>
                </c:pt>
                <c:pt idx="49">
                  <c:v>0.26500000000000001</c:v>
                </c:pt>
                <c:pt idx="50">
                  <c:v>0.255</c:v>
                </c:pt>
                <c:pt idx="51">
                  <c:v>0.27250000000000002</c:v>
                </c:pt>
                <c:pt idx="52">
                  <c:v>0.28749999999999998</c:v>
                </c:pt>
                <c:pt idx="53">
                  <c:v>0.2525</c:v>
                </c:pt>
                <c:pt idx="54">
                  <c:v>0.29749999999999999</c:v>
                </c:pt>
                <c:pt idx="55">
                  <c:v>0.255</c:v>
                </c:pt>
                <c:pt idx="56">
                  <c:v>0.25750000000000001</c:v>
                </c:pt>
                <c:pt idx="57">
                  <c:v>0.27500000000000002</c:v>
                </c:pt>
                <c:pt idx="58">
                  <c:v>0.23499999999999999</c:v>
                </c:pt>
                <c:pt idx="59">
                  <c:v>0.27</c:v>
                </c:pt>
                <c:pt idx="60">
                  <c:v>0.25750000000000001</c:v>
                </c:pt>
                <c:pt idx="61">
                  <c:v>0.2525</c:v>
                </c:pt>
                <c:pt idx="62">
                  <c:v>0.23499999999999999</c:v>
                </c:pt>
                <c:pt idx="63">
                  <c:v>0.26750000000000002</c:v>
                </c:pt>
                <c:pt idx="64">
                  <c:v>0.22500000000000001</c:v>
                </c:pt>
                <c:pt idx="65">
                  <c:v>0.25750000000000001</c:v>
                </c:pt>
                <c:pt idx="66">
                  <c:v>0.215</c:v>
                </c:pt>
                <c:pt idx="67">
                  <c:v>0.1925</c:v>
                </c:pt>
                <c:pt idx="68">
                  <c:v>0.20250000000000001</c:v>
                </c:pt>
                <c:pt idx="69">
                  <c:v>0.22500000000000001</c:v>
                </c:pt>
                <c:pt idx="70">
                  <c:v>0.23250000000000001</c:v>
                </c:pt>
                <c:pt idx="71">
                  <c:v>0.1875</c:v>
                </c:pt>
                <c:pt idx="72">
                  <c:v>0.22500000000000001</c:v>
                </c:pt>
                <c:pt idx="73">
                  <c:v>0.19</c:v>
                </c:pt>
                <c:pt idx="74">
                  <c:v>0.21249999999999999</c:v>
                </c:pt>
                <c:pt idx="75">
                  <c:v>0.20749999999999999</c:v>
                </c:pt>
                <c:pt idx="76">
                  <c:v>0.1925</c:v>
                </c:pt>
                <c:pt idx="77">
                  <c:v>0.1825</c:v>
                </c:pt>
                <c:pt idx="78">
                  <c:v>0.22</c:v>
                </c:pt>
                <c:pt idx="79">
                  <c:v>0.2225</c:v>
                </c:pt>
                <c:pt idx="80">
                  <c:v>0.1825</c:v>
                </c:pt>
                <c:pt idx="81">
                  <c:v>0.215</c:v>
                </c:pt>
                <c:pt idx="82">
                  <c:v>0.17749999999999999</c:v>
                </c:pt>
                <c:pt idx="83">
                  <c:v>0.17</c:v>
                </c:pt>
                <c:pt idx="84">
                  <c:v>0.17499999999999999</c:v>
                </c:pt>
                <c:pt idx="85">
                  <c:v>0.16250000000000001</c:v>
                </c:pt>
                <c:pt idx="86">
                  <c:v>0.17499999999999999</c:v>
                </c:pt>
                <c:pt idx="87">
                  <c:v>0.12</c:v>
                </c:pt>
                <c:pt idx="88">
                  <c:v>0.2</c:v>
                </c:pt>
                <c:pt idx="89">
                  <c:v>0.21249999999999999</c:v>
                </c:pt>
                <c:pt idx="90">
                  <c:v>0.22750000000000001</c:v>
                </c:pt>
                <c:pt idx="91">
                  <c:v>0.19</c:v>
                </c:pt>
                <c:pt idx="92">
                  <c:v>0.19500000000000001</c:v>
                </c:pt>
                <c:pt idx="93">
                  <c:v>0.13500000000000001</c:v>
                </c:pt>
                <c:pt idx="94">
                  <c:v>0.1525</c:v>
                </c:pt>
                <c:pt idx="95">
                  <c:v>0.1575</c:v>
                </c:pt>
                <c:pt idx="96">
                  <c:v>0.14499999999999999</c:v>
                </c:pt>
                <c:pt idx="97">
                  <c:v>0.16500000000000001</c:v>
                </c:pt>
                <c:pt idx="98">
                  <c:v>0.185</c:v>
                </c:pt>
                <c:pt idx="99">
                  <c:v>0.1225</c:v>
                </c:pt>
                <c:pt idx="100">
                  <c:v>0.16</c:v>
                </c:pt>
                <c:pt idx="101">
                  <c:v>0.16</c:v>
                </c:pt>
                <c:pt idx="102">
                  <c:v>0.17249999999999999</c:v>
                </c:pt>
                <c:pt idx="103">
                  <c:v>0.16250000000000001</c:v>
                </c:pt>
                <c:pt idx="104">
                  <c:v>0.13250000000000001</c:v>
                </c:pt>
                <c:pt idx="105">
                  <c:v>0.1125</c:v>
                </c:pt>
                <c:pt idx="106">
                  <c:v>0.1575</c:v>
                </c:pt>
                <c:pt idx="107">
                  <c:v>0.16750000000000001</c:v>
                </c:pt>
                <c:pt idx="108">
                  <c:v>0.1225</c:v>
                </c:pt>
                <c:pt idx="109">
                  <c:v>0.16250000000000001</c:v>
                </c:pt>
                <c:pt idx="110">
                  <c:v>0.16</c:v>
                </c:pt>
                <c:pt idx="111">
                  <c:v>0.155</c:v>
                </c:pt>
                <c:pt idx="112">
                  <c:v>0.125</c:v>
                </c:pt>
                <c:pt idx="113">
                  <c:v>0.14000000000000001</c:v>
                </c:pt>
                <c:pt idx="114">
                  <c:v>0.14499999999999999</c:v>
                </c:pt>
                <c:pt idx="115">
                  <c:v>0.115</c:v>
                </c:pt>
                <c:pt idx="116">
                  <c:v>0.125</c:v>
                </c:pt>
                <c:pt idx="117">
                  <c:v>0.1575</c:v>
                </c:pt>
                <c:pt idx="118">
                  <c:v>0.16250000000000001</c:v>
                </c:pt>
                <c:pt idx="119">
                  <c:v>8.2500000000000004E-2</c:v>
                </c:pt>
                <c:pt idx="120">
                  <c:v>0.1225</c:v>
                </c:pt>
                <c:pt idx="121">
                  <c:v>0.14000000000000001</c:v>
                </c:pt>
                <c:pt idx="122">
                  <c:v>0.15</c:v>
                </c:pt>
                <c:pt idx="123">
                  <c:v>0.1125</c:v>
                </c:pt>
                <c:pt idx="124">
                  <c:v>0.1275</c:v>
                </c:pt>
                <c:pt idx="125">
                  <c:v>0.14249999999999999</c:v>
                </c:pt>
                <c:pt idx="126">
                  <c:v>0.12</c:v>
                </c:pt>
                <c:pt idx="127">
                  <c:v>0.1525</c:v>
                </c:pt>
                <c:pt idx="128">
                  <c:v>0.14000000000000001</c:v>
                </c:pt>
                <c:pt idx="129">
                  <c:v>0.1225</c:v>
                </c:pt>
                <c:pt idx="130">
                  <c:v>9.7500000000000003E-2</c:v>
                </c:pt>
                <c:pt idx="131">
                  <c:v>0.12</c:v>
                </c:pt>
                <c:pt idx="132">
                  <c:v>0.12</c:v>
                </c:pt>
                <c:pt idx="133">
                  <c:v>0.11</c:v>
                </c:pt>
                <c:pt idx="134">
                  <c:v>0.1125</c:v>
                </c:pt>
                <c:pt idx="135">
                  <c:v>0.11749999999999999</c:v>
                </c:pt>
                <c:pt idx="136">
                  <c:v>0.155</c:v>
                </c:pt>
                <c:pt idx="137">
                  <c:v>0.13500000000000001</c:v>
                </c:pt>
                <c:pt idx="138">
                  <c:v>0.105</c:v>
                </c:pt>
                <c:pt idx="139">
                  <c:v>0.09</c:v>
                </c:pt>
                <c:pt idx="140">
                  <c:v>0.14499999999999999</c:v>
                </c:pt>
                <c:pt idx="141">
                  <c:v>7.0000000000000007E-2</c:v>
                </c:pt>
                <c:pt idx="142">
                  <c:v>0.13</c:v>
                </c:pt>
                <c:pt idx="143">
                  <c:v>0.155</c:v>
                </c:pt>
                <c:pt idx="144">
                  <c:v>0.15</c:v>
                </c:pt>
                <c:pt idx="145">
                  <c:v>0.125</c:v>
                </c:pt>
                <c:pt idx="146">
                  <c:v>0.1</c:v>
                </c:pt>
                <c:pt idx="147">
                  <c:v>0.16750000000000001</c:v>
                </c:pt>
                <c:pt idx="148">
                  <c:v>8.7499999999999994E-2</c:v>
                </c:pt>
                <c:pt idx="149">
                  <c:v>7.4999999999999997E-2</c:v>
                </c:pt>
                <c:pt idx="150">
                  <c:v>0.12</c:v>
                </c:pt>
                <c:pt idx="151">
                  <c:v>0.16</c:v>
                </c:pt>
                <c:pt idx="152">
                  <c:v>0.1225</c:v>
                </c:pt>
                <c:pt idx="153">
                  <c:v>0.1125</c:v>
                </c:pt>
                <c:pt idx="154">
                  <c:v>0.10249999999999999</c:v>
                </c:pt>
                <c:pt idx="155">
                  <c:v>0.05</c:v>
                </c:pt>
                <c:pt idx="156">
                  <c:v>0.105</c:v>
                </c:pt>
                <c:pt idx="157">
                  <c:v>0.1275</c:v>
                </c:pt>
                <c:pt idx="158">
                  <c:v>6.5000000000000002E-2</c:v>
                </c:pt>
                <c:pt idx="159">
                  <c:v>0.11749999999999999</c:v>
                </c:pt>
                <c:pt idx="160">
                  <c:v>9.5000000000000001E-2</c:v>
                </c:pt>
                <c:pt idx="161">
                  <c:v>3.2500000000000001E-2</c:v>
                </c:pt>
                <c:pt idx="162">
                  <c:v>0.11</c:v>
                </c:pt>
                <c:pt idx="163">
                  <c:v>5.7500000000000002E-2</c:v>
                </c:pt>
                <c:pt idx="164">
                  <c:v>0.1225</c:v>
                </c:pt>
                <c:pt idx="165">
                  <c:v>8.7499999999999994E-2</c:v>
                </c:pt>
                <c:pt idx="166">
                  <c:v>0.1075</c:v>
                </c:pt>
                <c:pt idx="167">
                  <c:v>0.115</c:v>
                </c:pt>
                <c:pt idx="168">
                  <c:v>6.25E-2</c:v>
                </c:pt>
                <c:pt idx="169">
                  <c:v>0.13500000000000001</c:v>
                </c:pt>
                <c:pt idx="170">
                  <c:v>0.105</c:v>
                </c:pt>
                <c:pt idx="171">
                  <c:v>0.10249999999999999</c:v>
                </c:pt>
                <c:pt idx="172">
                  <c:v>6.5000000000000002E-2</c:v>
                </c:pt>
                <c:pt idx="173">
                  <c:v>7.4999999999999997E-2</c:v>
                </c:pt>
                <c:pt idx="174">
                  <c:v>6.5000000000000002E-2</c:v>
                </c:pt>
                <c:pt idx="175">
                  <c:v>6.5000000000000002E-2</c:v>
                </c:pt>
                <c:pt idx="176">
                  <c:v>0.10249999999999999</c:v>
                </c:pt>
                <c:pt idx="177">
                  <c:v>0.10249999999999999</c:v>
                </c:pt>
                <c:pt idx="178">
                  <c:v>5.7500000000000002E-2</c:v>
                </c:pt>
                <c:pt idx="179">
                  <c:v>9.7500000000000003E-2</c:v>
                </c:pt>
                <c:pt idx="180">
                  <c:v>0.13250000000000001</c:v>
                </c:pt>
                <c:pt idx="181">
                  <c:v>0.06</c:v>
                </c:pt>
                <c:pt idx="182">
                  <c:v>0.105</c:v>
                </c:pt>
                <c:pt idx="183">
                  <c:v>7.4999999999999997E-2</c:v>
                </c:pt>
                <c:pt idx="184">
                  <c:v>7.0000000000000007E-2</c:v>
                </c:pt>
                <c:pt idx="185">
                  <c:v>8.5000000000000006E-2</c:v>
                </c:pt>
                <c:pt idx="186">
                  <c:v>0.10249999999999999</c:v>
                </c:pt>
                <c:pt idx="187">
                  <c:v>0.12</c:v>
                </c:pt>
                <c:pt idx="188">
                  <c:v>0.06</c:v>
                </c:pt>
                <c:pt idx="189">
                  <c:v>9.7500000000000003E-2</c:v>
                </c:pt>
                <c:pt idx="190">
                  <c:v>8.7499999999999994E-2</c:v>
                </c:pt>
                <c:pt idx="191">
                  <c:v>8.7499999999999994E-2</c:v>
                </c:pt>
                <c:pt idx="192">
                  <c:v>0.1075</c:v>
                </c:pt>
                <c:pt idx="193">
                  <c:v>6.5000000000000002E-2</c:v>
                </c:pt>
                <c:pt idx="194">
                  <c:v>0.1225</c:v>
                </c:pt>
                <c:pt idx="195">
                  <c:v>4.7500000000000001E-2</c:v>
                </c:pt>
                <c:pt idx="196">
                  <c:v>0.1125</c:v>
                </c:pt>
                <c:pt idx="197">
                  <c:v>9.7500000000000003E-2</c:v>
                </c:pt>
                <c:pt idx="198">
                  <c:v>7.4999999999999997E-2</c:v>
                </c:pt>
                <c:pt idx="199">
                  <c:v>0.06</c:v>
                </c:pt>
                <c:pt idx="200">
                  <c:v>5.5E-2</c:v>
                </c:pt>
                <c:pt idx="201">
                  <c:v>0.08</c:v>
                </c:pt>
                <c:pt idx="202">
                  <c:v>0.1</c:v>
                </c:pt>
                <c:pt idx="203">
                  <c:v>0.115</c:v>
                </c:pt>
                <c:pt idx="204">
                  <c:v>7.2499999999999995E-2</c:v>
                </c:pt>
                <c:pt idx="205">
                  <c:v>6.25E-2</c:v>
                </c:pt>
                <c:pt idx="206">
                  <c:v>0.05</c:v>
                </c:pt>
                <c:pt idx="207">
                  <c:v>0.10249999999999999</c:v>
                </c:pt>
                <c:pt idx="208">
                  <c:v>0.08</c:v>
                </c:pt>
                <c:pt idx="209">
                  <c:v>0.1</c:v>
                </c:pt>
                <c:pt idx="210">
                  <c:v>7.7499999999999999E-2</c:v>
                </c:pt>
                <c:pt idx="211">
                  <c:v>9.2499999999999999E-2</c:v>
                </c:pt>
                <c:pt idx="212">
                  <c:v>0.1275</c:v>
                </c:pt>
                <c:pt idx="213">
                  <c:v>0.09</c:v>
                </c:pt>
                <c:pt idx="214">
                  <c:v>0.13</c:v>
                </c:pt>
                <c:pt idx="215">
                  <c:v>0.09</c:v>
                </c:pt>
                <c:pt idx="216">
                  <c:v>7.4999999999999997E-2</c:v>
                </c:pt>
                <c:pt idx="217">
                  <c:v>6.25E-2</c:v>
                </c:pt>
                <c:pt idx="218">
                  <c:v>0.11749999999999999</c:v>
                </c:pt>
                <c:pt idx="219">
                  <c:v>0.10249999999999999</c:v>
                </c:pt>
                <c:pt idx="220">
                  <c:v>6.7500000000000004E-2</c:v>
                </c:pt>
                <c:pt idx="221">
                  <c:v>8.5000000000000006E-2</c:v>
                </c:pt>
                <c:pt idx="222">
                  <c:v>0.14249999999999999</c:v>
                </c:pt>
                <c:pt idx="223">
                  <c:v>0.06</c:v>
                </c:pt>
                <c:pt idx="224">
                  <c:v>9.2499999999999999E-2</c:v>
                </c:pt>
                <c:pt idx="225">
                  <c:v>8.5000000000000006E-2</c:v>
                </c:pt>
                <c:pt idx="226">
                  <c:v>0.1075</c:v>
                </c:pt>
                <c:pt idx="227">
                  <c:v>8.2500000000000004E-2</c:v>
                </c:pt>
                <c:pt idx="228">
                  <c:v>7.0000000000000007E-2</c:v>
                </c:pt>
                <c:pt idx="229">
                  <c:v>0.08</c:v>
                </c:pt>
                <c:pt idx="230">
                  <c:v>0.1125</c:v>
                </c:pt>
                <c:pt idx="231">
                  <c:v>0.125</c:v>
                </c:pt>
                <c:pt idx="232">
                  <c:v>0.1125</c:v>
                </c:pt>
                <c:pt idx="233">
                  <c:v>0.12</c:v>
                </c:pt>
                <c:pt idx="234">
                  <c:v>0.09</c:v>
                </c:pt>
                <c:pt idx="235">
                  <c:v>9.2499999999999999E-2</c:v>
                </c:pt>
                <c:pt idx="236">
                  <c:v>0.1125</c:v>
                </c:pt>
                <c:pt idx="237">
                  <c:v>0.13500000000000001</c:v>
                </c:pt>
                <c:pt idx="238">
                  <c:v>0.13</c:v>
                </c:pt>
                <c:pt idx="239">
                  <c:v>0.13</c:v>
                </c:pt>
                <c:pt idx="240">
                  <c:v>0.11</c:v>
                </c:pt>
                <c:pt idx="241">
                  <c:v>0.1225</c:v>
                </c:pt>
                <c:pt idx="242">
                  <c:v>4.7500000000000001E-2</c:v>
                </c:pt>
                <c:pt idx="243">
                  <c:v>0.105</c:v>
                </c:pt>
                <c:pt idx="244">
                  <c:v>0.13250000000000001</c:v>
                </c:pt>
                <c:pt idx="245">
                  <c:v>7.4999999999999997E-2</c:v>
                </c:pt>
                <c:pt idx="246">
                  <c:v>0.13500000000000001</c:v>
                </c:pt>
                <c:pt idx="247">
                  <c:v>0.105</c:v>
                </c:pt>
                <c:pt idx="248">
                  <c:v>0.1125</c:v>
                </c:pt>
                <c:pt idx="249">
                  <c:v>0.12</c:v>
                </c:pt>
                <c:pt idx="250">
                  <c:v>0.13250000000000001</c:v>
                </c:pt>
                <c:pt idx="251">
                  <c:v>0.14249999999999999</c:v>
                </c:pt>
                <c:pt idx="252">
                  <c:v>0.115</c:v>
                </c:pt>
                <c:pt idx="253">
                  <c:v>0.1275</c:v>
                </c:pt>
                <c:pt idx="254">
                  <c:v>0.10249999999999999</c:v>
                </c:pt>
                <c:pt idx="255">
                  <c:v>8.2500000000000004E-2</c:v>
                </c:pt>
                <c:pt idx="256">
                  <c:v>0.115</c:v>
                </c:pt>
                <c:pt idx="257">
                  <c:v>0.15</c:v>
                </c:pt>
                <c:pt idx="258">
                  <c:v>0.14000000000000001</c:v>
                </c:pt>
                <c:pt idx="259">
                  <c:v>0.125</c:v>
                </c:pt>
                <c:pt idx="260">
                  <c:v>0.15</c:v>
                </c:pt>
                <c:pt idx="261">
                  <c:v>0.14000000000000001</c:v>
                </c:pt>
                <c:pt idx="262">
                  <c:v>0.13500000000000001</c:v>
                </c:pt>
                <c:pt idx="263">
                  <c:v>0.1125</c:v>
                </c:pt>
                <c:pt idx="264">
                  <c:v>8.5000000000000006E-2</c:v>
                </c:pt>
                <c:pt idx="265">
                  <c:v>0.14749999999999999</c:v>
                </c:pt>
                <c:pt idx="266">
                  <c:v>0.11749999999999999</c:v>
                </c:pt>
                <c:pt idx="267">
                  <c:v>0.1225</c:v>
                </c:pt>
                <c:pt idx="268">
                  <c:v>0.11749999999999999</c:v>
                </c:pt>
                <c:pt idx="269">
                  <c:v>0.14000000000000001</c:v>
                </c:pt>
                <c:pt idx="270">
                  <c:v>0.125</c:v>
                </c:pt>
                <c:pt idx="271">
                  <c:v>0.1125</c:v>
                </c:pt>
                <c:pt idx="272">
                  <c:v>9.5000000000000001E-2</c:v>
                </c:pt>
                <c:pt idx="273">
                  <c:v>0.14000000000000001</c:v>
                </c:pt>
                <c:pt idx="274">
                  <c:v>8.2500000000000004E-2</c:v>
                </c:pt>
                <c:pt idx="275">
                  <c:v>0.125</c:v>
                </c:pt>
                <c:pt idx="276">
                  <c:v>0.09</c:v>
                </c:pt>
                <c:pt idx="277">
                  <c:v>0.11</c:v>
                </c:pt>
                <c:pt idx="278">
                  <c:v>0.155</c:v>
                </c:pt>
                <c:pt idx="279">
                  <c:v>0.16</c:v>
                </c:pt>
                <c:pt idx="280">
                  <c:v>0.17249999999999999</c:v>
                </c:pt>
                <c:pt idx="281">
                  <c:v>0.17</c:v>
                </c:pt>
                <c:pt idx="282">
                  <c:v>0.1225</c:v>
                </c:pt>
                <c:pt idx="283">
                  <c:v>0.11</c:v>
                </c:pt>
                <c:pt idx="284">
                  <c:v>0.10249999999999999</c:v>
                </c:pt>
                <c:pt idx="285">
                  <c:v>7.7499999999999999E-2</c:v>
                </c:pt>
                <c:pt idx="286">
                  <c:v>0.155</c:v>
                </c:pt>
                <c:pt idx="287">
                  <c:v>0.125</c:v>
                </c:pt>
                <c:pt idx="288">
                  <c:v>0.15</c:v>
                </c:pt>
                <c:pt idx="289">
                  <c:v>0.14249999999999999</c:v>
                </c:pt>
                <c:pt idx="290">
                  <c:v>0.10249999999999999</c:v>
                </c:pt>
                <c:pt idx="291">
                  <c:v>0.1575</c:v>
                </c:pt>
                <c:pt idx="292">
                  <c:v>0.115</c:v>
                </c:pt>
                <c:pt idx="293">
                  <c:v>9.7500000000000003E-2</c:v>
                </c:pt>
                <c:pt idx="294">
                  <c:v>0.155</c:v>
                </c:pt>
                <c:pt idx="295">
                  <c:v>0.13</c:v>
                </c:pt>
                <c:pt idx="296">
                  <c:v>0.16750000000000001</c:v>
                </c:pt>
                <c:pt idx="297">
                  <c:v>0.14249999999999999</c:v>
                </c:pt>
                <c:pt idx="298">
                  <c:v>0.16250000000000001</c:v>
                </c:pt>
                <c:pt idx="299">
                  <c:v>0.18</c:v>
                </c:pt>
                <c:pt idx="300">
                  <c:v>0.1575</c:v>
                </c:pt>
                <c:pt idx="301">
                  <c:v>0.16</c:v>
                </c:pt>
                <c:pt idx="302">
                  <c:v>0.13750000000000001</c:v>
                </c:pt>
                <c:pt idx="303">
                  <c:v>0.17499999999999999</c:v>
                </c:pt>
                <c:pt idx="304">
                  <c:v>0.18</c:v>
                </c:pt>
                <c:pt idx="305">
                  <c:v>0.1525</c:v>
                </c:pt>
                <c:pt idx="306">
                  <c:v>0.16500000000000001</c:v>
                </c:pt>
                <c:pt idx="307">
                  <c:v>0.13</c:v>
                </c:pt>
                <c:pt idx="308">
                  <c:v>0.15</c:v>
                </c:pt>
                <c:pt idx="309">
                  <c:v>0.17249999999999999</c:v>
                </c:pt>
                <c:pt idx="310">
                  <c:v>0.19750000000000001</c:v>
                </c:pt>
                <c:pt idx="311">
                  <c:v>0.15</c:v>
                </c:pt>
                <c:pt idx="312">
                  <c:v>0.20499999999999999</c:v>
                </c:pt>
                <c:pt idx="313">
                  <c:v>0.2</c:v>
                </c:pt>
                <c:pt idx="314">
                  <c:v>0.155</c:v>
                </c:pt>
                <c:pt idx="315">
                  <c:v>0.2</c:v>
                </c:pt>
                <c:pt idx="316">
                  <c:v>0.215</c:v>
                </c:pt>
                <c:pt idx="317">
                  <c:v>0.1925</c:v>
                </c:pt>
                <c:pt idx="318">
                  <c:v>0.19750000000000001</c:v>
                </c:pt>
                <c:pt idx="319">
                  <c:v>0.2225</c:v>
                </c:pt>
                <c:pt idx="320">
                  <c:v>0.16250000000000001</c:v>
                </c:pt>
                <c:pt idx="321">
                  <c:v>0.23749999999999999</c:v>
                </c:pt>
                <c:pt idx="322">
                  <c:v>0.2225</c:v>
                </c:pt>
                <c:pt idx="323">
                  <c:v>0.20749999999999999</c:v>
                </c:pt>
                <c:pt idx="324">
                  <c:v>0.19500000000000001</c:v>
                </c:pt>
                <c:pt idx="325">
                  <c:v>0.20499999999999999</c:v>
                </c:pt>
                <c:pt idx="326">
                  <c:v>0.27</c:v>
                </c:pt>
                <c:pt idx="327">
                  <c:v>0.20749999999999999</c:v>
                </c:pt>
                <c:pt idx="328">
                  <c:v>0.245</c:v>
                </c:pt>
                <c:pt idx="329">
                  <c:v>0.23499999999999999</c:v>
                </c:pt>
                <c:pt idx="330">
                  <c:v>0.23250000000000001</c:v>
                </c:pt>
                <c:pt idx="331">
                  <c:v>0.22750000000000001</c:v>
                </c:pt>
                <c:pt idx="332">
                  <c:v>0.19</c:v>
                </c:pt>
                <c:pt idx="333">
                  <c:v>0.2475</c:v>
                </c:pt>
                <c:pt idx="334">
                  <c:v>0.19500000000000001</c:v>
                </c:pt>
                <c:pt idx="335">
                  <c:v>0.2225</c:v>
                </c:pt>
                <c:pt idx="336">
                  <c:v>0.22500000000000001</c:v>
                </c:pt>
                <c:pt idx="337">
                  <c:v>0.2475</c:v>
                </c:pt>
                <c:pt idx="338">
                  <c:v>0.25</c:v>
                </c:pt>
                <c:pt idx="339">
                  <c:v>0.255</c:v>
                </c:pt>
                <c:pt idx="340">
                  <c:v>0.26250000000000001</c:v>
                </c:pt>
                <c:pt idx="341">
                  <c:v>0.23</c:v>
                </c:pt>
                <c:pt idx="342">
                  <c:v>0.27750000000000002</c:v>
                </c:pt>
                <c:pt idx="343">
                  <c:v>0.26750000000000002</c:v>
                </c:pt>
                <c:pt idx="344">
                  <c:v>0.22500000000000001</c:v>
                </c:pt>
                <c:pt idx="345">
                  <c:v>0.255</c:v>
                </c:pt>
                <c:pt idx="346">
                  <c:v>0.26500000000000001</c:v>
                </c:pt>
                <c:pt idx="347">
                  <c:v>0.27500000000000002</c:v>
                </c:pt>
                <c:pt idx="348">
                  <c:v>0.27250000000000002</c:v>
                </c:pt>
                <c:pt idx="349">
                  <c:v>0.28999999999999998</c:v>
                </c:pt>
                <c:pt idx="350">
                  <c:v>0.27500000000000002</c:v>
                </c:pt>
                <c:pt idx="351">
                  <c:v>0.33500000000000002</c:v>
                </c:pt>
                <c:pt idx="352">
                  <c:v>0.28749999999999998</c:v>
                </c:pt>
                <c:pt idx="353">
                  <c:v>0.32500000000000001</c:v>
                </c:pt>
                <c:pt idx="354">
                  <c:v>0.30249999999999999</c:v>
                </c:pt>
                <c:pt idx="355">
                  <c:v>0.34</c:v>
                </c:pt>
                <c:pt idx="356">
                  <c:v>0.32</c:v>
                </c:pt>
                <c:pt idx="357">
                  <c:v>0.33</c:v>
                </c:pt>
                <c:pt idx="358">
                  <c:v>0.315</c:v>
                </c:pt>
                <c:pt idx="359">
                  <c:v>0.33</c:v>
                </c:pt>
                <c:pt idx="360">
                  <c:v>0.35249999999999998</c:v>
                </c:pt>
                <c:pt idx="361">
                  <c:v>0.375</c:v>
                </c:pt>
                <c:pt idx="362">
                  <c:v>0.38500000000000001</c:v>
                </c:pt>
                <c:pt idx="363">
                  <c:v>0.39</c:v>
                </c:pt>
                <c:pt idx="364">
                  <c:v>0.37</c:v>
                </c:pt>
                <c:pt idx="365">
                  <c:v>0.36749999999999999</c:v>
                </c:pt>
                <c:pt idx="366">
                  <c:v>0.38</c:v>
                </c:pt>
                <c:pt idx="367">
                  <c:v>0.36</c:v>
                </c:pt>
                <c:pt idx="368">
                  <c:v>0.40250000000000002</c:v>
                </c:pt>
                <c:pt idx="369">
                  <c:v>0.38750000000000001</c:v>
                </c:pt>
                <c:pt idx="370">
                  <c:v>0.41749999999999998</c:v>
                </c:pt>
                <c:pt idx="371">
                  <c:v>0.41749999999999998</c:v>
                </c:pt>
                <c:pt idx="372">
                  <c:v>0.41</c:v>
                </c:pt>
                <c:pt idx="373">
                  <c:v>0.41749999999999998</c:v>
                </c:pt>
                <c:pt idx="374">
                  <c:v>0.41249999999999998</c:v>
                </c:pt>
                <c:pt idx="375">
                  <c:v>0.42749999999999999</c:v>
                </c:pt>
                <c:pt idx="376">
                  <c:v>0.44500000000000001</c:v>
                </c:pt>
                <c:pt idx="377">
                  <c:v>0.42499999999999999</c:v>
                </c:pt>
                <c:pt idx="378">
                  <c:v>0.45250000000000001</c:v>
                </c:pt>
                <c:pt idx="379">
                  <c:v>0.46</c:v>
                </c:pt>
                <c:pt idx="380">
                  <c:v>0.46500000000000002</c:v>
                </c:pt>
                <c:pt idx="381">
                  <c:v>0.45750000000000002</c:v>
                </c:pt>
                <c:pt idx="382">
                  <c:v>0.47749999999999998</c:v>
                </c:pt>
                <c:pt idx="383">
                  <c:v>0.49249999999999999</c:v>
                </c:pt>
                <c:pt idx="384">
                  <c:v>0.48</c:v>
                </c:pt>
                <c:pt idx="385">
                  <c:v>0.49249999999999999</c:v>
                </c:pt>
                <c:pt idx="386">
                  <c:v>0.49</c:v>
                </c:pt>
                <c:pt idx="387">
                  <c:v>0.4975</c:v>
                </c:pt>
                <c:pt idx="388">
                  <c:v>0.48249999999999998</c:v>
                </c:pt>
                <c:pt idx="389">
                  <c:v>0.4975</c:v>
                </c:pt>
                <c:pt idx="390">
                  <c:v>0.4975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  <c:pt idx="394">
                  <c:v>0.5</c:v>
                </c:pt>
                <c:pt idx="395">
                  <c:v>0.5</c:v>
                </c:pt>
                <c:pt idx="396">
                  <c:v>0.5</c:v>
                </c:pt>
                <c:pt idx="397">
                  <c:v>0.5</c:v>
                </c:pt>
                <c:pt idx="398">
                  <c:v>0.5</c:v>
                </c:pt>
                <c:pt idx="399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01-43E0-86AB-FEA4ED5B2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762104"/>
        <c:axId val="610761384"/>
      </c:scatterChart>
      <c:valAx>
        <c:axId val="610762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10761384"/>
        <c:crosses val="autoZero"/>
        <c:crossBetween val="midCat"/>
      </c:valAx>
      <c:valAx>
        <c:axId val="610761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10762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138545</xdr:colOff>
      <xdr:row>28</xdr:row>
      <xdr:rowOff>138546</xdr:rowOff>
    </xdr:from>
    <xdr:to>
      <xdr:col>30</xdr:col>
      <xdr:colOff>562841</xdr:colOff>
      <xdr:row>29</xdr:row>
      <xdr:rowOff>181840</xdr:rowOff>
    </xdr:to>
    <xdr:sp macro="[0]!Sheet2.bscan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197D4FA3-18A6-4728-93C0-F647120A892C}"/>
            </a:ext>
          </a:extLst>
        </xdr:cNvPr>
        <xdr:cNvSpPr/>
      </xdr:nvSpPr>
      <xdr:spPr>
        <a:xfrm>
          <a:off x="12444845" y="6325986"/>
          <a:ext cx="1094856" cy="264274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B-scan</a:t>
          </a:r>
          <a:r>
            <a:rPr lang="en-US" altLang="ko-KR" sz="1100" baseline="0"/>
            <a:t> GO!</a:t>
          </a:r>
        </a:p>
      </xdr:txBody>
    </xdr:sp>
    <xdr:clientData/>
  </xdr:twoCellAnchor>
  <xdr:twoCellAnchor>
    <xdr:from>
      <xdr:col>31</xdr:col>
      <xdr:colOff>129886</xdr:colOff>
      <xdr:row>28</xdr:row>
      <xdr:rowOff>129887</xdr:rowOff>
    </xdr:from>
    <xdr:to>
      <xdr:col>32</xdr:col>
      <xdr:colOff>519545</xdr:colOff>
      <xdr:row>29</xdr:row>
      <xdr:rowOff>155863</xdr:rowOff>
    </xdr:to>
    <xdr:sp macro="[0]!Sheet2.tscan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4C011EF8-839C-54CD-9BE5-4E697AFFC12B}"/>
            </a:ext>
          </a:extLst>
        </xdr:cNvPr>
        <xdr:cNvSpPr/>
      </xdr:nvSpPr>
      <xdr:spPr>
        <a:xfrm>
          <a:off x="13819909" y="6433705"/>
          <a:ext cx="1056409" cy="25111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T-scan GO!</a:t>
          </a:r>
          <a:endParaRPr lang="ko-KR" altLang="en-US" sz="1100"/>
        </a:p>
      </xdr:txBody>
    </xdr:sp>
    <xdr:clientData/>
  </xdr:twoCellAnchor>
  <xdr:twoCellAnchor>
    <xdr:from>
      <xdr:col>0</xdr:col>
      <xdr:colOff>450273</xdr:colOff>
      <xdr:row>49</xdr:row>
      <xdr:rowOff>187036</xdr:rowOff>
    </xdr:from>
    <xdr:to>
      <xdr:col>6</xdr:col>
      <xdr:colOff>389659</xdr:colOff>
      <xdr:row>62</xdr:row>
      <xdr:rowOff>3463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184C58BC-F471-AC70-CC09-BA859DD14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476249</xdr:colOff>
      <xdr:row>51</xdr:row>
      <xdr:rowOff>83127</xdr:rowOff>
    </xdr:from>
    <xdr:to>
      <xdr:col>22</xdr:col>
      <xdr:colOff>86590</xdr:colOff>
      <xdr:row>63</xdr:row>
      <xdr:rowOff>124691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7AFF109-0DDE-9987-F5F2-9571325DC1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BF794-05BB-4716-9E51-F90BDF474836}">
  <sheetPr codeName="Sheet1"/>
  <dimension ref="A1:AA50"/>
  <sheetViews>
    <sheetView topLeftCell="A13" zoomScale="88" zoomScaleNormal="80" workbookViewId="0">
      <selection activeCell="C33" sqref="C33"/>
    </sheetView>
  </sheetViews>
  <sheetFormatPr defaultRowHeight="17.399999999999999" x14ac:dyDescent="0.4"/>
  <cols>
    <col min="3" max="3" width="8.8984375" bestFit="1" customWidth="1"/>
    <col min="4" max="4" width="13" bestFit="1" customWidth="1"/>
    <col min="6" max="6" width="12.69921875" customWidth="1"/>
    <col min="7" max="7" width="8.8984375" bestFit="1" customWidth="1"/>
    <col min="8" max="27" width="3.69921875" customWidth="1"/>
  </cols>
  <sheetData>
    <row r="1" spans="1:27" x14ac:dyDescent="0.4">
      <c r="A1" t="s">
        <v>0</v>
      </c>
      <c r="D1" t="s">
        <v>1</v>
      </c>
      <c r="H1" t="s">
        <v>2</v>
      </c>
      <c r="O1" s="1" t="s">
        <v>3</v>
      </c>
      <c r="Q1" s="2"/>
      <c r="R1" s="1" t="s">
        <v>4</v>
      </c>
    </row>
    <row r="3" spans="1:27" x14ac:dyDescent="0.4">
      <c r="H3" s="3">
        <f>((ROW(H3)+COLUMN(H3))/2-INT((ROW(H3)+COLUMN(H3))/2))*2</f>
        <v>1</v>
      </c>
      <c r="I3" s="3">
        <f t="shared" ref="I3:X18" si="0">((ROW(I3)+COLUMN(I3))/2-INT((ROW(I3)+COLUMN(I3))/2))*2</f>
        <v>0</v>
      </c>
      <c r="J3" s="3">
        <f t="shared" si="0"/>
        <v>1</v>
      </c>
      <c r="K3" s="3">
        <f t="shared" si="0"/>
        <v>0</v>
      </c>
      <c r="L3" s="3">
        <f t="shared" si="0"/>
        <v>1</v>
      </c>
      <c r="M3" s="3">
        <f t="shared" si="0"/>
        <v>0</v>
      </c>
      <c r="N3" s="3">
        <f t="shared" si="0"/>
        <v>1</v>
      </c>
      <c r="O3" s="3">
        <f t="shared" si="0"/>
        <v>0</v>
      </c>
      <c r="P3" s="3">
        <f t="shared" si="0"/>
        <v>1</v>
      </c>
      <c r="Q3" s="3">
        <f t="shared" si="0"/>
        <v>0</v>
      </c>
      <c r="R3" s="3">
        <f t="shared" si="0"/>
        <v>1</v>
      </c>
      <c r="S3" s="3">
        <f t="shared" si="0"/>
        <v>0</v>
      </c>
      <c r="T3" s="3">
        <f t="shared" si="0"/>
        <v>1</v>
      </c>
      <c r="U3" s="3">
        <f t="shared" si="0"/>
        <v>0</v>
      </c>
      <c r="V3" s="3">
        <f t="shared" si="0"/>
        <v>1</v>
      </c>
      <c r="W3" s="3">
        <f t="shared" si="0"/>
        <v>0</v>
      </c>
      <c r="X3" s="3">
        <f t="shared" si="0"/>
        <v>1</v>
      </c>
      <c r="Y3" s="3">
        <f t="shared" ref="Y3:AA22" si="1">((ROW(Y3)+COLUMN(Y3))/2-INT((ROW(Y3)+COLUMN(Y3))/2))*2</f>
        <v>0</v>
      </c>
      <c r="Z3" s="3">
        <f t="shared" si="1"/>
        <v>1</v>
      </c>
      <c r="AA3" s="3">
        <f t="shared" si="1"/>
        <v>0</v>
      </c>
    </row>
    <row r="4" spans="1:27" x14ac:dyDescent="0.4">
      <c r="H4" s="3">
        <f t="shared" ref="H4:W19" si="2">((ROW(H4)+COLUMN(H4))/2-INT((ROW(H4)+COLUMN(H4))/2))*2</f>
        <v>0</v>
      </c>
      <c r="I4" s="3">
        <f t="shared" si="0"/>
        <v>1</v>
      </c>
      <c r="J4" s="3">
        <f t="shared" si="0"/>
        <v>0</v>
      </c>
      <c r="K4" s="3">
        <f t="shared" si="0"/>
        <v>1</v>
      </c>
      <c r="L4" s="3">
        <f t="shared" si="0"/>
        <v>0</v>
      </c>
      <c r="M4" s="3">
        <f t="shared" si="0"/>
        <v>1</v>
      </c>
      <c r="N4" s="3">
        <f t="shared" si="0"/>
        <v>0</v>
      </c>
      <c r="O4" s="3">
        <f t="shared" si="0"/>
        <v>1</v>
      </c>
      <c r="P4" s="3">
        <f t="shared" si="0"/>
        <v>0</v>
      </c>
      <c r="Q4" s="3">
        <f t="shared" si="0"/>
        <v>1</v>
      </c>
      <c r="R4" s="3">
        <f t="shared" si="0"/>
        <v>0</v>
      </c>
      <c r="S4" s="3">
        <f t="shared" si="0"/>
        <v>1</v>
      </c>
      <c r="T4" s="3">
        <f t="shared" si="0"/>
        <v>0</v>
      </c>
      <c r="U4" s="3">
        <f t="shared" si="0"/>
        <v>1</v>
      </c>
      <c r="V4" s="3">
        <f t="shared" si="0"/>
        <v>0</v>
      </c>
      <c r="W4" s="3">
        <f t="shared" si="0"/>
        <v>1</v>
      </c>
      <c r="X4" s="3">
        <f t="shared" si="0"/>
        <v>0</v>
      </c>
      <c r="Y4" s="3">
        <f t="shared" si="1"/>
        <v>1</v>
      </c>
      <c r="Z4" s="3">
        <f t="shared" si="1"/>
        <v>0</v>
      </c>
      <c r="AA4" s="3">
        <f t="shared" si="1"/>
        <v>1</v>
      </c>
    </row>
    <row r="5" spans="1:27" x14ac:dyDescent="0.4">
      <c r="H5" s="3">
        <f t="shared" si="2"/>
        <v>1</v>
      </c>
      <c r="I5" s="3">
        <f t="shared" si="0"/>
        <v>0</v>
      </c>
      <c r="J5" s="3">
        <f t="shared" si="0"/>
        <v>1</v>
      </c>
      <c r="K5" s="3">
        <f t="shared" si="0"/>
        <v>0</v>
      </c>
      <c r="L5" s="3">
        <f t="shared" si="0"/>
        <v>1</v>
      </c>
      <c r="M5" s="3">
        <f t="shared" si="0"/>
        <v>0</v>
      </c>
      <c r="N5" s="3">
        <f t="shared" si="0"/>
        <v>1</v>
      </c>
      <c r="O5" s="3">
        <f t="shared" si="0"/>
        <v>0</v>
      </c>
      <c r="P5" s="3">
        <f t="shared" si="0"/>
        <v>1</v>
      </c>
      <c r="Q5" s="3">
        <f t="shared" si="0"/>
        <v>0</v>
      </c>
      <c r="R5" s="3">
        <f t="shared" si="0"/>
        <v>1</v>
      </c>
      <c r="S5" s="3">
        <f t="shared" si="0"/>
        <v>0</v>
      </c>
      <c r="T5" s="3">
        <f t="shared" si="0"/>
        <v>1</v>
      </c>
      <c r="U5" s="3">
        <f t="shared" si="0"/>
        <v>0</v>
      </c>
      <c r="V5" s="3">
        <f t="shared" si="0"/>
        <v>1</v>
      </c>
      <c r="W5" s="3">
        <f t="shared" si="0"/>
        <v>0</v>
      </c>
      <c r="X5" s="3">
        <f t="shared" si="0"/>
        <v>1</v>
      </c>
      <c r="Y5" s="3">
        <f t="shared" si="1"/>
        <v>0</v>
      </c>
      <c r="Z5" s="3">
        <f t="shared" si="1"/>
        <v>1</v>
      </c>
      <c r="AA5" s="3">
        <f t="shared" si="1"/>
        <v>0</v>
      </c>
    </row>
    <row r="6" spans="1:27" x14ac:dyDescent="0.4">
      <c r="H6" s="3">
        <f t="shared" si="2"/>
        <v>0</v>
      </c>
      <c r="I6" s="3">
        <f t="shared" si="0"/>
        <v>1</v>
      </c>
      <c r="J6" s="3">
        <f t="shared" si="0"/>
        <v>0</v>
      </c>
      <c r="K6" s="3">
        <f t="shared" si="0"/>
        <v>1</v>
      </c>
      <c r="L6" s="3">
        <f t="shared" si="0"/>
        <v>0</v>
      </c>
      <c r="M6" s="3">
        <f t="shared" si="0"/>
        <v>1</v>
      </c>
      <c r="N6" s="3">
        <f t="shared" si="0"/>
        <v>0</v>
      </c>
      <c r="O6" s="3">
        <f t="shared" si="0"/>
        <v>1</v>
      </c>
      <c r="P6" s="3">
        <f t="shared" si="0"/>
        <v>0</v>
      </c>
      <c r="Q6" s="3">
        <f t="shared" si="0"/>
        <v>1</v>
      </c>
      <c r="R6" s="3">
        <f t="shared" si="0"/>
        <v>0</v>
      </c>
      <c r="S6" s="3">
        <f t="shared" si="0"/>
        <v>1</v>
      </c>
      <c r="T6" s="3">
        <f t="shared" si="0"/>
        <v>0</v>
      </c>
      <c r="U6" s="3">
        <f t="shared" si="0"/>
        <v>1</v>
      </c>
      <c r="V6" s="3">
        <f t="shared" si="0"/>
        <v>0</v>
      </c>
      <c r="W6" s="3">
        <f t="shared" si="0"/>
        <v>1</v>
      </c>
      <c r="X6" s="3">
        <f t="shared" si="0"/>
        <v>0</v>
      </c>
      <c r="Y6" s="3">
        <f t="shared" si="1"/>
        <v>1</v>
      </c>
      <c r="Z6" s="3">
        <f t="shared" si="1"/>
        <v>0</v>
      </c>
      <c r="AA6" s="3">
        <f t="shared" si="1"/>
        <v>1</v>
      </c>
    </row>
    <row r="7" spans="1:27" x14ac:dyDescent="0.4">
      <c r="H7" s="3">
        <f t="shared" si="2"/>
        <v>1</v>
      </c>
      <c r="I7" s="3">
        <f t="shared" si="0"/>
        <v>0</v>
      </c>
      <c r="J7" s="3">
        <f t="shared" si="0"/>
        <v>1</v>
      </c>
      <c r="K7" s="3">
        <f t="shared" si="0"/>
        <v>0</v>
      </c>
      <c r="L7" s="3">
        <f t="shared" si="0"/>
        <v>1</v>
      </c>
      <c r="M7" s="3">
        <f t="shared" si="0"/>
        <v>0</v>
      </c>
      <c r="N7" s="3">
        <f t="shared" si="0"/>
        <v>1</v>
      </c>
      <c r="O7" s="3">
        <f t="shared" si="0"/>
        <v>0</v>
      </c>
      <c r="P7" s="3">
        <f t="shared" si="0"/>
        <v>1</v>
      </c>
      <c r="Q7" s="3">
        <f t="shared" si="0"/>
        <v>0</v>
      </c>
      <c r="R7" s="3">
        <f t="shared" si="0"/>
        <v>1</v>
      </c>
      <c r="S7" s="3">
        <f t="shared" si="0"/>
        <v>0</v>
      </c>
      <c r="T7" s="3">
        <f t="shared" si="0"/>
        <v>1</v>
      </c>
      <c r="U7" s="3">
        <f t="shared" si="0"/>
        <v>0</v>
      </c>
      <c r="V7" s="3">
        <f t="shared" si="0"/>
        <v>1</v>
      </c>
      <c r="W7" s="3">
        <f t="shared" si="0"/>
        <v>0</v>
      </c>
      <c r="X7" s="3">
        <f t="shared" si="0"/>
        <v>1</v>
      </c>
      <c r="Y7" s="3">
        <f t="shared" si="1"/>
        <v>0</v>
      </c>
      <c r="Z7" s="3">
        <f t="shared" si="1"/>
        <v>1</v>
      </c>
      <c r="AA7" s="3">
        <f t="shared" si="1"/>
        <v>0</v>
      </c>
    </row>
    <row r="8" spans="1:27" x14ac:dyDescent="0.4">
      <c r="H8" s="3">
        <f t="shared" si="2"/>
        <v>0</v>
      </c>
      <c r="I8" s="3">
        <f t="shared" si="0"/>
        <v>1</v>
      </c>
      <c r="J8" s="3">
        <f t="shared" si="0"/>
        <v>0</v>
      </c>
      <c r="K8" s="3">
        <f t="shared" si="0"/>
        <v>1</v>
      </c>
      <c r="L8" s="3">
        <f t="shared" si="0"/>
        <v>0</v>
      </c>
      <c r="M8" s="3">
        <f t="shared" si="0"/>
        <v>1</v>
      </c>
      <c r="N8" s="3">
        <f t="shared" si="0"/>
        <v>0</v>
      </c>
      <c r="O8" s="3">
        <f t="shared" si="0"/>
        <v>1</v>
      </c>
      <c r="P8" s="3">
        <f t="shared" si="0"/>
        <v>0</v>
      </c>
      <c r="Q8" s="3">
        <f t="shared" si="0"/>
        <v>1</v>
      </c>
      <c r="R8" s="3">
        <f t="shared" si="0"/>
        <v>0</v>
      </c>
      <c r="S8" s="3">
        <f t="shared" si="0"/>
        <v>1</v>
      </c>
      <c r="T8" s="3">
        <f t="shared" si="0"/>
        <v>0</v>
      </c>
      <c r="U8" s="3">
        <f t="shared" si="0"/>
        <v>1</v>
      </c>
      <c r="V8" s="3">
        <f t="shared" si="0"/>
        <v>0</v>
      </c>
      <c r="W8" s="3">
        <f t="shared" si="0"/>
        <v>1</v>
      </c>
      <c r="X8" s="3">
        <f t="shared" si="0"/>
        <v>0</v>
      </c>
      <c r="Y8" s="3">
        <f t="shared" si="1"/>
        <v>1</v>
      </c>
      <c r="Z8" s="3">
        <f t="shared" si="1"/>
        <v>0</v>
      </c>
      <c r="AA8" s="3">
        <f t="shared" si="1"/>
        <v>1</v>
      </c>
    </row>
    <row r="9" spans="1:27" x14ac:dyDescent="0.4">
      <c r="H9" s="3">
        <f t="shared" si="2"/>
        <v>1</v>
      </c>
      <c r="I9" s="3">
        <f t="shared" si="0"/>
        <v>0</v>
      </c>
      <c r="J9" s="3">
        <f t="shared" si="0"/>
        <v>1</v>
      </c>
      <c r="K9" s="3">
        <f t="shared" si="0"/>
        <v>0</v>
      </c>
      <c r="L9" s="3">
        <f t="shared" si="0"/>
        <v>1</v>
      </c>
      <c r="M9" s="3">
        <f t="shared" si="0"/>
        <v>0</v>
      </c>
      <c r="N9" s="3">
        <f t="shared" si="0"/>
        <v>1</v>
      </c>
      <c r="O9" s="3">
        <f t="shared" si="0"/>
        <v>0</v>
      </c>
      <c r="P9" s="3">
        <f t="shared" si="0"/>
        <v>1</v>
      </c>
      <c r="Q9" s="3">
        <f t="shared" si="0"/>
        <v>0</v>
      </c>
      <c r="R9" s="3">
        <f t="shared" si="0"/>
        <v>1</v>
      </c>
      <c r="S9" s="3">
        <f t="shared" si="0"/>
        <v>0</v>
      </c>
      <c r="T9" s="3">
        <f t="shared" si="0"/>
        <v>1</v>
      </c>
      <c r="U9" s="3">
        <f t="shared" si="0"/>
        <v>0</v>
      </c>
      <c r="V9" s="3">
        <f t="shared" si="0"/>
        <v>1</v>
      </c>
      <c r="W9" s="3">
        <f t="shared" si="0"/>
        <v>0</v>
      </c>
      <c r="X9" s="3">
        <f t="shared" si="0"/>
        <v>1</v>
      </c>
      <c r="Y9" s="3">
        <f t="shared" si="1"/>
        <v>0</v>
      </c>
      <c r="Z9" s="3">
        <f t="shared" si="1"/>
        <v>1</v>
      </c>
      <c r="AA9" s="3">
        <f t="shared" si="1"/>
        <v>0</v>
      </c>
    </row>
    <row r="10" spans="1:27" x14ac:dyDescent="0.4">
      <c r="H10" s="3">
        <f t="shared" si="2"/>
        <v>0</v>
      </c>
      <c r="I10" s="3">
        <f t="shared" si="0"/>
        <v>1</v>
      </c>
      <c r="J10" s="3">
        <f>((ROW(J10)+COLUMN(J10))/2-INT((ROW(J10)+COLUMN(J10))/2))*2</f>
        <v>0</v>
      </c>
      <c r="K10" s="3">
        <f t="shared" si="0"/>
        <v>1</v>
      </c>
      <c r="L10" s="3">
        <f t="shared" si="0"/>
        <v>0</v>
      </c>
      <c r="M10" s="3">
        <f t="shared" si="0"/>
        <v>1</v>
      </c>
      <c r="N10" s="3">
        <f t="shared" si="0"/>
        <v>0</v>
      </c>
      <c r="O10" s="3">
        <f t="shared" si="0"/>
        <v>1</v>
      </c>
      <c r="P10" s="3">
        <f t="shared" si="0"/>
        <v>0</v>
      </c>
      <c r="Q10" s="3">
        <f t="shared" si="0"/>
        <v>1</v>
      </c>
      <c r="R10" s="3">
        <f t="shared" si="0"/>
        <v>0</v>
      </c>
      <c r="S10" s="3">
        <f t="shared" si="0"/>
        <v>1</v>
      </c>
      <c r="T10" s="3">
        <f t="shared" si="0"/>
        <v>0</v>
      </c>
      <c r="U10" s="3">
        <f t="shared" si="0"/>
        <v>1</v>
      </c>
      <c r="V10" s="3">
        <f t="shared" si="0"/>
        <v>0</v>
      </c>
      <c r="W10" s="3">
        <f t="shared" si="0"/>
        <v>1</v>
      </c>
      <c r="X10" s="3">
        <f t="shared" si="0"/>
        <v>0</v>
      </c>
      <c r="Y10" s="3">
        <f t="shared" si="1"/>
        <v>1</v>
      </c>
      <c r="Z10" s="3">
        <f t="shared" si="1"/>
        <v>0</v>
      </c>
      <c r="AA10" s="3">
        <f t="shared" si="1"/>
        <v>1</v>
      </c>
    </row>
    <row r="11" spans="1:27" x14ac:dyDescent="0.4">
      <c r="H11" s="3">
        <f t="shared" si="2"/>
        <v>1</v>
      </c>
      <c r="I11" s="3">
        <f t="shared" si="0"/>
        <v>0</v>
      </c>
      <c r="J11" s="3">
        <f t="shared" si="0"/>
        <v>1</v>
      </c>
      <c r="K11" s="3">
        <f t="shared" si="0"/>
        <v>0</v>
      </c>
      <c r="L11" s="3">
        <f t="shared" si="0"/>
        <v>1</v>
      </c>
      <c r="M11" s="3">
        <f t="shared" si="0"/>
        <v>0</v>
      </c>
      <c r="N11" s="3">
        <f t="shared" si="0"/>
        <v>1</v>
      </c>
      <c r="O11" s="3">
        <f t="shared" si="0"/>
        <v>0</v>
      </c>
      <c r="P11" s="3">
        <f t="shared" si="0"/>
        <v>1</v>
      </c>
      <c r="Q11" s="3">
        <f t="shared" si="0"/>
        <v>0</v>
      </c>
      <c r="R11" s="3">
        <f t="shared" si="0"/>
        <v>1</v>
      </c>
      <c r="S11" s="3">
        <f t="shared" si="0"/>
        <v>0</v>
      </c>
      <c r="T11" s="3">
        <f t="shared" si="0"/>
        <v>1</v>
      </c>
      <c r="U11" s="3">
        <f t="shared" si="0"/>
        <v>0</v>
      </c>
      <c r="V11" s="3">
        <f t="shared" si="0"/>
        <v>1</v>
      </c>
      <c r="W11" s="3">
        <f t="shared" si="0"/>
        <v>0</v>
      </c>
      <c r="X11" s="3">
        <f t="shared" si="0"/>
        <v>1</v>
      </c>
      <c r="Y11" s="3">
        <f t="shared" si="1"/>
        <v>0</v>
      </c>
      <c r="Z11" s="3">
        <f t="shared" si="1"/>
        <v>1</v>
      </c>
      <c r="AA11" s="3">
        <f t="shared" si="1"/>
        <v>0</v>
      </c>
    </row>
    <row r="12" spans="1:27" x14ac:dyDescent="0.4">
      <c r="H12" s="3">
        <f t="shared" si="2"/>
        <v>0</v>
      </c>
      <c r="I12" s="3">
        <f t="shared" si="0"/>
        <v>1</v>
      </c>
      <c r="J12" s="3">
        <f t="shared" si="0"/>
        <v>0</v>
      </c>
      <c r="K12" s="3">
        <f t="shared" si="0"/>
        <v>1</v>
      </c>
      <c r="L12" s="3">
        <f t="shared" si="0"/>
        <v>0</v>
      </c>
      <c r="M12" s="3">
        <f t="shared" si="0"/>
        <v>1</v>
      </c>
      <c r="N12" s="3">
        <f t="shared" si="0"/>
        <v>0</v>
      </c>
      <c r="O12" s="3">
        <f t="shared" si="0"/>
        <v>1</v>
      </c>
      <c r="P12" s="3">
        <f t="shared" si="0"/>
        <v>0</v>
      </c>
      <c r="Q12" s="3">
        <f t="shared" si="0"/>
        <v>1</v>
      </c>
      <c r="R12" s="3">
        <f t="shared" si="0"/>
        <v>0</v>
      </c>
      <c r="S12" s="3">
        <f t="shared" si="0"/>
        <v>1</v>
      </c>
      <c r="T12" s="3">
        <f t="shared" si="0"/>
        <v>0</v>
      </c>
      <c r="U12" s="3">
        <f t="shared" si="0"/>
        <v>1</v>
      </c>
      <c r="V12" s="3">
        <f t="shared" si="0"/>
        <v>0</v>
      </c>
      <c r="W12" s="3">
        <f t="shared" si="0"/>
        <v>1</v>
      </c>
      <c r="X12" s="3">
        <f t="shared" si="0"/>
        <v>0</v>
      </c>
      <c r="Y12" s="3">
        <f t="shared" si="1"/>
        <v>1</v>
      </c>
      <c r="Z12" s="3">
        <f t="shared" si="1"/>
        <v>0</v>
      </c>
      <c r="AA12" s="3">
        <f t="shared" si="1"/>
        <v>1</v>
      </c>
    </row>
    <row r="13" spans="1:27" x14ac:dyDescent="0.4">
      <c r="H13" s="3">
        <f t="shared" si="2"/>
        <v>1</v>
      </c>
      <c r="I13" s="3">
        <f t="shared" si="0"/>
        <v>0</v>
      </c>
      <c r="J13" s="3">
        <f t="shared" si="0"/>
        <v>1</v>
      </c>
      <c r="K13" s="3">
        <f t="shared" si="0"/>
        <v>0</v>
      </c>
      <c r="L13" s="3">
        <f t="shared" si="0"/>
        <v>1</v>
      </c>
      <c r="M13" s="3">
        <f t="shared" si="0"/>
        <v>0</v>
      </c>
      <c r="N13" s="3">
        <f t="shared" si="0"/>
        <v>1</v>
      </c>
      <c r="O13" s="3">
        <f t="shared" si="0"/>
        <v>0</v>
      </c>
      <c r="P13" s="3">
        <f>((ROW(P13)+COLUMN(P13))/2-INT((ROW(P13)+COLUMN(P13))/2))*2</f>
        <v>1</v>
      </c>
      <c r="Q13" s="3">
        <f t="shared" si="0"/>
        <v>0</v>
      </c>
      <c r="R13" s="3">
        <f t="shared" si="0"/>
        <v>1</v>
      </c>
      <c r="S13" s="3">
        <f t="shared" si="0"/>
        <v>0</v>
      </c>
      <c r="T13" s="3">
        <f t="shared" si="0"/>
        <v>1</v>
      </c>
      <c r="U13" s="3">
        <f t="shared" si="0"/>
        <v>0</v>
      </c>
      <c r="V13" s="3">
        <f t="shared" si="0"/>
        <v>1</v>
      </c>
      <c r="W13" s="3">
        <f t="shared" si="0"/>
        <v>0</v>
      </c>
      <c r="X13" s="3">
        <f t="shared" si="0"/>
        <v>1</v>
      </c>
      <c r="Y13" s="3">
        <f t="shared" si="1"/>
        <v>0</v>
      </c>
      <c r="Z13" s="3">
        <f t="shared" si="1"/>
        <v>1</v>
      </c>
      <c r="AA13" s="3">
        <f t="shared" si="1"/>
        <v>0</v>
      </c>
    </row>
    <row r="14" spans="1:27" x14ac:dyDescent="0.4">
      <c r="H14" s="3">
        <f t="shared" si="2"/>
        <v>0</v>
      </c>
      <c r="I14" s="3">
        <f t="shared" si="0"/>
        <v>1</v>
      </c>
      <c r="J14" s="3">
        <f t="shared" si="0"/>
        <v>0</v>
      </c>
      <c r="K14" s="3">
        <f t="shared" si="0"/>
        <v>1</v>
      </c>
      <c r="L14" s="3">
        <f t="shared" si="0"/>
        <v>0</v>
      </c>
      <c r="M14" s="3">
        <f t="shared" si="0"/>
        <v>1</v>
      </c>
      <c r="N14" s="3">
        <f t="shared" si="0"/>
        <v>0</v>
      </c>
      <c r="O14" s="3">
        <f t="shared" si="0"/>
        <v>1</v>
      </c>
      <c r="P14" s="3">
        <f t="shared" si="0"/>
        <v>0</v>
      </c>
      <c r="Q14" s="3">
        <f t="shared" si="0"/>
        <v>1</v>
      </c>
      <c r="R14" s="3">
        <f t="shared" si="0"/>
        <v>0</v>
      </c>
      <c r="S14" s="3">
        <f t="shared" si="0"/>
        <v>1</v>
      </c>
      <c r="T14" s="3">
        <f t="shared" si="0"/>
        <v>0</v>
      </c>
      <c r="U14" s="3">
        <f t="shared" si="0"/>
        <v>1</v>
      </c>
      <c r="V14" s="3">
        <f t="shared" si="0"/>
        <v>0</v>
      </c>
      <c r="W14" s="3">
        <f t="shared" si="0"/>
        <v>1</v>
      </c>
      <c r="X14" s="3">
        <f t="shared" si="0"/>
        <v>0</v>
      </c>
      <c r="Y14" s="3">
        <f t="shared" si="1"/>
        <v>1</v>
      </c>
      <c r="Z14" s="3">
        <f t="shared" si="1"/>
        <v>0</v>
      </c>
      <c r="AA14" s="3">
        <f t="shared" si="1"/>
        <v>1</v>
      </c>
    </row>
    <row r="15" spans="1:27" x14ac:dyDescent="0.4">
      <c r="H15" s="3">
        <f t="shared" si="2"/>
        <v>1</v>
      </c>
      <c r="I15" s="3">
        <f t="shared" si="0"/>
        <v>0</v>
      </c>
      <c r="J15" s="3">
        <f t="shared" si="0"/>
        <v>1</v>
      </c>
      <c r="K15" s="3">
        <f t="shared" si="0"/>
        <v>0</v>
      </c>
      <c r="L15" s="3">
        <f t="shared" si="0"/>
        <v>1</v>
      </c>
      <c r="M15" s="3">
        <f t="shared" si="0"/>
        <v>0</v>
      </c>
      <c r="N15" s="3">
        <f t="shared" si="0"/>
        <v>1</v>
      </c>
      <c r="O15" s="3">
        <f t="shared" si="0"/>
        <v>0</v>
      </c>
      <c r="P15" s="3">
        <f t="shared" si="0"/>
        <v>1</v>
      </c>
      <c r="Q15" s="3">
        <f t="shared" si="0"/>
        <v>0</v>
      </c>
      <c r="R15" s="3">
        <f t="shared" si="0"/>
        <v>1</v>
      </c>
      <c r="S15" s="3">
        <f t="shared" si="0"/>
        <v>0</v>
      </c>
      <c r="T15" s="3">
        <f t="shared" si="0"/>
        <v>1</v>
      </c>
      <c r="U15" s="3">
        <f t="shared" si="0"/>
        <v>0</v>
      </c>
      <c r="V15" s="3">
        <f t="shared" si="0"/>
        <v>1</v>
      </c>
      <c r="W15" s="3">
        <f t="shared" si="0"/>
        <v>0</v>
      </c>
      <c r="X15" s="3">
        <f t="shared" si="0"/>
        <v>1</v>
      </c>
      <c r="Y15" s="3">
        <f t="shared" si="1"/>
        <v>0</v>
      </c>
      <c r="Z15" s="3">
        <f t="shared" si="1"/>
        <v>1</v>
      </c>
      <c r="AA15" s="3">
        <f t="shared" si="1"/>
        <v>0</v>
      </c>
    </row>
    <row r="16" spans="1:27" x14ac:dyDescent="0.4">
      <c r="H16" s="3">
        <f t="shared" si="2"/>
        <v>0</v>
      </c>
      <c r="I16" s="3">
        <f t="shared" si="0"/>
        <v>1</v>
      </c>
      <c r="J16" s="3">
        <f t="shared" si="0"/>
        <v>0</v>
      </c>
      <c r="K16" s="3">
        <f t="shared" si="0"/>
        <v>1</v>
      </c>
      <c r="L16" s="3">
        <f t="shared" si="0"/>
        <v>0</v>
      </c>
      <c r="M16" s="3">
        <f t="shared" si="0"/>
        <v>1</v>
      </c>
      <c r="N16" s="3">
        <f t="shared" si="0"/>
        <v>0</v>
      </c>
      <c r="O16" s="3">
        <f t="shared" si="0"/>
        <v>1</v>
      </c>
      <c r="P16" s="3">
        <f t="shared" si="0"/>
        <v>0</v>
      </c>
      <c r="Q16" s="3">
        <f t="shared" si="0"/>
        <v>1</v>
      </c>
      <c r="R16" s="3">
        <f t="shared" si="0"/>
        <v>0</v>
      </c>
      <c r="S16" s="3">
        <f t="shared" si="0"/>
        <v>1</v>
      </c>
      <c r="T16" s="3">
        <f t="shared" si="0"/>
        <v>0</v>
      </c>
      <c r="U16" s="3">
        <f t="shared" si="0"/>
        <v>1</v>
      </c>
      <c r="V16" s="3">
        <f t="shared" si="0"/>
        <v>0</v>
      </c>
      <c r="W16" s="3">
        <f t="shared" si="0"/>
        <v>1</v>
      </c>
      <c r="X16" s="3">
        <f t="shared" si="0"/>
        <v>0</v>
      </c>
      <c r="Y16" s="3">
        <f t="shared" si="1"/>
        <v>1</v>
      </c>
      <c r="Z16" s="3">
        <f t="shared" si="1"/>
        <v>0</v>
      </c>
      <c r="AA16" s="3">
        <f t="shared" si="1"/>
        <v>1</v>
      </c>
    </row>
    <row r="17" spans="1:27" x14ac:dyDescent="0.4">
      <c r="H17" s="3">
        <f t="shared" si="2"/>
        <v>1</v>
      </c>
      <c r="I17" s="3">
        <f t="shared" si="0"/>
        <v>0</v>
      </c>
      <c r="J17" s="3">
        <f t="shared" si="0"/>
        <v>1</v>
      </c>
      <c r="K17" s="3">
        <f t="shared" si="0"/>
        <v>0</v>
      </c>
      <c r="L17" s="3">
        <f t="shared" si="0"/>
        <v>1</v>
      </c>
      <c r="M17" s="3">
        <f t="shared" si="0"/>
        <v>0</v>
      </c>
      <c r="N17" s="3">
        <f t="shared" si="0"/>
        <v>1</v>
      </c>
      <c r="O17" s="3">
        <f t="shared" si="0"/>
        <v>0</v>
      </c>
      <c r="P17" s="3">
        <f t="shared" si="0"/>
        <v>1</v>
      </c>
      <c r="Q17" s="3">
        <f t="shared" si="0"/>
        <v>0</v>
      </c>
      <c r="R17" s="3">
        <f t="shared" si="0"/>
        <v>1</v>
      </c>
      <c r="S17" s="3">
        <f t="shared" si="0"/>
        <v>0</v>
      </c>
      <c r="T17" s="3">
        <f t="shared" si="0"/>
        <v>1</v>
      </c>
      <c r="U17" s="3">
        <f t="shared" si="0"/>
        <v>0</v>
      </c>
      <c r="V17" s="3">
        <f t="shared" si="0"/>
        <v>1</v>
      </c>
      <c r="W17" s="3">
        <f t="shared" si="0"/>
        <v>0</v>
      </c>
      <c r="X17" s="3">
        <f t="shared" si="0"/>
        <v>1</v>
      </c>
      <c r="Y17" s="3">
        <f t="shared" si="1"/>
        <v>0</v>
      </c>
      <c r="Z17" s="3">
        <f t="shared" si="1"/>
        <v>1</v>
      </c>
      <c r="AA17" s="3">
        <f t="shared" si="1"/>
        <v>0</v>
      </c>
    </row>
    <row r="18" spans="1:27" x14ac:dyDescent="0.4">
      <c r="F18" t="s">
        <v>5</v>
      </c>
      <c r="G18">
        <f>SUM($H3:$AA22)</f>
        <v>200</v>
      </c>
      <c r="H18" s="3">
        <f t="shared" si="2"/>
        <v>0</v>
      </c>
      <c r="I18" s="3">
        <f t="shared" si="0"/>
        <v>1</v>
      </c>
      <c r="J18" s="3">
        <f t="shared" si="0"/>
        <v>0</v>
      </c>
      <c r="K18" s="3">
        <f t="shared" si="0"/>
        <v>1</v>
      </c>
      <c r="L18" s="3">
        <f t="shared" si="0"/>
        <v>0</v>
      </c>
      <c r="M18" s="3">
        <f t="shared" si="0"/>
        <v>1</v>
      </c>
      <c r="N18" s="3">
        <f t="shared" si="0"/>
        <v>0</v>
      </c>
      <c r="O18" s="3">
        <f t="shared" si="0"/>
        <v>1</v>
      </c>
      <c r="P18" s="3">
        <f t="shared" si="0"/>
        <v>0</v>
      </c>
      <c r="Q18" s="3">
        <f t="shared" si="0"/>
        <v>1</v>
      </c>
      <c r="R18" s="3">
        <f t="shared" si="0"/>
        <v>0</v>
      </c>
      <c r="S18" s="3">
        <f t="shared" si="0"/>
        <v>1</v>
      </c>
      <c r="T18" s="3">
        <f t="shared" si="0"/>
        <v>0</v>
      </c>
      <c r="U18" s="3">
        <f t="shared" si="0"/>
        <v>1</v>
      </c>
      <c r="V18" s="3">
        <f t="shared" si="0"/>
        <v>0</v>
      </c>
      <c r="W18" s="3">
        <f t="shared" si="0"/>
        <v>1</v>
      </c>
      <c r="X18" s="3">
        <f t="shared" si="0"/>
        <v>0</v>
      </c>
      <c r="Y18" s="3">
        <f t="shared" si="1"/>
        <v>1</v>
      </c>
      <c r="Z18" s="3">
        <f t="shared" si="1"/>
        <v>0</v>
      </c>
      <c r="AA18" s="3">
        <f t="shared" si="1"/>
        <v>1</v>
      </c>
    </row>
    <row r="19" spans="1:27" x14ac:dyDescent="0.4">
      <c r="F19" t="s">
        <v>6</v>
      </c>
      <c r="G19">
        <f>(G18*1/2+(400-G18)*(-1/2))/400</f>
        <v>0</v>
      </c>
      <c r="H19" s="3">
        <f t="shared" si="2"/>
        <v>1</v>
      </c>
      <c r="I19" s="3">
        <f t="shared" si="2"/>
        <v>0</v>
      </c>
      <c r="J19" s="3">
        <f t="shared" si="2"/>
        <v>1</v>
      </c>
      <c r="K19" s="3">
        <f t="shared" si="2"/>
        <v>0</v>
      </c>
      <c r="L19" s="3">
        <f t="shared" si="2"/>
        <v>1</v>
      </c>
      <c r="M19" s="3">
        <f t="shared" si="2"/>
        <v>0</v>
      </c>
      <c r="N19" s="3">
        <f t="shared" si="2"/>
        <v>1</v>
      </c>
      <c r="O19" s="3">
        <f t="shared" si="2"/>
        <v>0</v>
      </c>
      <c r="P19" s="3">
        <f t="shared" si="2"/>
        <v>1</v>
      </c>
      <c r="Q19" s="3">
        <f t="shared" si="2"/>
        <v>0</v>
      </c>
      <c r="R19" s="3">
        <f t="shared" si="2"/>
        <v>1</v>
      </c>
      <c r="S19" s="3">
        <f t="shared" si="2"/>
        <v>0</v>
      </c>
      <c r="T19" s="3">
        <f t="shared" si="2"/>
        <v>1</v>
      </c>
      <c r="U19" s="3">
        <f t="shared" si="2"/>
        <v>0</v>
      </c>
      <c r="V19" s="3">
        <f t="shared" si="2"/>
        <v>1</v>
      </c>
      <c r="W19" s="3">
        <f t="shared" si="2"/>
        <v>0</v>
      </c>
      <c r="X19" s="3">
        <f t="shared" ref="X19:X22" si="3">((ROW(X19)+COLUMN(X19))/2-INT((ROW(X19)+COLUMN(X19))/2))*2</f>
        <v>1</v>
      </c>
      <c r="Y19" s="3">
        <f t="shared" si="1"/>
        <v>0</v>
      </c>
      <c r="Z19" s="3">
        <f t="shared" si="1"/>
        <v>1</v>
      </c>
      <c r="AA19" s="3">
        <f t="shared" si="1"/>
        <v>0</v>
      </c>
    </row>
    <row r="20" spans="1:27" x14ac:dyDescent="0.4">
      <c r="H20" s="3">
        <f t="shared" ref="H20:W22" si="4">((ROW(H20)+COLUMN(H20))/2-INT((ROW(H20)+COLUMN(H20))/2))*2</f>
        <v>0</v>
      </c>
      <c r="I20" s="3">
        <f t="shared" si="4"/>
        <v>1</v>
      </c>
      <c r="J20" s="3">
        <f t="shared" si="4"/>
        <v>0</v>
      </c>
      <c r="K20" s="3">
        <f t="shared" si="4"/>
        <v>1</v>
      </c>
      <c r="L20" s="3">
        <f t="shared" si="4"/>
        <v>0</v>
      </c>
      <c r="M20" s="3">
        <f t="shared" si="4"/>
        <v>1</v>
      </c>
      <c r="N20" s="3">
        <f t="shared" si="4"/>
        <v>0</v>
      </c>
      <c r="O20" s="3">
        <f t="shared" si="4"/>
        <v>1</v>
      </c>
      <c r="P20" s="3">
        <f t="shared" si="4"/>
        <v>0</v>
      </c>
      <c r="Q20" s="3">
        <f t="shared" si="4"/>
        <v>1</v>
      </c>
      <c r="R20" s="3">
        <f t="shared" si="4"/>
        <v>0</v>
      </c>
      <c r="S20" s="3">
        <f t="shared" si="4"/>
        <v>1</v>
      </c>
      <c r="T20" s="3">
        <f t="shared" si="4"/>
        <v>0</v>
      </c>
      <c r="U20" s="3">
        <f t="shared" si="4"/>
        <v>1</v>
      </c>
      <c r="V20" s="3">
        <f t="shared" si="4"/>
        <v>0</v>
      </c>
      <c r="W20" s="3">
        <f t="shared" si="4"/>
        <v>1</v>
      </c>
      <c r="X20" s="3">
        <f t="shared" si="3"/>
        <v>0</v>
      </c>
      <c r="Y20" s="3">
        <f t="shared" si="1"/>
        <v>1</v>
      </c>
      <c r="Z20" s="3">
        <f t="shared" si="1"/>
        <v>0</v>
      </c>
      <c r="AA20" s="3">
        <f t="shared" si="1"/>
        <v>1</v>
      </c>
    </row>
    <row r="21" spans="1:27" x14ac:dyDescent="0.4">
      <c r="H21" s="3">
        <f t="shared" si="4"/>
        <v>1</v>
      </c>
      <c r="I21" s="3">
        <f t="shared" si="4"/>
        <v>0</v>
      </c>
      <c r="J21" s="3">
        <f t="shared" si="4"/>
        <v>1</v>
      </c>
      <c r="K21" s="3">
        <f t="shared" si="4"/>
        <v>0</v>
      </c>
      <c r="L21" s="3">
        <f t="shared" si="4"/>
        <v>1</v>
      </c>
      <c r="M21" s="3">
        <f t="shared" si="4"/>
        <v>0</v>
      </c>
      <c r="N21" s="3">
        <f t="shared" si="4"/>
        <v>1</v>
      </c>
      <c r="O21" s="3">
        <f t="shared" si="4"/>
        <v>0</v>
      </c>
      <c r="P21" s="3">
        <f t="shared" si="4"/>
        <v>1</v>
      </c>
      <c r="Q21" s="3">
        <f t="shared" si="4"/>
        <v>0</v>
      </c>
      <c r="R21" s="3">
        <f t="shared" si="4"/>
        <v>1</v>
      </c>
      <c r="S21" s="3">
        <f t="shared" si="4"/>
        <v>0</v>
      </c>
      <c r="T21" s="3">
        <f t="shared" si="4"/>
        <v>1</v>
      </c>
      <c r="U21" s="3">
        <f t="shared" si="4"/>
        <v>0</v>
      </c>
      <c r="V21" s="3">
        <f t="shared" si="4"/>
        <v>1</v>
      </c>
      <c r="W21" s="3">
        <f t="shared" si="4"/>
        <v>0</v>
      </c>
      <c r="X21" s="3">
        <f t="shared" si="3"/>
        <v>1</v>
      </c>
      <c r="Y21" s="3">
        <f t="shared" si="1"/>
        <v>0</v>
      </c>
      <c r="Z21" s="3">
        <f t="shared" si="1"/>
        <v>1</v>
      </c>
      <c r="AA21" s="3">
        <f t="shared" si="1"/>
        <v>0</v>
      </c>
    </row>
    <row r="22" spans="1:27" x14ac:dyDescent="0.4">
      <c r="H22" s="3">
        <f t="shared" si="4"/>
        <v>0</v>
      </c>
      <c r="I22" s="3">
        <f t="shared" si="4"/>
        <v>1</v>
      </c>
      <c r="J22" s="3">
        <f t="shared" si="4"/>
        <v>0</v>
      </c>
      <c r="K22" s="3">
        <f t="shared" si="4"/>
        <v>1</v>
      </c>
      <c r="L22" s="3">
        <f t="shared" si="4"/>
        <v>0</v>
      </c>
      <c r="M22" s="3">
        <f t="shared" si="4"/>
        <v>1</v>
      </c>
      <c r="N22" s="3">
        <f t="shared" si="4"/>
        <v>0</v>
      </c>
      <c r="O22" s="3">
        <f t="shared" si="4"/>
        <v>1</v>
      </c>
      <c r="P22" s="3">
        <f t="shared" si="4"/>
        <v>0</v>
      </c>
      <c r="Q22" s="3">
        <f t="shared" si="4"/>
        <v>1</v>
      </c>
      <c r="R22" s="3">
        <f t="shared" si="4"/>
        <v>0</v>
      </c>
      <c r="S22" s="3">
        <f t="shared" si="4"/>
        <v>1</v>
      </c>
      <c r="T22" s="3">
        <f t="shared" si="4"/>
        <v>0</v>
      </c>
      <c r="U22" s="3">
        <f t="shared" si="4"/>
        <v>1</v>
      </c>
      <c r="V22" s="3">
        <f t="shared" si="4"/>
        <v>0</v>
      </c>
      <c r="W22" s="3">
        <f t="shared" si="4"/>
        <v>1</v>
      </c>
      <c r="X22" s="3">
        <f t="shared" si="3"/>
        <v>0</v>
      </c>
      <c r="Y22" s="3">
        <f t="shared" si="1"/>
        <v>1</v>
      </c>
      <c r="Z22" s="3">
        <f t="shared" si="1"/>
        <v>0</v>
      </c>
      <c r="AA22" s="3">
        <f t="shared" si="1"/>
        <v>1</v>
      </c>
    </row>
    <row r="28" spans="1:27" x14ac:dyDescent="0.4">
      <c r="A28" t="s">
        <v>19</v>
      </c>
      <c r="F28" t="s">
        <v>20</v>
      </c>
    </row>
    <row r="29" spans="1:27" x14ac:dyDescent="0.4">
      <c r="F29" t="s">
        <v>21</v>
      </c>
    </row>
    <row r="31" spans="1:27" x14ac:dyDescent="0.4">
      <c r="C31" s="4" t="s">
        <v>8</v>
      </c>
      <c r="D31" s="4" t="s">
        <v>9</v>
      </c>
      <c r="H31" s="3">
        <f ca="1">(IF(RAND()&lt;EXP(-$C$34/$D$34)/(EXP($C$34/$D$34)+EXP(-$C$34/$D$34)),1,0))</f>
        <v>1</v>
      </c>
      <c r="I31" s="3">
        <f t="shared" ref="I31:X46" ca="1" si="5">(IF(RAND()&lt;EXP(-$C$34/$D$34)/(EXP($C$34/$D$34)+EXP(-$C$34/$D$34)),1,0))</f>
        <v>1</v>
      </c>
      <c r="J31" s="3">
        <f t="shared" ca="1" si="5"/>
        <v>1</v>
      </c>
      <c r="K31" s="3">
        <f t="shared" ca="1" si="5"/>
        <v>0</v>
      </c>
      <c r="L31" s="3">
        <f t="shared" ca="1" si="5"/>
        <v>1</v>
      </c>
      <c r="M31" s="3">
        <f t="shared" ca="1" si="5"/>
        <v>0</v>
      </c>
      <c r="N31" s="3">
        <f t="shared" ca="1" si="5"/>
        <v>0</v>
      </c>
      <c r="O31" s="3">
        <f t="shared" ca="1" si="5"/>
        <v>1</v>
      </c>
      <c r="P31" s="3">
        <f t="shared" ca="1" si="5"/>
        <v>1</v>
      </c>
      <c r="Q31" s="3">
        <f t="shared" ca="1" si="5"/>
        <v>0</v>
      </c>
      <c r="R31" s="3">
        <f t="shared" ca="1" si="5"/>
        <v>0</v>
      </c>
      <c r="S31" s="3">
        <f t="shared" ca="1" si="5"/>
        <v>0</v>
      </c>
      <c r="T31" s="3">
        <f t="shared" ca="1" si="5"/>
        <v>1</v>
      </c>
      <c r="U31" s="3">
        <f t="shared" ca="1" si="5"/>
        <v>1</v>
      </c>
      <c r="V31" s="3">
        <f t="shared" ca="1" si="5"/>
        <v>0</v>
      </c>
      <c r="W31" s="3">
        <f t="shared" ca="1" si="5"/>
        <v>0</v>
      </c>
      <c r="X31" s="3">
        <f t="shared" ca="1" si="5"/>
        <v>0</v>
      </c>
      <c r="Y31" s="3">
        <f t="shared" ref="Y31:AA50" ca="1" si="6">(IF(RAND()&lt;EXP(-$C$34/$D$34)/(EXP($C$34/$D$34)+EXP(-$C$34/$D$34)),1,0))</f>
        <v>0</v>
      </c>
      <c r="Z31" s="3">
        <f t="shared" ca="1" si="6"/>
        <v>0</v>
      </c>
      <c r="AA31" s="3">
        <f t="shared" ca="1" si="6"/>
        <v>0</v>
      </c>
    </row>
    <row r="32" spans="1:27" x14ac:dyDescent="0.4">
      <c r="C32" s="4">
        <v>10</v>
      </c>
      <c r="D32" s="4">
        <v>300</v>
      </c>
      <c r="H32" s="3">
        <f t="shared" ref="H32:W47" ca="1" si="7">(IF(RAND()&lt;EXP(-$C$34/$D$34)/(EXP($C$34/$D$34)+EXP(-$C$34/$D$34)),1,0))</f>
        <v>1</v>
      </c>
      <c r="I32" s="3">
        <f t="shared" ca="1" si="5"/>
        <v>0</v>
      </c>
      <c r="J32" s="3">
        <f t="shared" ca="1" si="5"/>
        <v>1</v>
      </c>
      <c r="K32" s="3">
        <f t="shared" ca="1" si="5"/>
        <v>1</v>
      </c>
      <c r="L32" s="3">
        <f t="shared" ca="1" si="5"/>
        <v>1</v>
      </c>
      <c r="M32" s="3">
        <f t="shared" ca="1" si="5"/>
        <v>1</v>
      </c>
      <c r="N32" s="3">
        <f t="shared" ca="1" si="5"/>
        <v>0</v>
      </c>
      <c r="O32" s="3">
        <f t="shared" ca="1" si="5"/>
        <v>0</v>
      </c>
      <c r="P32" s="3">
        <f t="shared" ca="1" si="5"/>
        <v>0</v>
      </c>
      <c r="Q32" s="3">
        <f t="shared" ca="1" si="5"/>
        <v>0</v>
      </c>
      <c r="R32" s="3">
        <f t="shared" ca="1" si="5"/>
        <v>1</v>
      </c>
      <c r="S32" s="3">
        <f t="shared" ca="1" si="5"/>
        <v>1</v>
      </c>
      <c r="T32" s="3">
        <f t="shared" ca="1" si="5"/>
        <v>0</v>
      </c>
      <c r="U32" s="3">
        <f t="shared" ca="1" si="5"/>
        <v>0</v>
      </c>
      <c r="V32" s="3">
        <f t="shared" ca="1" si="5"/>
        <v>1</v>
      </c>
      <c r="W32" s="3">
        <f t="shared" ca="1" si="5"/>
        <v>0</v>
      </c>
      <c r="X32" s="3">
        <f t="shared" ca="1" si="5"/>
        <v>1</v>
      </c>
      <c r="Y32" s="3">
        <f t="shared" ca="1" si="6"/>
        <v>1</v>
      </c>
      <c r="Z32" s="3">
        <f t="shared" ca="1" si="6"/>
        <v>0</v>
      </c>
      <c r="AA32" s="3">
        <f t="shared" ca="1" si="6"/>
        <v>1</v>
      </c>
    </row>
    <row r="33" spans="3:27" x14ac:dyDescent="0.4">
      <c r="C33" t="s">
        <v>13</v>
      </c>
      <c r="D33" t="s">
        <v>14</v>
      </c>
      <c r="H33" s="3">
        <f t="shared" ca="1" si="7"/>
        <v>0</v>
      </c>
      <c r="I33" s="3">
        <f t="shared" ca="1" si="5"/>
        <v>0</v>
      </c>
      <c r="J33" s="3">
        <f t="shared" ca="1" si="5"/>
        <v>1</v>
      </c>
      <c r="K33" s="3">
        <f t="shared" ca="1" si="5"/>
        <v>0</v>
      </c>
      <c r="L33" s="3">
        <f t="shared" ca="1" si="5"/>
        <v>0</v>
      </c>
      <c r="M33" s="3">
        <f t="shared" ca="1" si="5"/>
        <v>0</v>
      </c>
      <c r="N33" s="3">
        <f t="shared" ca="1" si="5"/>
        <v>0</v>
      </c>
      <c r="O33" s="3">
        <f t="shared" ca="1" si="5"/>
        <v>0</v>
      </c>
      <c r="P33" s="3">
        <f t="shared" ca="1" si="5"/>
        <v>0</v>
      </c>
      <c r="Q33" s="3">
        <f t="shared" ca="1" si="5"/>
        <v>0</v>
      </c>
      <c r="R33" s="3">
        <f t="shared" ca="1" si="5"/>
        <v>0</v>
      </c>
      <c r="S33" s="3">
        <f t="shared" ca="1" si="5"/>
        <v>0</v>
      </c>
      <c r="T33" s="3">
        <f t="shared" ca="1" si="5"/>
        <v>0</v>
      </c>
      <c r="U33" s="3">
        <f t="shared" ca="1" si="5"/>
        <v>1</v>
      </c>
      <c r="V33" s="3">
        <f t="shared" ca="1" si="5"/>
        <v>1</v>
      </c>
      <c r="W33" s="3">
        <f t="shared" ca="1" si="5"/>
        <v>1</v>
      </c>
      <c r="X33" s="3">
        <f t="shared" ca="1" si="5"/>
        <v>0</v>
      </c>
      <c r="Y33" s="3">
        <f t="shared" ca="1" si="6"/>
        <v>1</v>
      </c>
      <c r="Z33" s="3">
        <f t="shared" ca="1" si="6"/>
        <v>0</v>
      </c>
      <c r="AA33" s="3">
        <f t="shared" ca="1" si="6"/>
        <v>0</v>
      </c>
    </row>
    <row r="34" spans="3:27" x14ac:dyDescent="0.4">
      <c r="C34">
        <f>5.788381806*10^(-5)*C32</f>
        <v>5.7883818060000005E-4</v>
      </c>
      <c r="D34">
        <f>8.617333262*10^(-5)*D32</f>
        <v>2.5851999786000005E-2</v>
      </c>
      <c r="H34" s="3">
        <f t="shared" ca="1" si="7"/>
        <v>0</v>
      </c>
      <c r="I34" s="3">
        <f t="shared" ca="1" si="5"/>
        <v>0</v>
      </c>
      <c r="J34" s="3">
        <f t="shared" ca="1" si="5"/>
        <v>1</v>
      </c>
      <c r="K34" s="3">
        <f t="shared" ca="1" si="5"/>
        <v>1</v>
      </c>
      <c r="L34" s="3">
        <f t="shared" ca="1" si="5"/>
        <v>0</v>
      </c>
      <c r="M34" s="3">
        <f t="shared" ca="1" si="5"/>
        <v>0</v>
      </c>
      <c r="N34" s="3">
        <f t="shared" ca="1" si="5"/>
        <v>1</v>
      </c>
      <c r="O34" s="3">
        <f t="shared" ca="1" si="5"/>
        <v>1</v>
      </c>
      <c r="P34" s="3">
        <f t="shared" ca="1" si="5"/>
        <v>0</v>
      </c>
      <c r="Q34" s="3">
        <f t="shared" ca="1" si="5"/>
        <v>0</v>
      </c>
      <c r="R34" s="3">
        <f t="shared" ca="1" si="5"/>
        <v>0</v>
      </c>
      <c r="S34" s="3">
        <f t="shared" ca="1" si="5"/>
        <v>1</v>
      </c>
      <c r="T34" s="3">
        <f t="shared" ca="1" si="5"/>
        <v>1</v>
      </c>
      <c r="U34" s="3">
        <f t="shared" ca="1" si="5"/>
        <v>1</v>
      </c>
      <c r="V34" s="3">
        <f t="shared" ca="1" si="5"/>
        <v>1</v>
      </c>
      <c r="W34" s="3">
        <f t="shared" ca="1" si="5"/>
        <v>1</v>
      </c>
      <c r="X34" s="3">
        <f t="shared" ca="1" si="5"/>
        <v>1</v>
      </c>
      <c r="Y34" s="3">
        <f t="shared" ca="1" si="6"/>
        <v>1</v>
      </c>
      <c r="Z34" s="3">
        <f t="shared" ca="1" si="6"/>
        <v>1</v>
      </c>
      <c r="AA34" s="3">
        <f t="shared" ca="1" si="6"/>
        <v>1</v>
      </c>
    </row>
    <row r="35" spans="3:27" x14ac:dyDescent="0.4">
      <c r="H35" s="3">
        <f t="shared" ca="1" si="7"/>
        <v>1</v>
      </c>
      <c r="I35" s="3">
        <f t="shared" ca="1" si="5"/>
        <v>0</v>
      </c>
      <c r="J35" s="3">
        <f t="shared" ca="1" si="5"/>
        <v>1</v>
      </c>
      <c r="K35" s="3">
        <f t="shared" ca="1" si="5"/>
        <v>0</v>
      </c>
      <c r="L35" s="3">
        <f t="shared" ca="1" si="5"/>
        <v>1</v>
      </c>
      <c r="M35" s="3">
        <f t="shared" ca="1" si="5"/>
        <v>1</v>
      </c>
      <c r="N35" s="3">
        <f t="shared" ca="1" si="5"/>
        <v>0</v>
      </c>
      <c r="O35" s="3">
        <f t="shared" ca="1" si="5"/>
        <v>1</v>
      </c>
      <c r="P35" s="3">
        <f t="shared" ca="1" si="5"/>
        <v>1</v>
      </c>
      <c r="Q35" s="3">
        <f t="shared" ca="1" si="5"/>
        <v>1</v>
      </c>
      <c r="R35" s="3">
        <f ca="1">(IF(RAND()&lt;EXP(-$C$34/$D$34)/(EXP($C$34/$D$34)+EXP(-$C$34/$D$34)),1,0))</f>
        <v>0</v>
      </c>
      <c r="S35" s="3">
        <f t="shared" ca="1" si="5"/>
        <v>1</v>
      </c>
      <c r="T35" s="3">
        <f t="shared" ca="1" si="5"/>
        <v>1</v>
      </c>
      <c r="U35" s="3">
        <f t="shared" ca="1" si="5"/>
        <v>0</v>
      </c>
      <c r="V35" s="3">
        <f t="shared" ca="1" si="5"/>
        <v>1</v>
      </c>
      <c r="W35" s="3">
        <f t="shared" ca="1" si="5"/>
        <v>0</v>
      </c>
      <c r="X35" s="3">
        <f t="shared" ca="1" si="5"/>
        <v>0</v>
      </c>
      <c r="Y35" s="3">
        <f t="shared" ca="1" si="6"/>
        <v>0</v>
      </c>
      <c r="Z35" s="3">
        <f t="shared" ca="1" si="6"/>
        <v>0</v>
      </c>
      <c r="AA35" s="3">
        <f t="shared" ca="1" si="6"/>
        <v>1</v>
      </c>
    </row>
    <row r="36" spans="3:27" x14ac:dyDescent="0.4">
      <c r="H36" s="3">
        <f t="shared" ca="1" si="7"/>
        <v>0</v>
      </c>
      <c r="I36" s="3">
        <f t="shared" ca="1" si="5"/>
        <v>1</v>
      </c>
      <c r="J36" s="3">
        <f t="shared" ca="1" si="5"/>
        <v>1</v>
      </c>
      <c r="K36" s="3">
        <f t="shared" ca="1" si="5"/>
        <v>1</v>
      </c>
      <c r="L36" s="3">
        <f t="shared" ca="1" si="5"/>
        <v>1</v>
      </c>
      <c r="M36" s="3">
        <f t="shared" ca="1" si="5"/>
        <v>1</v>
      </c>
      <c r="N36" s="3">
        <f t="shared" ca="1" si="5"/>
        <v>1</v>
      </c>
      <c r="O36" s="3">
        <f t="shared" ca="1" si="5"/>
        <v>1</v>
      </c>
      <c r="P36" s="3">
        <f t="shared" ca="1" si="5"/>
        <v>0</v>
      </c>
      <c r="Q36" s="3">
        <f t="shared" ca="1" si="5"/>
        <v>0</v>
      </c>
      <c r="R36" s="3">
        <f t="shared" ca="1" si="5"/>
        <v>0</v>
      </c>
      <c r="S36" s="3">
        <f t="shared" ca="1" si="5"/>
        <v>1</v>
      </c>
      <c r="T36" s="3">
        <f t="shared" ca="1" si="5"/>
        <v>1</v>
      </c>
      <c r="U36" s="3">
        <f t="shared" ca="1" si="5"/>
        <v>1</v>
      </c>
      <c r="V36" s="3">
        <f t="shared" ca="1" si="5"/>
        <v>0</v>
      </c>
      <c r="W36" s="3">
        <f t="shared" ca="1" si="5"/>
        <v>1</v>
      </c>
      <c r="X36" s="3">
        <f t="shared" ca="1" si="5"/>
        <v>1</v>
      </c>
      <c r="Y36" s="3">
        <f t="shared" ca="1" si="6"/>
        <v>0</v>
      </c>
      <c r="Z36" s="3">
        <f t="shared" ca="1" si="6"/>
        <v>1</v>
      </c>
      <c r="AA36" s="3">
        <f t="shared" ca="1" si="6"/>
        <v>1</v>
      </c>
    </row>
    <row r="37" spans="3:27" x14ac:dyDescent="0.4">
      <c r="H37" s="3">
        <f t="shared" ca="1" si="7"/>
        <v>0</v>
      </c>
      <c r="I37" s="3">
        <f t="shared" ca="1" si="5"/>
        <v>1</v>
      </c>
      <c r="J37" s="3">
        <f t="shared" ca="1" si="5"/>
        <v>1</v>
      </c>
      <c r="K37" s="3">
        <f t="shared" ca="1" si="5"/>
        <v>1</v>
      </c>
      <c r="L37" s="3">
        <f t="shared" ca="1" si="5"/>
        <v>0</v>
      </c>
      <c r="M37" s="3">
        <f t="shared" ca="1" si="5"/>
        <v>1</v>
      </c>
      <c r="N37" s="3">
        <f t="shared" ca="1" si="5"/>
        <v>1</v>
      </c>
      <c r="O37" s="3">
        <f t="shared" ca="1" si="5"/>
        <v>1</v>
      </c>
      <c r="P37" s="3">
        <f t="shared" ca="1" si="5"/>
        <v>0</v>
      </c>
      <c r="Q37" s="3">
        <f t="shared" ca="1" si="5"/>
        <v>1</v>
      </c>
      <c r="R37" s="3">
        <f t="shared" ca="1" si="5"/>
        <v>0</v>
      </c>
      <c r="S37" s="3">
        <f t="shared" ca="1" si="5"/>
        <v>0</v>
      </c>
      <c r="T37" s="3">
        <f t="shared" ca="1" si="5"/>
        <v>0</v>
      </c>
      <c r="U37" s="3">
        <f t="shared" ca="1" si="5"/>
        <v>0</v>
      </c>
      <c r="V37" s="3">
        <f t="shared" ca="1" si="5"/>
        <v>1</v>
      </c>
      <c r="W37" s="3">
        <f t="shared" ca="1" si="5"/>
        <v>0</v>
      </c>
      <c r="X37" s="3">
        <f t="shared" ca="1" si="5"/>
        <v>1</v>
      </c>
      <c r="Y37" s="3">
        <f t="shared" ca="1" si="6"/>
        <v>1</v>
      </c>
      <c r="Z37" s="3">
        <f t="shared" ca="1" si="6"/>
        <v>0</v>
      </c>
      <c r="AA37" s="3">
        <f t="shared" ca="1" si="6"/>
        <v>0</v>
      </c>
    </row>
    <row r="38" spans="3:27" x14ac:dyDescent="0.4">
      <c r="C38" t="s">
        <v>15</v>
      </c>
      <c r="H38" s="3">
        <f t="shared" ca="1" si="7"/>
        <v>0</v>
      </c>
      <c r="I38" s="3">
        <f t="shared" ca="1" si="5"/>
        <v>1</v>
      </c>
      <c r="J38" s="3">
        <f t="shared" ca="1" si="5"/>
        <v>1</v>
      </c>
      <c r="K38" s="3">
        <f t="shared" ca="1" si="5"/>
        <v>1</v>
      </c>
      <c r="L38" s="3">
        <f t="shared" ca="1" si="5"/>
        <v>0</v>
      </c>
      <c r="M38" s="3">
        <f t="shared" ca="1" si="5"/>
        <v>1</v>
      </c>
      <c r="N38" s="3">
        <f t="shared" ca="1" si="5"/>
        <v>1</v>
      </c>
      <c r="O38" s="3">
        <f t="shared" ca="1" si="5"/>
        <v>1</v>
      </c>
      <c r="P38" s="3">
        <f t="shared" ca="1" si="5"/>
        <v>1</v>
      </c>
      <c r="Q38" s="3">
        <f t="shared" ca="1" si="5"/>
        <v>0</v>
      </c>
      <c r="R38" s="3">
        <f t="shared" ca="1" si="5"/>
        <v>1</v>
      </c>
      <c r="S38" s="3">
        <f t="shared" ca="1" si="5"/>
        <v>0</v>
      </c>
      <c r="T38" s="3">
        <f t="shared" ca="1" si="5"/>
        <v>1</v>
      </c>
      <c r="U38" s="3">
        <f t="shared" ca="1" si="5"/>
        <v>1</v>
      </c>
      <c r="V38" s="3">
        <f t="shared" ca="1" si="5"/>
        <v>1</v>
      </c>
      <c r="W38" s="3">
        <f t="shared" ca="1" si="5"/>
        <v>1</v>
      </c>
      <c r="X38" s="3">
        <f t="shared" ca="1" si="5"/>
        <v>1</v>
      </c>
      <c r="Y38" s="3">
        <f t="shared" ca="1" si="6"/>
        <v>0</v>
      </c>
      <c r="Z38" s="3">
        <f t="shared" ca="1" si="6"/>
        <v>0</v>
      </c>
      <c r="AA38" s="3">
        <f t="shared" ca="1" si="6"/>
        <v>1</v>
      </c>
    </row>
    <row r="39" spans="3:27" x14ac:dyDescent="0.4">
      <c r="H39" s="3">
        <f t="shared" ca="1" si="7"/>
        <v>0</v>
      </c>
      <c r="I39" s="3">
        <f t="shared" ca="1" si="5"/>
        <v>0</v>
      </c>
      <c r="J39" s="3">
        <f t="shared" ca="1" si="5"/>
        <v>0</v>
      </c>
      <c r="K39" s="3">
        <f t="shared" ca="1" si="5"/>
        <v>1</v>
      </c>
      <c r="L39" s="3">
        <f t="shared" ca="1" si="5"/>
        <v>0</v>
      </c>
      <c r="M39" s="3">
        <f t="shared" ca="1" si="5"/>
        <v>0</v>
      </c>
      <c r="N39" s="3">
        <f t="shared" ca="1" si="5"/>
        <v>1</v>
      </c>
      <c r="O39" s="3">
        <f t="shared" ca="1" si="5"/>
        <v>1</v>
      </c>
      <c r="P39" s="3">
        <f t="shared" ca="1" si="5"/>
        <v>0</v>
      </c>
      <c r="Q39" s="3">
        <f t="shared" ca="1" si="5"/>
        <v>1</v>
      </c>
      <c r="R39" s="3">
        <f t="shared" ca="1" si="5"/>
        <v>1</v>
      </c>
      <c r="S39" s="3">
        <f t="shared" ca="1" si="5"/>
        <v>1</v>
      </c>
      <c r="T39" s="3">
        <f t="shared" ca="1" si="5"/>
        <v>0</v>
      </c>
      <c r="U39" s="3">
        <f t="shared" ca="1" si="5"/>
        <v>0</v>
      </c>
      <c r="V39" s="3">
        <f t="shared" ca="1" si="5"/>
        <v>0</v>
      </c>
      <c r="W39" s="3">
        <f t="shared" ca="1" si="5"/>
        <v>1</v>
      </c>
      <c r="X39" s="3">
        <f t="shared" ca="1" si="5"/>
        <v>0</v>
      </c>
      <c r="Y39" s="3">
        <f t="shared" ca="1" si="6"/>
        <v>1</v>
      </c>
      <c r="Z39" s="3">
        <f t="shared" ca="1" si="6"/>
        <v>0</v>
      </c>
      <c r="AA39" s="3">
        <f t="shared" ca="1" si="6"/>
        <v>1</v>
      </c>
    </row>
    <row r="40" spans="3:27" x14ac:dyDescent="0.4">
      <c r="H40" s="3">
        <f t="shared" ca="1" si="7"/>
        <v>0</v>
      </c>
      <c r="I40" s="3">
        <f t="shared" ca="1" si="5"/>
        <v>0</v>
      </c>
      <c r="J40" s="3">
        <f t="shared" ca="1" si="5"/>
        <v>1</v>
      </c>
      <c r="K40" s="3">
        <f t="shared" ca="1" si="5"/>
        <v>1</v>
      </c>
      <c r="L40" s="3">
        <f t="shared" ca="1" si="5"/>
        <v>1</v>
      </c>
      <c r="M40" s="3">
        <f t="shared" ca="1" si="5"/>
        <v>1</v>
      </c>
      <c r="N40" s="3">
        <f t="shared" ca="1" si="5"/>
        <v>0</v>
      </c>
      <c r="O40" s="3">
        <f t="shared" ca="1" si="5"/>
        <v>0</v>
      </c>
      <c r="P40" s="3">
        <f t="shared" ca="1" si="5"/>
        <v>1</v>
      </c>
      <c r="Q40" s="3">
        <f t="shared" ca="1" si="5"/>
        <v>1</v>
      </c>
      <c r="R40" s="3">
        <f t="shared" ca="1" si="5"/>
        <v>0</v>
      </c>
      <c r="S40" s="3">
        <f t="shared" ca="1" si="5"/>
        <v>1</v>
      </c>
      <c r="T40" s="3">
        <f t="shared" ca="1" si="5"/>
        <v>1</v>
      </c>
      <c r="U40" s="3">
        <f t="shared" ca="1" si="5"/>
        <v>1</v>
      </c>
      <c r="V40" s="3">
        <f t="shared" ca="1" si="5"/>
        <v>0</v>
      </c>
      <c r="W40" s="3">
        <f t="shared" ca="1" si="5"/>
        <v>0</v>
      </c>
      <c r="X40" s="3">
        <f t="shared" ca="1" si="5"/>
        <v>0</v>
      </c>
      <c r="Y40" s="3">
        <f t="shared" ca="1" si="6"/>
        <v>1</v>
      </c>
      <c r="Z40" s="3">
        <f t="shared" ca="1" si="6"/>
        <v>1</v>
      </c>
      <c r="AA40" s="3">
        <f t="shared" ca="1" si="6"/>
        <v>0</v>
      </c>
    </row>
    <row r="41" spans="3:27" x14ac:dyDescent="0.4">
      <c r="H41" s="3">
        <f t="shared" ca="1" si="7"/>
        <v>0</v>
      </c>
      <c r="I41" s="3">
        <f t="shared" ca="1" si="5"/>
        <v>1</v>
      </c>
      <c r="J41" s="3">
        <f t="shared" ca="1" si="5"/>
        <v>1</v>
      </c>
      <c r="K41" s="3">
        <f t="shared" ca="1" si="5"/>
        <v>0</v>
      </c>
      <c r="L41" s="3">
        <f t="shared" ca="1" si="5"/>
        <v>0</v>
      </c>
      <c r="M41" s="3">
        <f t="shared" ca="1" si="5"/>
        <v>0</v>
      </c>
      <c r="N41" s="3">
        <f t="shared" ca="1" si="5"/>
        <v>0</v>
      </c>
      <c r="O41" s="3">
        <f t="shared" ca="1" si="5"/>
        <v>0</v>
      </c>
      <c r="P41" s="3">
        <f t="shared" ca="1" si="5"/>
        <v>1</v>
      </c>
      <c r="Q41" s="3">
        <f t="shared" ca="1" si="5"/>
        <v>1</v>
      </c>
      <c r="R41" s="3">
        <f t="shared" ca="1" si="5"/>
        <v>1</v>
      </c>
      <c r="S41" s="3">
        <f t="shared" ca="1" si="5"/>
        <v>0</v>
      </c>
      <c r="T41" s="3">
        <f t="shared" ca="1" si="5"/>
        <v>1</v>
      </c>
      <c r="U41" s="3">
        <f t="shared" ca="1" si="5"/>
        <v>0</v>
      </c>
      <c r="V41" s="3">
        <f t="shared" ca="1" si="5"/>
        <v>1</v>
      </c>
      <c r="W41" s="3">
        <f t="shared" ca="1" si="5"/>
        <v>1</v>
      </c>
      <c r="X41" s="3">
        <f t="shared" ca="1" si="5"/>
        <v>0</v>
      </c>
      <c r="Y41" s="3">
        <f t="shared" ca="1" si="6"/>
        <v>0</v>
      </c>
      <c r="Z41" s="3">
        <f t="shared" ca="1" si="6"/>
        <v>1</v>
      </c>
      <c r="AA41" s="3">
        <f t="shared" ca="1" si="6"/>
        <v>1</v>
      </c>
    </row>
    <row r="42" spans="3:27" x14ac:dyDescent="0.4">
      <c r="H42" s="3">
        <f t="shared" ca="1" si="7"/>
        <v>1</v>
      </c>
      <c r="I42" s="3">
        <f t="shared" ca="1" si="5"/>
        <v>0</v>
      </c>
      <c r="J42" s="3">
        <f t="shared" ca="1" si="5"/>
        <v>0</v>
      </c>
      <c r="K42" s="3">
        <f t="shared" ca="1" si="5"/>
        <v>0</v>
      </c>
      <c r="L42" s="3">
        <f t="shared" ca="1" si="5"/>
        <v>0</v>
      </c>
      <c r="M42" s="3">
        <f t="shared" ca="1" si="5"/>
        <v>0</v>
      </c>
      <c r="N42" s="3">
        <f t="shared" ca="1" si="5"/>
        <v>1</v>
      </c>
      <c r="O42" s="3">
        <f t="shared" ca="1" si="5"/>
        <v>1</v>
      </c>
      <c r="P42" s="3">
        <f t="shared" ca="1" si="5"/>
        <v>1</v>
      </c>
      <c r="Q42" s="3">
        <f t="shared" ca="1" si="5"/>
        <v>0</v>
      </c>
      <c r="R42" s="3">
        <f t="shared" ca="1" si="5"/>
        <v>1</v>
      </c>
      <c r="S42" s="3">
        <f t="shared" ca="1" si="5"/>
        <v>0</v>
      </c>
      <c r="T42" s="3">
        <f t="shared" ca="1" si="5"/>
        <v>0</v>
      </c>
      <c r="U42" s="3">
        <f t="shared" ca="1" si="5"/>
        <v>1</v>
      </c>
      <c r="V42" s="3">
        <f t="shared" ca="1" si="5"/>
        <v>1</v>
      </c>
      <c r="W42" s="3">
        <f t="shared" ca="1" si="5"/>
        <v>1</v>
      </c>
      <c r="X42" s="3">
        <f t="shared" ca="1" si="5"/>
        <v>0</v>
      </c>
      <c r="Y42" s="3">
        <f t="shared" ca="1" si="6"/>
        <v>1</v>
      </c>
      <c r="Z42" s="3">
        <f t="shared" ca="1" si="6"/>
        <v>1</v>
      </c>
      <c r="AA42" s="3">
        <f t="shared" ca="1" si="6"/>
        <v>1</v>
      </c>
    </row>
    <row r="43" spans="3:27" x14ac:dyDescent="0.4">
      <c r="H43" s="3">
        <f t="shared" ca="1" si="7"/>
        <v>0</v>
      </c>
      <c r="I43" s="3">
        <f t="shared" ca="1" si="5"/>
        <v>1</v>
      </c>
      <c r="J43" s="3">
        <f t="shared" ca="1" si="5"/>
        <v>1</v>
      </c>
      <c r="K43" s="3">
        <f t="shared" ca="1" si="5"/>
        <v>1</v>
      </c>
      <c r="L43" s="3">
        <f t="shared" ca="1" si="5"/>
        <v>1</v>
      </c>
      <c r="M43" s="3">
        <f t="shared" ca="1" si="5"/>
        <v>0</v>
      </c>
      <c r="N43" s="3">
        <f t="shared" ca="1" si="5"/>
        <v>0</v>
      </c>
      <c r="O43" s="3">
        <f t="shared" ca="1" si="5"/>
        <v>1</v>
      </c>
      <c r="P43" s="3">
        <f t="shared" ca="1" si="5"/>
        <v>0</v>
      </c>
      <c r="Q43" s="3">
        <f t="shared" ca="1" si="5"/>
        <v>1</v>
      </c>
      <c r="R43" s="3">
        <f t="shared" ca="1" si="5"/>
        <v>1</v>
      </c>
      <c r="S43" s="3">
        <f t="shared" ca="1" si="5"/>
        <v>0</v>
      </c>
      <c r="T43" s="3">
        <f t="shared" ca="1" si="5"/>
        <v>0</v>
      </c>
      <c r="U43" s="3">
        <f t="shared" ca="1" si="5"/>
        <v>0</v>
      </c>
      <c r="V43" s="3">
        <f t="shared" ca="1" si="5"/>
        <v>1</v>
      </c>
      <c r="W43" s="3">
        <f t="shared" ca="1" si="5"/>
        <v>0</v>
      </c>
      <c r="X43" s="3">
        <f t="shared" ca="1" si="5"/>
        <v>1</v>
      </c>
      <c r="Y43" s="3">
        <f t="shared" ca="1" si="6"/>
        <v>1</v>
      </c>
      <c r="Z43" s="3">
        <f t="shared" ca="1" si="6"/>
        <v>1</v>
      </c>
      <c r="AA43" s="3">
        <f t="shared" ca="1" si="6"/>
        <v>1</v>
      </c>
    </row>
    <row r="44" spans="3:27" x14ac:dyDescent="0.4">
      <c r="H44" s="3">
        <f t="shared" ca="1" si="7"/>
        <v>0</v>
      </c>
      <c r="I44" s="3">
        <f t="shared" ca="1" si="5"/>
        <v>1</v>
      </c>
      <c r="J44" s="3">
        <f t="shared" ca="1" si="5"/>
        <v>1</v>
      </c>
      <c r="K44" s="3">
        <f t="shared" ca="1" si="5"/>
        <v>1</v>
      </c>
      <c r="L44" s="3">
        <f t="shared" ca="1" si="5"/>
        <v>1</v>
      </c>
      <c r="M44" s="3">
        <f t="shared" ca="1" si="5"/>
        <v>0</v>
      </c>
      <c r="N44" s="3">
        <f t="shared" ca="1" si="5"/>
        <v>0</v>
      </c>
      <c r="O44" s="3">
        <f t="shared" ca="1" si="5"/>
        <v>1</v>
      </c>
      <c r="P44" s="3">
        <f t="shared" ca="1" si="5"/>
        <v>1</v>
      </c>
      <c r="Q44" s="3">
        <f t="shared" ca="1" si="5"/>
        <v>0</v>
      </c>
      <c r="R44" s="3">
        <f t="shared" ca="1" si="5"/>
        <v>0</v>
      </c>
      <c r="S44" s="3">
        <f t="shared" ca="1" si="5"/>
        <v>0</v>
      </c>
      <c r="T44" s="3">
        <f t="shared" ca="1" si="5"/>
        <v>1</v>
      </c>
      <c r="U44" s="3">
        <f t="shared" ca="1" si="5"/>
        <v>0</v>
      </c>
      <c r="V44" s="3">
        <f t="shared" ca="1" si="5"/>
        <v>1</v>
      </c>
      <c r="W44" s="3">
        <f t="shared" ca="1" si="5"/>
        <v>1</v>
      </c>
      <c r="X44" s="3">
        <f t="shared" ca="1" si="5"/>
        <v>1</v>
      </c>
      <c r="Y44" s="3">
        <f t="shared" ca="1" si="6"/>
        <v>1</v>
      </c>
      <c r="Z44" s="3">
        <f t="shared" ca="1" si="6"/>
        <v>0</v>
      </c>
      <c r="AA44" s="3">
        <f t="shared" ca="1" si="6"/>
        <v>0</v>
      </c>
    </row>
    <row r="45" spans="3:27" x14ac:dyDescent="0.4">
      <c r="H45" s="3">
        <f t="shared" ca="1" si="7"/>
        <v>0</v>
      </c>
      <c r="I45" s="3">
        <f t="shared" ca="1" si="5"/>
        <v>0</v>
      </c>
      <c r="J45" s="3">
        <f t="shared" ca="1" si="5"/>
        <v>0</v>
      </c>
      <c r="K45" s="3">
        <f t="shared" ca="1" si="5"/>
        <v>1</v>
      </c>
      <c r="L45" s="3">
        <f t="shared" ca="1" si="5"/>
        <v>1</v>
      </c>
      <c r="M45" s="3">
        <f t="shared" ca="1" si="5"/>
        <v>0</v>
      </c>
      <c r="N45" s="3">
        <f t="shared" ca="1" si="5"/>
        <v>1</v>
      </c>
      <c r="O45" s="3">
        <f t="shared" ca="1" si="5"/>
        <v>1</v>
      </c>
      <c r="P45" s="3">
        <f t="shared" ca="1" si="5"/>
        <v>1</v>
      </c>
      <c r="Q45" s="3">
        <f t="shared" ca="1" si="5"/>
        <v>0</v>
      </c>
      <c r="R45" s="3">
        <f t="shared" ca="1" si="5"/>
        <v>0</v>
      </c>
      <c r="S45" s="3">
        <f t="shared" ca="1" si="5"/>
        <v>1</v>
      </c>
      <c r="T45" s="3">
        <f t="shared" ca="1" si="5"/>
        <v>1</v>
      </c>
      <c r="U45" s="3">
        <f t="shared" ca="1" si="5"/>
        <v>1</v>
      </c>
      <c r="V45" s="3">
        <f t="shared" ca="1" si="5"/>
        <v>1</v>
      </c>
      <c r="W45" s="3">
        <f t="shared" ca="1" si="5"/>
        <v>0</v>
      </c>
      <c r="X45" s="3">
        <f t="shared" ca="1" si="5"/>
        <v>1</v>
      </c>
      <c r="Y45" s="3">
        <f t="shared" ca="1" si="6"/>
        <v>0</v>
      </c>
      <c r="Z45" s="3">
        <f t="shared" ca="1" si="6"/>
        <v>0</v>
      </c>
      <c r="AA45" s="3">
        <f t="shared" ca="1" si="6"/>
        <v>1</v>
      </c>
    </row>
    <row r="46" spans="3:27" x14ac:dyDescent="0.4">
      <c r="H46" s="3">
        <f t="shared" ca="1" si="7"/>
        <v>1</v>
      </c>
      <c r="I46" s="3">
        <f t="shared" ca="1" si="5"/>
        <v>1</v>
      </c>
      <c r="J46" s="3">
        <f t="shared" ca="1" si="5"/>
        <v>1</v>
      </c>
      <c r="K46" s="3">
        <f t="shared" ca="1" si="5"/>
        <v>0</v>
      </c>
      <c r="L46" s="3">
        <f t="shared" ca="1" si="5"/>
        <v>1</v>
      </c>
      <c r="M46" s="3">
        <f t="shared" ca="1" si="5"/>
        <v>1</v>
      </c>
      <c r="N46" s="3">
        <f t="shared" ca="1" si="5"/>
        <v>0</v>
      </c>
      <c r="O46" s="3">
        <f t="shared" ca="1" si="5"/>
        <v>0</v>
      </c>
      <c r="P46" s="3">
        <f t="shared" ca="1" si="5"/>
        <v>0</v>
      </c>
      <c r="Q46" s="3">
        <f t="shared" ca="1" si="5"/>
        <v>1</v>
      </c>
      <c r="R46" s="3">
        <f t="shared" ca="1" si="5"/>
        <v>0</v>
      </c>
      <c r="S46" s="3">
        <f t="shared" ca="1" si="5"/>
        <v>0</v>
      </c>
      <c r="T46" s="3">
        <f t="shared" ca="1" si="5"/>
        <v>0</v>
      </c>
      <c r="U46" s="3">
        <f t="shared" ca="1" si="5"/>
        <v>0</v>
      </c>
      <c r="V46" s="3">
        <f t="shared" ca="1" si="5"/>
        <v>0</v>
      </c>
      <c r="W46" s="3">
        <f t="shared" ca="1" si="5"/>
        <v>1</v>
      </c>
      <c r="X46" s="3">
        <f t="shared" ca="1" si="5"/>
        <v>1</v>
      </c>
      <c r="Y46" s="3">
        <f t="shared" ca="1" si="6"/>
        <v>0</v>
      </c>
      <c r="Z46" s="3">
        <f t="shared" ca="1" si="6"/>
        <v>0</v>
      </c>
      <c r="AA46" s="3">
        <f t="shared" ca="1" si="6"/>
        <v>1</v>
      </c>
    </row>
    <row r="47" spans="3:27" x14ac:dyDescent="0.4">
      <c r="H47" s="3">
        <f t="shared" ca="1" si="7"/>
        <v>1</v>
      </c>
      <c r="I47" s="3">
        <f t="shared" ca="1" si="7"/>
        <v>0</v>
      </c>
      <c r="J47" s="3">
        <f t="shared" ca="1" si="7"/>
        <v>1</v>
      </c>
      <c r="K47" s="3">
        <f t="shared" ca="1" si="7"/>
        <v>1</v>
      </c>
      <c r="L47" s="3">
        <f t="shared" ca="1" si="7"/>
        <v>1</v>
      </c>
      <c r="M47" s="3">
        <f t="shared" ca="1" si="7"/>
        <v>0</v>
      </c>
      <c r="N47" s="3">
        <f t="shared" ca="1" si="7"/>
        <v>0</v>
      </c>
      <c r="O47" s="3">
        <f t="shared" ca="1" si="7"/>
        <v>0</v>
      </c>
      <c r="P47" s="3">
        <f t="shared" ca="1" si="7"/>
        <v>1</v>
      </c>
      <c r="Q47" s="3">
        <f t="shared" ca="1" si="7"/>
        <v>0</v>
      </c>
      <c r="R47" s="3">
        <f t="shared" ca="1" si="7"/>
        <v>1</v>
      </c>
      <c r="S47" s="3">
        <f t="shared" ca="1" si="7"/>
        <v>1</v>
      </c>
      <c r="T47" s="3">
        <f t="shared" ca="1" si="7"/>
        <v>1</v>
      </c>
      <c r="U47" s="3">
        <f t="shared" ca="1" si="7"/>
        <v>1</v>
      </c>
      <c r="V47" s="3">
        <f t="shared" ca="1" si="7"/>
        <v>0</v>
      </c>
      <c r="W47" s="3">
        <f t="shared" ca="1" si="7"/>
        <v>0</v>
      </c>
      <c r="X47" s="3">
        <f t="shared" ref="X47:X50" ca="1" si="8">(IF(RAND()&lt;EXP(-$C$34/$D$34)/(EXP($C$34/$D$34)+EXP(-$C$34/$D$34)),1,0))</f>
        <v>0</v>
      </c>
      <c r="Y47" s="3">
        <f t="shared" ca="1" si="6"/>
        <v>1</v>
      </c>
      <c r="Z47" s="3">
        <f t="shared" ca="1" si="6"/>
        <v>0</v>
      </c>
      <c r="AA47" s="3">
        <f t="shared" ca="1" si="6"/>
        <v>0</v>
      </c>
    </row>
    <row r="48" spans="3:27" x14ac:dyDescent="0.4">
      <c r="F48" t="s">
        <v>16</v>
      </c>
      <c r="G48">
        <f ca="1">COUNTIF(H31:AA50,1)</f>
        <v>213</v>
      </c>
      <c r="H48" s="3">
        <f t="shared" ref="H48:W50" ca="1" si="9">(IF(RAND()&lt;EXP(-$C$34/$D$34)/(EXP($C$34/$D$34)+EXP(-$C$34/$D$34)),1,0))</f>
        <v>1</v>
      </c>
      <c r="I48" s="3">
        <f t="shared" ca="1" si="9"/>
        <v>0</v>
      </c>
      <c r="J48" s="3">
        <f t="shared" ca="1" si="9"/>
        <v>1</v>
      </c>
      <c r="K48" s="3">
        <f t="shared" ca="1" si="9"/>
        <v>1</v>
      </c>
      <c r="L48" s="3">
        <f t="shared" ca="1" si="9"/>
        <v>0</v>
      </c>
      <c r="M48" s="3">
        <f t="shared" ca="1" si="9"/>
        <v>0</v>
      </c>
      <c r="N48" s="3">
        <f t="shared" ca="1" si="9"/>
        <v>1</v>
      </c>
      <c r="O48" s="3">
        <f t="shared" ca="1" si="9"/>
        <v>1</v>
      </c>
      <c r="P48" s="3">
        <f t="shared" ca="1" si="9"/>
        <v>1</v>
      </c>
      <c r="Q48" s="3">
        <f t="shared" ca="1" si="9"/>
        <v>1</v>
      </c>
      <c r="R48" s="3">
        <f t="shared" ca="1" si="9"/>
        <v>1</v>
      </c>
      <c r="S48" s="3">
        <f t="shared" ca="1" si="9"/>
        <v>0</v>
      </c>
      <c r="T48" s="3">
        <f t="shared" ca="1" si="9"/>
        <v>1</v>
      </c>
      <c r="U48" s="3">
        <f t="shared" ca="1" si="9"/>
        <v>0</v>
      </c>
      <c r="V48" s="3">
        <f t="shared" ca="1" si="9"/>
        <v>1</v>
      </c>
      <c r="W48" s="3">
        <f t="shared" ca="1" si="9"/>
        <v>1</v>
      </c>
      <c r="X48" s="3">
        <f t="shared" ca="1" si="8"/>
        <v>0</v>
      </c>
      <c r="Y48" s="3">
        <f t="shared" ca="1" si="6"/>
        <v>0</v>
      </c>
      <c r="Z48" s="3">
        <f t="shared" ca="1" si="6"/>
        <v>1</v>
      </c>
      <c r="AA48" s="3">
        <f t="shared" ca="1" si="6"/>
        <v>0</v>
      </c>
    </row>
    <row r="49" spans="6:27" x14ac:dyDescent="0.4">
      <c r="F49" t="s">
        <v>17</v>
      </c>
      <c r="G49">
        <f ca="1">-(G48*1/2+(400-G48)*(-1/2))/400</f>
        <v>-3.2500000000000001E-2</v>
      </c>
      <c r="H49" s="3">
        <f t="shared" ca="1" si="9"/>
        <v>0</v>
      </c>
      <c r="I49" s="3">
        <f t="shared" ca="1" si="9"/>
        <v>1</v>
      </c>
      <c r="J49" s="3">
        <f t="shared" ca="1" si="9"/>
        <v>0</v>
      </c>
      <c r="K49" s="3">
        <f t="shared" ca="1" si="9"/>
        <v>0</v>
      </c>
      <c r="L49" s="3">
        <f t="shared" ca="1" si="9"/>
        <v>1</v>
      </c>
      <c r="M49" s="3">
        <f t="shared" ca="1" si="9"/>
        <v>0</v>
      </c>
      <c r="N49" s="3">
        <f t="shared" ca="1" si="9"/>
        <v>1</v>
      </c>
      <c r="O49" s="3">
        <f t="shared" ca="1" si="9"/>
        <v>1</v>
      </c>
      <c r="P49" s="3">
        <f t="shared" ca="1" si="9"/>
        <v>0</v>
      </c>
      <c r="Q49" s="3">
        <f t="shared" ca="1" si="9"/>
        <v>1</v>
      </c>
      <c r="R49" s="3">
        <f t="shared" ca="1" si="9"/>
        <v>0</v>
      </c>
      <c r="S49" s="3">
        <f t="shared" ca="1" si="9"/>
        <v>0</v>
      </c>
      <c r="T49" s="3">
        <f t="shared" ca="1" si="9"/>
        <v>0</v>
      </c>
      <c r="U49" s="3">
        <f t="shared" ca="1" si="9"/>
        <v>1</v>
      </c>
      <c r="V49" s="3">
        <f t="shared" ca="1" si="9"/>
        <v>1</v>
      </c>
      <c r="W49" s="3">
        <f t="shared" ca="1" si="9"/>
        <v>1</v>
      </c>
      <c r="X49" s="3">
        <f t="shared" ca="1" si="8"/>
        <v>0</v>
      </c>
      <c r="Y49" s="3">
        <f t="shared" ca="1" si="6"/>
        <v>0</v>
      </c>
      <c r="Z49" s="3">
        <f t="shared" ca="1" si="6"/>
        <v>0</v>
      </c>
      <c r="AA49" s="3">
        <f t="shared" ca="1" si="6"/>
        <v>1</v>
      </c>
    </row>
    <row r="50" spans="6:27" x14ac:dyDescent="0.4">
      <c r="H50" s="3">
        <f t="shared" ca="1" si="9"/>
        <v>1</v>
      </c>
      <c r="I50" s="3">
        <f t="shared" ca="1" si="9"/>
        <v>1</v>
      </c>
      <c r="J50" s="3">
        <f t="shared" ca="1" si="9"/>
        <v>0</v>
      </c>
      <c r="K50" s="3">
        <f t="shared" ca="1" si="9"/>
        <v>0</v>
      </c>
      <c r="L50" s="3">
        <f t="shared" ca="1" si="9"/>
        <v>0</v>
      </c>
      <c r="M50" s="3">
        <f t="shared" ca="1" si="9"/>
        <v>0</v>
      </c>
      <c r="N50" s="3">
        <f t="shared" ca="1" si="9"/>
        <v>1</v>
      </c>
      <c r="O50" s="3">
        <f t="shared" ca="1" si="9"/>
        <v>1</v>
      </c>
      <c r="P50" s="3">
        <f t="shared" ca="1" si="9"/>
        <v>0</v>
      </c>
      <c r="Q50" s="3">
        <f t="shared" ca="1" si="9"/>
        <v>1</v>
      </c>
      <c r="R50" s="3">
        <f t="shared" ca="1" si="9"/>
        <v>1</v>
      </c>
      <c r="S50" s="3">
        <f t="shared" ca="1" si="9"/>
        <v>1</v>
      </c>
      <c r="T50" s="3">
        <f t="shared" ca="1" si="9"/>
        <v>0</v>
      </c>
      <c r="U50" s="3">
        <f t="shared" ca="1" si="9"/>
        <v>1</v>
      </c>
      <c r="V50" s="3">
        <f t="shared" ca="1" si="9"/>
        <v>0</v>
      </c>
      <c r="W50" s="3">
        <f t="shared" ca="1" si="9"/>
        <v>1</v>
      </c>
      <c r="X50" s="3">
        <f t="shared" ca="1" si="8"/>
        <v>0</v>
      </c>
      <c r="Y50" s="3">
        <f t="shared" ca="1" si="6"/>
        <v>1</v>
      </c>
      <c r="Z50" s="3">
        <f t="shared" ca="1" si="6"/>
        <v>1</v>
      </c>
      <c r="AA50" s="3">
        <f t="shared" ca="1" si="6"/>
        <v>1</v>
      </c>
    </row>
  </sheetData>
  <phoneticPr fontId="1" type="noConversion"/>
  <conditionalFormatting sqref="H3:AA22">
    <cfRule type="colorScale" priority="2">
      <colorScale>
        <cfvo type="num" val="0"/>
        <cfvo type="num" val="1"/>
        <color theme="0"/>
        <color rgb="FF0070C0"/>
      </colorScale>
    </cfRule>
  </conditionalFormatting>
  <conditionalFormatting sqref="H31:AA50">
    <cfRule type="colorScale" priority="1">
      <colorScale>
        <cfvo type="num" val="0"/>
        <cfvo type="num" val="1"/>
        <color theme="0"/>
        <color rgb="FF0070C0"/>
      </colorScale>
    </cfRule>
  </conditionalFormatting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F5CB9-07E5-42DB-B6C0-12FFE17ECD3F}">
  <sheetPr codeName="Sheet2"/>
  <dimension ref="A1:AG431"/>
  <sheetViews>
    <sheetView tabSelected="1" topLeftCell="A28" zoomScale="85" zoomScaleNormal="85" workbookViewId="0">
      <selection activeCell="B45" sqref="B45"/>
    </sheetView>
  </sheetViews>
  <sheetFormatPr defaultRowHeight="17.399999999999999" x14ac:dyDescent="0.4"/>
  <cols>
    <col min="3" max="3" width="8.8984375" bestFit="1" customWidth="1"/>
    <col min="4" max="4" width="13" bestFit="1" customWidth="1"/>
    <col min="6" max="6" width="12.69921875" customWidth="1"/>
    <col min="7" max="7" width="8.8984375" bestFit="1" customWidth="1"/>
    <col min="8" max="27" width="3.69921875" customWidth="1"/>
  </cols>
  <sheetData>
    <row r="1" spans="1:27" x14ac:dyDescent="0.4">
      <c r="A1" t="s">
        <v>0</v>
      </c>
      <c r="D1" t="s">
        <v>1</v>
      </c>
      <c r="H1" t="s">
        <v>2</v>
      </c>
      <c r="O1" s="1" t="s">
        <v>3</v>
      </c>
      <c r="Q1" s="2"/>
      <c r="R1" s="1" t="s">
        <v>4</v>
      </c>
    </row>
    <row r="3" spans="1:27" x14ac:dyDescent="0.4">
      <c r="H3" s="3">
        <f>((ROW(H3)+COLUMN(H3))/2-INT((ROW(H3)+COLUMN(H3))/2))*2</f>
        <v>1</v>
      </c>
      <c r="I3" s="3">
        <f t="shared" ref="I3:X18" si="0">((ROW(I3)+COLUMN(I3))/2-INT((ROW(I3)+COLUMN(I3))/2))*2</f>
        <v>0</v>
      </c>
      <c r="J3" s="3">
        <f t="shared" si="0"/>
        <v>1</v>
      </c>
      <c r="K3" s="3">
        <f t="shared" si="0"/>
        <v>0</v>
      </c>
      <c r="L3" s="3">
        <f t="shared" si="0"/>
        <v>1</v>
      </c>
      <c r="M3" s="3">
        <f t="shared" si="0"/>
        <v>0</v>
      </c>
      <c r="N3" s="3">
        <f t="shared" si="0"/>
        <v>1</v>
      </c>
      <c r="O3" s="3">
        <f t="shared" si="0"/>
        <v>0</v>
      </c>
      <c r="P3" s="3">
        <f t="shared" si="0"/>
        <v>1</v>
      </c>
      <c r="Q3" s="3">
        <f t="shared" si="0"/>
        <v>0</v>
      </c>
      <c r="R3" s="3">
        <f t="shared" si="0"/>
        <v>1</v>
      </c>
      <c r="S3" s="3">
        <f t="shared" si="0"/>
        <v>0</v>
      </c>
      <c r="T3" s="3">
        <f t="shared" si="0"/>
        <v>1</v>
      </c>
      <c r="U3" s="3">
        <f t="shared" si="0"/>
        <v>0</v>
      </c>
      <c r="V3" s="3">
        <f t="shared" si="0"/>
        <v>1</v>
      </c>
      <c r="W3" s="3">
        <f t="shared" si="0"/>
        <v>0</v>
      </c>
      <c r="X3" s="3">
        <f t="shared" si="0"/>
        <v>1</v>
      </c>
      <c r="Y3" s="3">
        <f t="shared" ref="Y3:AA22" si="1">((ROW(Y3)+COLUMN(Y3))/2-INT((ROW(Y3)+COLUMN(Y3))/2))*2</f>
        <v>0</v>
      </c>
      <c r="Z3" s="3">
        <f t="shared" si="1"/>
        <v>1</v>
      </c>
      <c r="AA3" s="3">
        <f t="shared" si="1"/>
        <v>0</v>
      </c>
    </row>
    <row r="4" spans="1:27" x14ac:dyDescent="0.4">
      <c r="H4" s="3">
        <f t="shared" ref="H4:W19" si="2">((ROW(H4)+COLUMN(H4))/2-INT((ROW(H4)+COLUMN(H4))/2))*2</f>
        <v>0</v>
      </c>
      <c r="I4" s="3">
        <f t="shared" si="0"/>
        <v>1</v>
      </c>
      <c r="J4" s="3">
        <f t="shared" si="0"/>
        <v>0</v>
      </c>
      <c r="K4" s="3">
        <f t="shared" si="0"/>
        <v>1</v>
      </c>
      <c r="L4" s="3">
        <f t="shared" si="0"/>
        <v>0</v>
      </c>
      <c r="M4" s="3">
        <f t="shared" si="0"/>
        <v>1</v>
      </c>
      <c r="N4" s="3">
        <f t="shared" si="0"/>
        <v>0</v>
      </c>
      <c r="O4" s="3">
        <f t="shared" si="0"/>
        <v>1</v>
      </c>
      <c r="P4" s="3">
        <f t="shared" si="0"/>
        <v>0</v>
      </c>
      <c r="Q4" s="3">
        <f t="shared" si="0"/>
        <v>1</v>
      </c>
      <c r="R4" s="3">
        <f t="shared" si="0"/>
        <v>0</v>
      </c>
      <c r="S4" s="3">
        <f t="shared" si="0"/>
        <v>1</v>
      </c>
      <c r="T4" s="3">
        <f t="shared" si="0"/>
        <v>0</v>
      </c>
      <c r="U4" s="3">
        <f t="shared" si="0"/>
        <v>1</v>
      </c>
      <c r="V4" s="3">
        <f t="shared" si="0"/>
        <v>0</v>
      </c>
      <c r="W4" s="3">
        <f t="shared" si="0"/>
        <v>1</v>
      </c>
      <c r="X4" s="3">
        <f t="shared" si="0"/>
        <v>0</v>
      </c>
      <c r="Y4" s="3">
        <f t="shared" si="1"/>
        <v>1</v>
      </c>
      <c r="Z4" s="3">
        <f t="shared" si="1"/>
        <v>0</v>
      </c>
      <c r="AA4" s="3">
        <f t="shared" si="1"/>
        <v>1</v>
      </c>
    </row>
    <row r="5" spans="1:27" x14ac:dyDescent="0.4">
      <c r="H5" s="3">
        <f t="shared" si="2"/>
        <v>1</v>
      </c>
      <c r="I5" s="3">
        <f t="shared" si="0"/>
        <v>0</v>
      </c>
      <c r="J5" s="3">
        <f t="shared" si="0"/>
        <v>1</v>
      </c>
      <c r="K5" s="3">
        <f t="shared" si="0"/>
        <v>0</v>
      </c>
      <c r="L5" s="3">
        <f t="shared" si="0"/>
        <v>1</v>
      </c>
      <c r="M5" s="3">
        <f t="shared" si="0"/>
        <v>0</v>
      </c>
      <c r="N5" s="3">
        <f t="shared" si="0"/>
        <v>1</v>
      </c>
      <c r="O5" s="3">
        <f t="shared" si="0"/>
        <v>0</v>
      </c>
      <c r="P5" s="3">
        <f t="shared" si="0"/>
        <v>1</v>
      </c>
      <c r="Q5" s="3">
        <f t="shared" si="0"/>
        <v>0</v>
      </c>
      <c r="R5" s="3">
        <f t="shared" si="0"/>
        <v>1</v>
      </c>
      <c r="S5" s="3">
        <f t="shared" si="0"/>
        <v>0</v>
      </c>
      <c r="T5" s="3">
        <f t="shared" si="0"/>
        <v>1</v>
      </c>
      <c r="U5" s="3">
        <f t="shared" si="0"/>
        <v>0</v>
      </c>
      <c r="V5" s="3">
        <f t="shared" si="0"/>
        <v>1</v>
      </c>
      <c r="W5" s="3">
        <f t="shared" si="0"/>
        <v>0</v>
      </c>
      <c r="X5" s="3">
        <f t="shared" si="0"/>
        <v>1</v>
      </c>
      <c r="Y5" s="3">
        <f t="shared" si="1"/>
        <v>0</v>
      </c>
      <c r="Z5" s="3">
        <f t="shared" si="1"/>
        <v>1</v>
      </c>
      <c r="AA5" s="3">
        <f t="shared" si="1"/>
        <v>0</v>
      </c>
    </row>
    <row r="6" spans="1:27" x14ac:dyDescent="0.4">
      <c r="H6" s="3">
        <f t="shared" si="2"/>
        <v>0</v>
      </c>
      <c r="I6" s="3">
        <f t="shared" si="0"/>
        <v>1</v>
      </c>
      <c r="J6" s="3">
        <f t="shared" si="0"/>
        <v>0</v>
      </c>
      <c r="K6" s="3">
        <f t="shared" si="0"/>
        <v>1</v>
      </c>
      <c r="L6" s="3">
        <f t="shared" si="0"/>
        <v>0</v>
      </c>
      <c r="M6" s="3">
        <f t="shared" si="0"/>
        <v>1</v>
      </c>
      <c r="N6" s="3">
        <f t="shared" si="0"/>
        <v>0</v>
      </c>
      <c r="O6" s="3">
        <f t="shared" si="0"/>
        <v>1</v>
      </c>
      <c r="P6" s="3">
        <f t="shared" si="0"/>
        <v>0</v>
      </c>
      <c r="Q6" s="3">
        <f t="shared" si="0"/>
        <v>1</v>
      </c>
      <c r="R6" s="3">
        <f t="shared" si="0"/>
        <v>0</v>
      </c>
      <c r="S6" s="3">
        <f t="shared" si="0"/>
        <v>1</v>
      </c>
      <c r="T6" s="3">
        <f t="shared" si="0"/>
        <v>0</v>
      </c>
      <c r="U6" s="3">
        <f t="shared" si="0"/>
        <v>1</v>
      </c>
      <c r="V6" s="3">
        <f t="shared" si="0"/>
        <v>0</v>
      </c>
      <c r="W6" s="3">
        <f t="shared" si="0"/>
        <v>1</v>
      </c>
      <c r="X6" s="3">
        <f t="shared" si="0"/>
        <v>0</v>
      </c>
      <c r="Y6" s="3">
        <f t="shared" si="1"/>
        <v>1</v>
      </c>
      <c r="Z6" s="3">
        <f t="shared" si="1"/>
        <v>0</v>
      </c>
      <c r="AA6" s="3">
        <f t="shared" si="1"/>
        <v>1</v>
      </c>
    </row>
    <row r="7" spans="1:27" x14ac:dyDescent="0.4">
      <c r="H7" s="3">
        <f t="shared" si="2"/>
        <v>1</v>
      </c>
      <c r="I7" s="3">
        <f t="shared" si="0"/>
        <v>0</v>
      </c>
      <c r="J7" s="3">
        <f t="shared" si="0"/>
        <v>1</v>
      </c>
      <c r="K7" s="3">
        <f t="shared" si="0"/>
        <v>0</v>
      </c>
      <c r="L7" s="3">
        <f t="shared" si="0"/>
        <v>1</v>
      </c>
      <c r="M7" s="3">
        <f t="shared" si="0"/>
        <v>0</v>
      </c>
      <c r="N7" s="3">
        <f t="shared" si="0"/>
        <v>1</v>
      </c>
      <c r="O7" s="3">
        <f t="shared" si="0"/>
        <v>0</v>
      </c>
      <c r="P7" s="3">
        <f t="shared" si="0"/>
        <v>1</v>
      </c>
      <c r="Q7" s="3">
        <f t="shared" si="0"/>
        <v>0</v>
      </c>
      <c r="R7" s="3">
        <f t="shared" si="0"/>
        <v>1</v>
      </c>
      <c r="S7" s="3">
        <f t="shared" si="0"/>
        <v>0</v>
      </c>
      <c r="T7" s="3">
        <f t="shared" si="0"/>
        <v>1</v>
      </c>
      <c r="U7" s="3">
        <f t="shared" si="0"/>
        <v>0</v>
      </c>
      <c r="V7" s="3">
        <f t="shared" si="0"/>
        <v>1</v>
      </c>
      <c r="W7" s="3">
        <f t="shared" si="0"/>
        <v>0</v>
      </c>
      <c r="X7" s="3">
        <f t="shared" si="0"/>
        <v>1</v>
      </c>
      <c r="Y7" s="3">
        <f t="shared" si="1"/>
        <v>0</v>
      </c>
      <c r="Z7" s="3">
        <f t="shared" si="1"/>
        <v>1</v>
      </c>
      <c r="AA7" s="3">
        <f t="shared" si="1"/>
        <v>0</v>
      </c>
    </row>
    <row r="8" spans="1:27" x14ac:dyDescent="0.4">
      <c r="H8" s="3">
        <f t="shared" si="2"/>
        <v>0</v>
      </c>
      <c r="I8" s="3">
        <f t="shared" si="0"/>
        <v>1</v>
      </c>
      <c r="J8" s="3">
        <f t="shared" si="0"/>
        <v>0</v>
      </c>
      <c r="K8" s="3">
        <f t="shared" si="0"/>
        <v>1</v>
      </c>
      <c r="L8" s="3">
        <f t="shared" si="0"/>
        <v>0</v>
      </c>
      <c r="M8" s="3">
        <f t="shared" si="0"/>
        <v>1</v>
      </c>
      <c r="N8" s="3">
        <f t="shared" si="0"/>
        <v>0</v>
      </c>
      <c r="O8" s="3">
        <f t="shared" si="0"/>
        <v>1</v>
      </c>
      <c r="P8" s="3">
        <f t="shared" si="0"/>
        <v>0</v>
      </c>
      <c r="Q8" s="3">
        <f t="shared" si="0"/>
        <v>1</v>
      </c>
      <c r="R8" s="3">
        <f t="shared" si="0"/>
        <v>0</v>
      </c>
      <c r="S8" s="3">
        <f t="shared" si="0"/>
        <v>1</v>
      </c>
      <c r="T8" s="3">
        <f t="shared" si="0"/>
        <v>0</v>
      </c>
      <c r="U8" s="3">
        <f t="shared" si="0"/>
        <v>1</v>
      </c>
      <c r="V8" s="3">
        <f t="shared" si="0"/>
        <v>0</v>
      </c>
      <c r="W8" s="3">
        <f t="shared" si="0"/>
        <v>1</v>
      </c>
      <c r="X8" s="3">
        <f t="shared" si="0"/>
        <v>0</v>
      </c>
      <c r="Y8" s="3">
        <f t="shared" si="1"/>
        <v>1</v>
      </c>
      <c r="Z8" s="3">
        <f t="shared" si="1"/>
        <v>0</v>
      </c>
      <c r="AA8" s="3">
        <f t="shared" si="1"/>
        <v>1</v>
      </c>
    </row>
    <row r="9" spans="1:27" x14ac:dyDescent="0.4">
      <c r="H9" s="3">
        <f t="shared" si="2"/>
        <v>1</v>
      </c>
      <c r="I9" s="3">
        <f t="shared" si="0"/>
        <v>0</v>
      </c>
      <c r="J9" s="3">
        <f t="shared" si="0"/>
        <v>1</v>
      </c>
      <c r="K9" s="3">
        <f t="shared" si="0"/>
        <v>0</v>
      </c>
      <c r="L9" s="3">
        <f t="shared" si="0"/>
        <v>1</v>
      </c>
      <c r="M9" s="3">
        <f t="shared" si="0"/>
        <v>0</v>
      </c>
      <c r="N9" s="3">
        <f t="shared" si="0"/>
        <v>1</v>
      </c>
      <c r="O9" s="3">
        <f t="shared" si="0"/>
        <v>0</v>
      </c>
      <c r="P9" s="3">
        <f t="shared" si="0"/>
        <v>1</v>
      </c>
      <c r="Q9" s="3">
        <f t="shared" si="0"/>
        <v>0</v>
      </c>
      <c r="R9" s="3">
        <f t="shared" si="0"/>
        <v>1</v>
      </c>
      <c r="S9" s="3">
        <f t="shared" si="0"/>
        <v>0</v>
      </c>
      <c r="T9" s="3">
        <f t="shared" si="0"/>
        <v>1</v>
      </c>
      <c r="U9" s="3">
        <f t="shared" si="0"/>
        <v>0</v>
      </c>
      <c r="V9" s="3">
        <f t="shared" si="0"/>
        <v>1</v>
      </c>
      <c r="W9" s="3">
        <f t="shared" si="0"/>
        <v>0</v>
      </c>
      <c r="X9" s="3">
        <f t="shared" si="0"/>
        <v>1</v>
      </c>
      <c r="Y9" s="3">
        <f t="shared" si="1"/>
        <v>0</v>
      </c>
      <c r="Z9" s="3">
        <f t="shared" si="1"/>
        <v>1</v>
      </c>
      <c r="AA9" s="3">
        <f t="shared" si="1"/>
        <v>0</v>
      </c>
    </row>
    <row r="10" spans="1:27" x14ac:dyDescent="0.4">
      <c r="H10" s="3">
        <f t="shared" si="2"/>
        <v>0</v>
      </c>
      <c r="I10" s="3">
        <f t="shared" si="0"/>
        <v>1</v>
      </c>
      <c r="J10" s="3">
        <f t="shared" si="0"/>
        <v>0</v>
      </c>
      <c r="K10" s="3">
        <f t="shared" si="0"/>
        <v>1</v>
      </c>
      <c r="L10" s="3">
        <f t="shared" si="0"/>
        <v>0</v>
      </c>
      <c r="M10" s="3">
        <f t="shared" si="0"/>
        <v>1</v>
      </c>
      <c r="N10" s="3">
        <f t="shared" si="0"/>
        <v>0</v>
      </c>
      <c r="O10" s="3">
        <f t="shared" si="0"/>
        <v>1</v>
      </c>
      <c r="P10" s="3">
        <f t="shared" si="0"/>
        <v>0</v>
      </c>
      <c r="Q10" s="3">
        <f t="shared" si="0"/>
        <v>1</v>
      </c>
      <c r="R10" s="3">
        <f t="shared" si="0"/>
        <v>0</v>
      </c>
      <c r="S10" s="3">
        <f t="shared" si="0"/>
        <v>1</v>
      </c>
      <c r="T10" s="3">
        <f t="shared" si="0"/>
        <v>0</v>
      </c>
      <c r="U10" s="3">
        <f t="shared" si="0"/>
        <v>1</v>
      </c>
      <c r="V10" s="3">
        <f t="shared" si="0"/>
        <v>0</v>
      </c>
      <c r="W10" s="3">
        <f t="shared" si="0"/>
        <v>1</v>
      </c>
      <c r="X10" s="3">
        <f t="shared" si="0"/>
        <v>0</v>
      </c>
      <c r="Y10" s="3">
        <f t="shared" si="1"/>
        <v>1</v>
      </c>
      <c r="Z10" s="3">
        <f t="shared" si="1"/>
        <v>0</v>
      </c>
      <c r="AA10" s="3">
        <f t="shared" si="1"/>
        <v>1</v>
      </c>
    </row>
    <row r="11" spans="1:27" x14ac:dyDescent="0.4">
      <c r="H11" s="3">
        <f t="shared" si="2"/>
        <v>1</v>
      </c>
      <c r="I11" s="3">
        <f t="shared" si="0"/>
        <v>0</v>
      </c>
      <c r="J11" s="3">
        <f t="shared" si="0"/>
        <v>1</v>
      </c>
      <c r="K11" s="3">
        <f t="shared" si="0"/>
        <v>0</v>
      </c>
      <c r="L11" s="3">
        <f t="shared" si="0"/>
        <v>1</v>
      </c>
      <c r="M11" s="3">
        <f t="shared" si="0"/>
        <v>0</v>
      </c>
      <c r="N11" s="3">
        <f t="shared" si="0"/>
        <v>1</v>
      </c>
      <c r="O11" s="3">
        <f t="shared" si="0"/>
        <v>0</v>
      </c>
      <c r="P11" s="3">
        <f t="shared" si="0"/>
        <v>1</v>
      </c>
      <c r="Q11" s="3">
        <f t="shared" si="0"/>
        <v>0</v>
      </c>
      <c r="R11" s="3">
        <f t="shared" si="0"/>
        <v>1</v>
      </c>
      <c r="S11" s="3">
        <f t="shared" si="0"/>
        <v>0</v>
      </c>
      <c r="T11" s="3">
        <f t="shared" si="0"/>
        <v>1</v>
      </c>
      <c r="U11" s="3">
        <f t="shared" si="0"/>
        <v>0</v>
      </c>
      <c r="V11" s="3">
        <f t="shared" si="0"/>
        <v>1</v>
      </c>
      <c r="W11" s="3">
        <f t="shared" si="0"/>
        <v>0</v>
      </c>
      <c r="X11" s="3">
        <f t="shared" si="0"/>
        <v>1</v>
      </c>
      <c r="Y11" s="3">
        <f t="shared" si="1"/>
        <v>0</v>
      </c>
      <c r="Z11" s="3">
        <f t="shared" si="1"/>
        <v>1</v>
      </c>
      <c r="AA11" s="3">
        <f t="shared" si="1"/>
        <v>0</v>
      </c>
    </row>
    <row r="12" spans="1:27" x14ac:dyDescent="0.4">
      <c r="H12" s="3">
        <f t="shared" si="2"/>
        <v>0</v>
      </c>
      <c r="I12" s="3">
        <f t="shared" si="0"/>
        <v>1</v>
      </c>
      <c r="J12" s="3">
        <f t="shared" si="0"/>
        <v>0</v>
      </c>
      <c r="K12" s="3">
        <f t="shared" si="0"/>
        <v>1</v>
      </c>
      <c r="L12" s="3">
        <f t="shared" si="0"/>
        <v>0</v>
      </c>
      <c r="M12" s="3">
        <f t="shared" si="0"/>
        <v>1</v>
      </c>
      <c r="N12" s="3">
        <f t="shared" si="0"/>
        <v>0</v>
      </c>
      <c r="O12" s="3">
        <f t="shared" si="0"/>
        <v>1</v>
      </c>
      <c r="P12" s="3">
        <f t="shared" si="0"/>
        <v>0</v>
      </c>
      <c r="Q12" s="3">
        <f t="shared" si="0"/>
        <v>1</v>
      </c>
      <c r="R12" s="3">
        <f t="shared" si="0"/>
        <v>0</v>
      </c>
      <c r="S12" s="3">
        <f t="shared" si="0"/>
        <v>1</v>
      </c>
      <c r="T12" s="3">
        <f t="shared" si="0"/>
        <v>0</v>
      </c>
      <c r="U12" s="3">
        <f t="shared" si="0"/>
        <v>1</v>
      </c>
      <c r="V12" s="3">
        <f t="shared" si="0"/>
        <v>0</v>
      </c>
      <c r="W12" s="3">
        <f t="shared" si="0"/>
        <v>1</v>
      </c>
      <c r="X12" s="3">
        <f t="shared" si="0"/>
        <v>0</v>
      </c>
      <c r="Y12" s="3">
        <f t="shared" si="1"/>
        <v>1</v>
      </c>
      <c r="Z12" s="3">
        <f t="shared" si="1"/>
        <v>0</v>
      </c>
      <c r="AA12" s="3">
        <f t="shared" si="1"/>
        <v>1</v>
      </c>
    </row>
    <row r="13" spans="1:27" x14ac:dyDescent="0.4">
      <c r="H13" s="3">
        <f t="shared" si="2"/>
        <v>1</v>
      </c>
      <c r="I13" s="3">
        <f t="shared" si="0"/>
        <v>0</v>
      </c>
      <c r="J13" s="3">
        <f t="shared" si="0"/>
        <v>1</v>
      </c>
      <c r="K13" s="3">
        <f t="shared" si="0"/>
        <v>0</v>
      </c>
      <c r="L13" s="3">
        <f t="shared" si="0"/>
        <v>1</v>
      </c>
      <c r="M13" s="3">
        <f t="shared" si="0"/>
        <v>0</v>
      </c>
      <c r="N13" s="3">
        <f t="shared" si="0"/>
        <v>1</v>
      </c>
      <c r="O13" s="3">
        <f t="shared" si="0"/>
        <v>0</v>
      </c>
      <c r="P13" s="3">
        <f>((ROW(P13)+COLUMN(P13))/2-INT((ROW(P13)+COLUMN(P13))/2))*2</f>
        <v>1</v>
      </c>
      <c r="Q13" s="3">
        <f t="shared" si="0"/>
        <v>0</v>
      </c>
      <c r="R13" s="3">
        <f t="shared" si="0"/>
        <v>1</v>
      </c>
      <c r="S13" s="3">
        <f t="shared" si="0"/>
        <v>0</v>
      </c>
      <c r="T13" s="3">
        <f t="shared" si="0"/>
        <v>1</v>
      </c>
      <c r="U13" s="3">
        <f t="shared" si="0"/>
        <v>0</v>
      </c>
      <c r="V13" s="3">
        <f t="shared" si="0"/>
        <v>1</v>
      </c>
      <c r="W13" s="3">
        <f t="shared" si="0"/>
        <v>0</v>
      </c>
      <c r="X13" s="3">
        <f t="shared" si="0"/>
        <v>1</v>
      </c>
      <c r="Y13" s="3">
        <f t="shared" si="1"/>
        <v>0</v>
      </c>
      <c r="Z13" s="3">
        <f t="shared" si="1"/>
        <v>1</v>
      </c>
      <c r="AA13" s="3">
        <f t="shared" si="1"/>
        <v>0</v>
      </c>
    </row>
    <row r="14" spans="1:27" x14ac:dyDescent="0.4">
      <c r="H14" s="3">
        <f t="shared" si="2"/>
        <v>0</v>
      </c>
      <c r="I14" s="3">
        <f t="shared" si="0"/>
        <v>1</v>
      </c>
      <c r="J14" s="3">
        <f t="shared" si="0"/>
        <v>0</v>
      </c>
      <c r="K14" s="3">
        <f t="shared" si="0"/>
        <v>1</v>
      </c>
      <c r="L14" s="3">
        <f t="shared" si="0"/>
        <v>0</v>
      </c>
      <c r="M14" s="3">
        <f t="shared" si="0"/>
        <v>1</v>
      </c>
      <c r="N14" s="3">
        <f t="shared" si="0"/>
        <v>0</v>
      </c>
      <c r="O14" s="3">
        <f t="shared" si="0"/>
        <v>1</v>
      </c>
      <c r="P14" s="3">
        <f t="shared" si="0"/>
        <v>0</v>
      </c>
      <c r="Q14" s="3">
        <f t="shared" si="0"/>
        <v>1</v>
      </c>
      <c r="R14" s="3">
        <f t="shared" si="0"/>
        <v>0</v>
      </c>
      <c r="S14" s="3">
        <f t="shared" si="0"/>
        <v>1</v>
      </c>
      <c r="T14" s="3">
        <f t="shared" si="0"/>
        <v>0</v>
      </c>
      <c r="U14" s="3">
        <f t="shared" si="0"/>
        <v>1</v>
      </c>
      <c r="V14" s="3">
        <f t="shared" si="0"/>
        <v>0</v>
      </c>
      <c r="W14" s="3">
        <f t="shared" si="0"/>
        <v>1</v>
      </c>
      <c r="X14" s="3">
        <f t="shared" si="0"/>
        <v>0</v>
      </c>
      <c r="Y14" s="3">
        <f t="shared" si="1"/>
        <v>1</v>
      </c>
      <c r="Z14" s="3">
        <f t="shared" si="1"/>
        <v>0</v>
      </c>
      <c r="AA14" s="3">
        <f t="shared" si="1"/>
        <v>1</v>
      </c>
    </row>
    <row r="15" spans="1:27" x14ac:dyDescent="0.4">
      <c r="H15" s="3">
        <f t="shared" si="2"/>
        <v>1</v>
      </c>
      <c r="I15" s="3">
        <f t="shared" si="0"/>
        <v>0</v>
      </c>
      <c r="J15" s="3">
        <f t="shared" si="0"/>
        <v>1</v>
      </c>
      <c r="K15" s="3">
        <f t="shared" si="0"/>
        <v>0</v>
      </c>
      <c r="L15" s="3">
        <f t="shared" si="0"/>
        <v>1</v>
      </c>
      <c r="M15" s="3">
        <f t="shared" si="0"/>
        <v>0</v>
      </c>
      <c r="N15" s="3">
        <f t="shared" si="0"/>
        <v>1</v>
      </c>
      <c r="O15" s="3">
        <f t="shared" si="0"/>
        <v>0</v>
      </c>
      <c r="P15" s="3">
        <f t="shared" si="0"/>
        <v>1</v>
      </c>
      <c r="Q15" s="3">
        <f t="shared" si="0"/>
        <v>0</v>
      </c>
      <c r="R15" s="3">
        <f t="shared" si="0"/>
        <v>1</v>
      </c>
      <c r="S15" s="3">
        <f t="shared" si="0"/>
        <v>0</v>
      </c>
      <c r="T15" s="3">
        <f t="shared" si="0"/>
        <v>1</v>
      </c>
      <c r="U15" s="3">
        <f t="shared" si="0"/>
        <v>0</v>
      </c>
      <c r="V15" s="3">
        <f t="shared" si="0"/>
        <v>1</v>
      </c>
      <c r="W15" s="3">
        <f t="shared" si="0"/>
        <v>0</v>
      </c>
      <c r="X15" s="3">
        <f t="shared" si="0"/>
        <v>1</v>
      </c>
      <c r="Y15" s="3">
        <f t="shared" si="1"/>
        <v>0</v>
      </c>
      <c r="Z15" s="3">
        <f t="shared" si="1"/>
        <v>1</v>
      </c>
      <c r="AA15" s="3">
        <f t="shared" si="1"/>
        <v>0</v>
      </c>
    </row>
    <row r="16" spans="1:27" x14ac:dyDescent="0.4">
      <c r="H16" s="3">
        <f t="shared" si="2"/>
        <v>0</v>
      </c>
      <c r="I16" s="3">
        <f t="shared" si="0"/>
        <v>1</v>
      </c>
      <c r="J16" s="3">
        <f t="shared" si="0"/>
        <v>0</v>
      </c>
      <c r="K16" s="3">
        <f t="shared" si="0"/>
        <v>1</v>
      </c>
      <c r="L16" s="3">
        <f t="shared" si="0"/>
        <v>0</v>
      </c>
      <c r="M16" s="3">
        <f t="shared" si="0"/>
        <v>1</v>
      </c>
      <c r="N16" s="3">
        <f t="shared" si="0"/>
        <v>0</v>
      </c>
      <c r="O16" s="3">
        <f t="shared" si="0"/>
        <v>1</v>
      </c>
      <c r="P16" s="3">
        <f t="shared" si="0"/>
        <v>0</v>
      </c>
      <c r="Q16" s="3">
        <f t="shared" si="0"/>
        <v>1</v>
      </c>
      <c r="R16" s="3">
        <f t="shared" si="0"/>
        <v>0</v>
      </c>
      <c r="S16" s="3">
        <f t="shared" si="0"/>
        <v>1</v>
      </c>
      <c r="T16" s="3">
        <f t="shared" si="0"/>
        <v>0</v>
      </c>
      <c r="U16" s="3">
        <f t="shared" si="0"/>
        <v>1</v>
      </c>
      <c r="V16" s="3">
        <f t="shared" si="0"/>
        <v>0</v>
      </c>
      <c r="W16" s="3">
        <f t="shared" si="0"/>
        <v>1</v>
      </c>
      <c r="X16" s="3">
        <f t="shared" si="0"/>
        <v>0</v>
      </c>
      <c r="Y16" s="3">
        <f t="shared" si="1"/>
        <v>1</v>
      </c>
      <c r="Z16" s="3">
        <f t="shared" si="1"/>
        <v>0</v>
      </c>
      <c r="AA16" s="3">
        <f t="shared" si="1"/>
        <v>1</v>
      </c>
    </row>
    <row r="17" spans="1:33" x14ac:dyDescent="0.4">
      <c r="H17" s="3">
        <f t="shared" si="2"/>
        <v>1</v>
      </c>
      <c r="I17" s="3">
        <f t="shared" si="0"/>
        <v>0</v>
      </c>
      <c r="J17" s="3">
        <f t="shared" si="0"/>
        <v>1</v>
      </c>
      <c r="K17" s="3">
        <f t="shared" si="0"/>
        <v>0</v>
      </c>
      <c r="L17" s="3">
        <f t="shared" si="0"/>
        <v>1</v>
      </c>
      <c r="M17" s="3">
        <f t="shared" si="0"/>
        <v>0</v>
      </c>
      <c r="N17" s="3">
        <f t="shared" si="0"/>
        <v>1</v>
      </c>
      <c r="O17" s="3">
        <f t="shared" si="0"/>
        <v>0</v>
      </c>
      <c r="P17" s="3">
        <f t="shared" si="0"/>
        <v>1</v>
      </c>
      <c r="Q17" s="3">
        <f t="shared" si="0"/>
        <v>0</v>
      </c>
      <c r="R17" s="3">
        <f t="shared" si="0"/>
        <v>1</v>
      </c>
      <c r="S17" s="3">
        <f t="shared" si="0"/>
        <v>0</v>
      </c>
      <c r="T17" s="3">
        <f t="shared" si="0"/>
        <v>1</v>
      </c>
      <c r="U17" s="3">
        <f t="shared" si="0"/>
        <v>0</v>
      </c>
      <c r="V17" s="3">
        <f t="shared" si="0"/>
        <v>1</v>
      </c>
      <c r="W17" s="3">
        <f t="shared" si="0"/>
        <v>0</v>
      </c>
      <c r="X17" s="3">
        <f t="shared" si="0"/>
        <v>1</v>
      </c>
      <c r="Y17" s="3">
        <f t="shared" si="1"/>
        <v>0</v>
      </c>
      <c r="Z17" s="3">
        <f t="shared" si="1"/>
        <v>1</v>
      </c>
      <c r="AA17" s="3">
        <f t="shared" si="1"/>
        <v>0</v>
      </c>
    </row>
    <row r="18" spans="1:33" x14ac:dyDescent="0.4">
      <c r="F18" t="s">
        <v>5</v>
      </c>
      <c r="G18">
        <f>SUM($H3:$AA22)</f>
        <v>200</v>
      </c>
      <c r="H18" s="3">
        <f t="shared" si="2"/>
        <v>0</v>
      </c>
      <c r="I18" s="3">
        <f t="shared" si="0"/>
        <v>1</v>
      </c>
      <c r="J18" s="3">
        <f t="shared" si="0"/>
        <v>0</v>
      </c>
      <c r="K18" s="3">
        <f t="shared" si="0"/>
        <v>1</v>
      </c>
      <c r="L18" s="3">
        <f t="shared" si="0"/>
        <v>0</v>
      </c>
      <c r="M18" s="3">
        <f t="shared" si="0"/>
        <v>1</v>
      </c>
      <c r="N18" s="3">
        <f t="shared" si="0"/>
        <v>0</v>
      </c>
      <c r="O18" s="3">
        <f t="shared" si="0"/>
        <v>1</v>
      </c>
      <c r="P18" s="3">
        <f t="shared" si="0"/>
        <v>0</v>
      </c>
      <c r="Q18" s="3">
        <f t="shared" si="0"/>
        <v>1</v>
      </c>
      <c r="R18" s="3">
        <f t="shared" si="0"/>
        <v>0</v>
      </c>
      <c r="S18" s="3">
        <f t="shared" si="0"/>
        <v>1</v>
      </c>
      <c r="T18" s="3">
        <f t="shared" si="0"/>
        <v>0</v>
      </c>
      <c r="U18" s="3">
        <f t="shared" si="0"/>
        <v>1</v>
      </c>
      <c r="V18" s="3">
        <f t="shared" si="0"/>
        <v>0</v>
      </c>
      <c r="W18" s="3">
        <f t="shared" si="0"/>
        <v>1</v>
      </c>
      <c r="X18" s="3">
        <f t="shared" si="0"/>
        <v>0</v>
      </c>
      <c r="Y18" s="3">
        <f t="shared" si="1"/>
        <v>1</v>
      </c>
      <c r="Z18" s="3">
        <f t="shared" si="1"/>
        <v>0</v>
      </c>
      <c r="AA18" s="3">
        <f t="shared" si="1"/>
        <v>1</v>
      </c>
    </row>
    <row r="19" spans="1:33" x14ac:dyDescent="0.4">
      <c r="F19" t="s">
        <v>6</v>
      </c>
      <c r="G19">
        <f>(G18*1/2+(400-G18)*(-1/2))/400</f>
        <v>0</v>
      </c>
      <c r="H19" s="3">
        <f t="shared" si="2"/>
        <v>1</v>
      </c>
      <c r="I19" s="3">
        <f t="shared" si="2"/>
        <v>0</v>
      </c>
      <c r="J19" s="3">
        <f t="shared" si="2"/>
        <v>1</v>
      </c>
      <c r="K19" s="3">
        <f t="shared" si="2"/>
        <v>0</v>
      </c>
      <c r="L19" s="3">
        <f t="shared" si="2"/>
        <v>1</v>
      </c>
      <c r="M19" s="3">
        <f t="shared" si="2"/>
        <v>0</v>
      </c>
      <c r="N19" s="3">
        <f t="shared" si="2"/>
        <v>1</v>
      </c>
      <c r="O19" s="3">
        <f t="shared" si="2"/>
        <v>0</v>
      </c>
      <c r="P19" s="3">
        <f t="shared" si="2"/>
        <v>1</v>
      </c>
      <c r="Q19" s="3">
        <f t="shared" si="2"/>
        <v>0</v>
      </c>
      <c r="R19" s="3">
        <f t="shared" si="2"/>
        <v>1</v>
      </c>
      <c r="S19" s="3">
        <f t="shared" si="2"/>
        <v>0</v>
      </c>
      <c r="T19" s="3">
        <f t="shared" si="2"/>
        <v>1</v>
      </c>
      <c r="U19" s="3">
        <f t="shared" si="2"/>
        <v>0</v>
      </c>
      <c r="V19" s="3">
        <f t="shared" si="2"/>
        <v>1</v>
      </c>
      <c r="W19" s="3">
        <f t="shared" si="2"/>
        <v>0</v>
      </c>
      <c r="X19" s="3">
        <f t="shared" ref="X19:X22" si="3">((ROW(X19)+COLUMN(X19))/2-INT((ROW(X19)+COLUMN(X19))/2))*2</f>
        <v>1</v>
      </c>
      <c r="Y19" s="3">
        <f t="shared" si="1"/>
        <v>0</v>
      </c>
      <c r="Z19" s="3">
        <f t="shared" si="1"/>
        <v>1</v>
      </c>
      <c r="AA19" s="3">
        <f t="shared" si="1"/>
        <v>0</v>
      </c>
    </row>
    <row r="20" spans="1:33" x14ac:dyDescent="0.4">
      <c r="H20" s="3">
        <f t="shared" ref="H20:W22" si="4">((ROW(H20)+COLUMN(H20))/2-INT((ROW(H20)+COLUMN(H20))/2))*2</f>
        <v>0</v>
      </c>
      <c r="I20" s="3">
        <f t="shared" si="4"/>
        <v>1</v>
      </c>
      <c r="J20" s="3">
        <f t="shared" si="4"/>
        <v>0</v>
      </c>
      <c r="K20" s="3">
        <f t="shared" si="4"/>
        <v>1</v>
      </c>
      <c r="L20" s="3">
        <f t="shared" si="4"/>
        <v>0</v>
      </c>
      <c r="M20" s="3">
        <f t="shared" si="4"/>
        <v>1</v>
      </c>
      <c r="N20" s="3">
        <f t="shared" si="4"/>
        <v>0</v>
      </c>
      <c r="O20" s="3">
        <f t="shared" si="4"/>
        <v>1</v>
      </c>
      <c r="P20" s="3">
        <f t="shared" si="4"/>
        <v>0</v>
      </c>
      <c r="Q20" s="3">
        <f t="shared" si="4"/>
        <v>1</v>
      </c>
      <c r="R20" s="3">
        <f t="shared" si="4"/>
        <v>0</v>
      </c>
      <c r="S20" s="3">
        <f t="shared" si="4"/>
        <v>1</v>
      </c>
      <c r="T20" s="3">
        <f t="shared" si="4"/>
        <v>0</v>
      </c>
      <c r="U20" s="3">
        <f t="shared" si="4"/>
        <v>1</v>
      </c>
      <c r="V20" s="3">
        <f t="shared" si="4"/>
        <v>0</v>
      </c>
      <c r="W20" s="3">
        <f t="shared" si="4"/>
        <v>1</v>
      </c>
      <c r="X20" s="3">
        <f t="shared" si="3"/>
        <v>0</v>
      </c>
      <c r="Y20" s="3">
        <f t="shared" si="1"/>
        <v>1</v>
      </c>
      <c r="Z20" s="3">
        <f t="shared" si="1"/>
        <v>0</v>
      </c>
      <c r="AA20" s="3">
        <f t="shared" si="1"/>
        <v>1</v>
      </c>
    </row>
    <row r="21" spans="1:33" x14ac:dyDescent="0.4">
      <c r="H21" s="3">
        <f t="shared" si="4"/>
        <v>1</v>
      </c>
      <c r="I21" s="3">
        <f t="shared" si="4"/>
        <v>0</v>
      </c>
      <c r="J21" s="3">
        <f t="shared" si="4"/>
        <v>1</v>
      </c>
      <c r="K21" s="3">
        <f t="shared" si="4"/>
        <v>0</v>
      </c>
      <c r="L21" s="3">
        <f t="shared" si="4"/>
        <v>1</v>
      </c>
      <c r="M21" s="3">
        <f t="shared" si="4"/>
        <v>0</v>
      </c>
      <c r="N21" s="3">
        <f t="shared" si="4"/>
        <v>1</v>
      </c>
      <c r="O21" s="3">
        <f t="shared" si="4"/>
        <v>0</v>
      </c>
      <c r="P21" s="3">
        <f t="shared" si="4"/>
        <v>1</v>
      </c>
      <c r="Q21" s="3">
        <f t="shared" si="4"/>
        <v>0</v>
      </c>
      <c r="R21" s="3">
        <f t="shared" si="4"/>
        <v>1</v>
      </c>
      <c r="S21" s="3">
        <f t="shared" si="4"/>
        <v>0</v>
      </c>
      <c r="T21" s="3">
        <f t="shared" si="4"/>
        <v>1</v>
      </c>
      <c r="U21" s="3">
        <f t="shared" si="4"/>
        <v>0</v>
      </c>
      <c r="V21" s="3">
        <f t="shared" si="4"/>
        <v>1</v>
      </c>
      <c r="W21" s="3">
        <f t="shared" si="4"/>
        <v>0</v>
      </c>
      <c r="X21" s="3">
        <f t="shared" si="3"/>
        <v>1</v>
      </c>
      <c r="Y21" s="3">
        <f t="shared" si="1"/>
        <v>0</v>
      </c>
      <c r="Z21" s="3">
        <f t="shared" si="1"/>
        <v>1</v>
      </c>
      <c r="AA21" s="3">
        <f t="shared" si="1"/>
        <v>0</v>
      </c>
    </row>
    <row r="22" spans="1:33" x14ac:dyDescent="0.4">
      <c r="H22" s="3">
        <f t="shared" si="4"/>
        <v>0</v>
      </c>
      <c r="I22" s="3">
        <f t="shared" si="4"/>
        <v>1</v>
      </c>
      <c r="J22" s="3">
        <f t="shared" si="4"/>
        <v>0</v>
      </c>
      <c r="K22" s="3">
        <f t="shared" si="4"/>
        <v>1</v>
      </c>
      <c r="L22" s="3">
        <f t="shared" si="4"/>
        <v>0</v>
      </c>
      <c r="M22" s="3">
        <f t="shared" si="4"/>
        <v>1</v>
      </c>
      <c r="N22" s="3">
        <f t="shared" si="4"/>
        <v>0</v>
      </c>
      <c r="O22" s="3">
        <f t="shared" si="4"/>
        <v>1</v>
      </c>
      <c r="P22" s="3">
        <f t="shared" si="4"/>
        <v>0</v>
      </c>
      <c r="Q22" s="3">
        <f t="shared" si="4"/>
        <v>1</v>
      </c>
      <c r="R22" s="3">
        <f t="shared" si="4"/>
        <v>0</v>
      </c>
      <c r="S22" s="3">
        <f t="shared" si="4"/>
        <v>1</v>
      </c>
      <c r="T22" s="3">
        <f t="shared" si="4"/>
        <v>0</v>
      </c>
      <c r="U22" s="3">
        <f t="shared" si="4"/>
        <v>1</v>
      </c>
      <c r="V22" s="3">
        <f t="shared" si="4"/>
        <v>0</v>
      </c>
      <c r="W22" s="3">
        <f t="shared" si="4"/>
        <v>1</v>
      </c>
      <c r="X22" s="3">
        <f t="shared" si="3"/>
        <v>0</v>
      </c>
      <c r="Y22" s="3">
        <f t="shared" si="1"/>
        <v>1</v>
      </c>
      <c r="Z22" s="3">
        <f t="shared" si="1"/>
        <v>0</v>
      </c>
      <c r="AA22" s="3">
        <f t="shared" si="1"/>
        <v>1</v>
      </c>
    </row>
    <row r="27" spans="1:33" x14ac:dyDescent="0.4">
      <c r="F27" t="s">
        <v>7</v>
      </c>
    </row>
    <row r="28" spans="1:33" x14ac:dyDescent="0.4">
      <c r="A28" t="s">
        <v>18</v>
      </c>
    </row>
    <row r="31" spans="1:33" x14ac:dyDescent="0.4">
      <c r="C31" s="4" t="s">
        <v>8</v>
      </c>
      <c r="D31" s="4" t="s">
        <v>9</v>
      </c>
      <c r="H31" s="3">
        <f ca="1">(IF(RAND()&lt;EXP(-$C$34/$D$34)/(EXP($C$34/$D$34)+EXP(-$C$34/$D$34)),1,0))</f>
        <v>1</v>
      </c>
      <c r="I31" s="3">
        <f t="shared" ref="I31:X46" ca="1" si="5">(IF(RAND()&lt;EXP(-$C$34/$D$34)/(EXP($C$34/$D$34)+EXP(-$C$34/$D$34)),1,0))</f>
        <v>1</v>
      </c>
      <c r="J31" s="3">
        <f t="shared" ca="1" si="5"/>
        <v>1</v>
      </c>
      <c r="K31" s="3">
        <f t="shared" ca="1" si="5"/>
        <v>1</v>
      </c>
      <c r="L31" s="3">
        <f t="shared" ca="1" si="5"/>
        <v>1</v>
      </c>
      <c r="M31" s="3">
        <f t="shared" ca="1" si="5"/>
        <v>1</v>
      </c>
      <c r="N31" s="3">
        <f t="shared" ca="1" si="5"/>
        <v>1</v>
      </c>
      <c r="O31" s="3">
        <f t="shared" ca="1" si="5"/>
        <v>1</v>
      </c>
      <c r="P31" s="3">
        <f t="shared" ca="1" si="5"/>
        <v>1</v>
      </c>
      <c r="Q31" s="3">
        <f t="shared" ca="1" si="5"/>
        <v>1</v>
      </c>
      <c r="R31" s="3">
        <f t="shared" ca="1" si="5"/>
        <v>1</v>
      </c>
      <c r="S31" s="3">
        <f t="shared" ca="1" si="5"/>
        <v>1</v>
      </c>
      <c r="T31" s="3">
        <f t="shared" ca="1" si="5"/>
        <v>1</v>
      </c>
      <c r="U31" s="3">
        <f t="shared" ca="1" si="5"/>
        <v>1</v>
      </c>
      <c r="V31" s="3">
        <f t="shared" ca="1" si="5"/>
        <v>1</v>
      </c>
      <c r="W31" s="3">
        <f t="shared" ca="1" si="5"/>
        <v>1</v>
      </c>
      <c r="X31" s="3">
        <f t="shared" ca="1" si="5"/>
        <v>1</v>
      </c>
      <c r="Y31" s="3">
        <f t="shared" ref="Y31:AA50" ca="1" si="6">(IF(RAND()&lt;EXP(-$C$34/$D$34)/(EXP($C$34/$D$34)+EXP(-$C$34/$D$34)),1,0))</f>
        <v>1</v>
      </c>
      <c r="Z31" s="3">
        <f t="shared" ca="1" si="6"/>
        <v>1</v>
      </c>
      <c r="AA31" s="3">
        <f t="shared" ca="1" si="6"/>
        <v>1</v>
      </c>
      <c r="AD31" t="s">
        <v>10</v>
      </c>
      <c r="AE31" s="1" t="s">
        <v>11</v>
      </c>
      <c r="AF31" t="s">
        <v>12</v>
      </c>
      <c r="AG31" s="1" t="s">
        <v>11</v>
      </c>
    </row>
    <row r="32" spans="1:33" x14ac:dyDescent="0.4">
      <c r="C32" s="4">
        <v>-99</v>
      </c>
      <c r="D32" s="4">
        <v>10</v>
      </c>
      <c r="H32" s="3">
        <f t="shared" ref="H32:W47" ca="1" si="7">(IF(RAND()&lt;EXP(-$C$34/$D$34)/(EXP($C$34/$D$34)+EXP(-$C$34/$D$34)),1,0))</f>
        <v>1</v>
      </c>
      <c r="I32" s="3">
        <f t="shared" ca="1" si="5"/>
        <v>1</v>
      </c>
      <c r="J32" s="3">
        <f t="shared" ca="1" si="5"/>
        <v>1</v>
      </c>
      <c r="K32" s="3">
        <f t="shared" ca="1" si="5"/>
        <v>1</v>
      </c>
      <c r="L32" s="3">
        <f t="shared" ca="1" si="5"/>
        <v>1</v>
      </c>
      <c r="M32" s="3">
        <f t="shared" ca="1" si="5"/>
        <v>1</v>
      </c>
      <c r="N32" s="3">
        <f t="shared" ca="1" si="5"/>
        <v>1</v>
      </c>
      <c r="O32" s="3">
        <f t="shared" ca="1" si="5"/>
        <v>1</v>
      </c>
      <c r="P32" s="3">
        <f t="shared" ca="1" si="5"/>
        <v>1</v>
      </c>
      <c r="Q32" s="3">
        <f t="shared" ca="1" si="5"/>
        <v>1</v>
      </c>
      <c r="R32" s="3">
        <f t="shared" ca="1" si="5"/>
        <v>1</v>
      </c>
      <c r="S32" s="3">
        <f t="shared" ca="1" si="5"/>
        <v>1</v>
      </c>
      <c r="T32" s="3">
        <f t="shared" ca="1" si="5"/>
        <v>1</v>
      </c>
      <c r="U32" s="3">
        <f t="shared" ca="1" si="5"/>
        <v>1</v>
      </c>
      <c r="V32" s="3">
        <f t="shared" ca="1" si="5"/>
        <v>1</v>
      </c>
      <c r="W32" s="3">
        <f t="shared" ca="1" si="5"/>
        <v>1</v>
      </c>
      <c r="X32" s="3">
        <f t="shared" ca="1" si="5"/>
        <v>1</v>
      </c>
      <c r="Y32" s="3">
        <f t="shared" ca="1" si="6"/>
        <v>1</v>
      </c>
      <c r="Z32" s="3">
        <f t="shared" ca="1" si="6"/>
        <v>1</v>
      </c>
      <c r="AA32" s="3">
        <f t="shared" ca="1" si="6"/>
        <v>1</v>
      </c>
      <c r="AD32">
        <v>-100</v>
      </c>
      <c r="AE32">
        <v>-0.5</v>
      </c>
      <c r="AF32">
        <v>1</v>
      </c>
      <c r="AG32">
        <v>0.5</v>
      </c>
    </row>
    <row r="33" spans="2:33" x14ac:dyDescent="0.4">
      <c r="C33" t="s">
        <v>13</v>
      </c>
      <c r="D33" t="s">
        <v>14</v>
      </c>
      <c r="H33" s="3">
        <f t="shared" ca="1" si="7"/>
        <v>1</v>
      </c>
      <c r="I33" s="3">
        <f t="shared" ca="1" si="5"/>
        <v>1</v>
      </c>
      <c r="J33" s="3">
        <f t="shared" ca="1" si="5"/>
        <v>1</v>
      </c>
      <c r="K33" s="3">
        <f t="shared" ca="1" si="5"/>
        <v>1</v>
      </c>
      <c r="L33" s="3">
        <f ca="1">(IF(RAND()&lt;EXP(-$C$34/$D$34)/(EXP($C$34/$D$34)+EXP(-$C$34/$D$34)),1,0))</f>
        <v>1</v>
      </c>
      <c r="M33" s="3">
        <f t="shared" ca="1" si="5"/>
        <v>1</v>
      </c>
      <c r="N33" s="3">
        <f t="shared" ca="1" si="5"/>
        <v>1</v>
      </c>
      <c r="O33" s="3">
        <f t="shared" ca="1" si="5"/>
        <v>1</v>
      </c>
      <c r="P33" s="3">
        <f t="shared" ca="1" si="5"/>
        <v>1</v>
      </c>
      <c r="Q33" s="3">
        <f t="shared" ca="1" si="5"/>
        <v>1</v>
      </c>
      <c r="R33" s="3">
        <f t="shared" ca="1" si="5"/>
        <v>1</v>
      </c>
      <c r="S33" s="3">
        <f t="shared" ca="1" si="5"/>
        <v>1</v>
      </c>
      <c r="T33" s="3">
        <f t="shared" ca="1" si="5"/>
        <v>1</v>
      </c>
      <c r="U33" s="3">
        <f t="shared" ca="1" si="5"/>
        <v>1</v>
      </c>
      <c r="V33" s="3">
        <f t="shared" ca="1" si="5"/>
        <v>1</v>
      </c>
      <c r="W33" s="3">
        <f t="shared" ca="1" si="5"/>
        <v>1</v>
      </c>
      <c r="X33" s="3">
        <f t="shared" ca="1" si="5"/>
        <v>1</v>
      </c>
      <c r="Y33" s="3">
        <f t="shared" ca="1" si="6"/>
        <v>1</v>
      </c>
      <c r="Z33" s="3">
        <f t="shared" ca="1" si="6"/>
        <v>1</v>
      </c>
      <c r="AA33" s="3">
        <f t="shared" ca="1" si="6"/>
        <v>1</v>
      </c>
      <c r="AD33">
        <v>-99</v>
      </c>
      <c r="AE33">
        <v>-0.5</v>
      </c>
      <c r="AF33">
        <v>3</v>
      </c>
      <c r="AG33">
        <v>0.5</v>
      </c>
    </row>
    <row r="34" spans="2:33" x14ac:dyDescent="0.4">
      <c r="C34">
        <f>5.788381806*10^(-5)*C32</f>
        <v>-5.7304979879400008E-3</v>
      </c>
      <c r="D34">
        <f>8.617333262*10^(-5)*D32</f>
        <v>8.6173332620000011E-4</v>
      </c>
      <c r="H34" s="3">
        <f t="shared" ca="1" si="7"/>
        <v>1</v>
      </c>
      <c r="I34" s="3">
        <f t="shared" ca="1" si="5"/>
        <v>1</v>
      </c>
      <c r="J34" s="3">
        <f t="shared" ca="1" si="5"/>
        <v>1</v>
      </c>
      <c r="K34" s="3">
        <f t="shared" ca="1" si="5"/>
        <v>1</v>
      </c>
      <c r="L34" s="3">
        <f t="shared" ca="1" si="5"/>
        <v>1</v>
      </c>
      <c r="M34" s="3">
        <f t="shared" ca="1" si="5"/>
        <v>1</v>
      </c>
      <c r="N34" s="3">
        <f t="shared" ca="1" si="5"/>
        <v>1</v>
      </c>
      <c r="O34" s="3">
        <f t="shared" ca="1" si="5"/>
        <v>1</v>
      </c>
      <c r="P34" s="3">
        <f t="shared" ca="1" si="5"/>
        <v>1</v>
      </c>
      <c r="Q34" s="3">
        <f t="shared" ca="1" si="5"/>
        <v>1</v>
      </c>
      <c r="R34" s="3">
        <f t="shared" ca="1" si="5"/>
        <v>1</v>
      </c>
      <c r="S34" s="3">
        <f t="shared" ca="1" si="5"/>
        <v>1</v>
      </c>
      <c r="T34" s="3">
        <f t="shared" ca="1" si="5"/>
        <v>1</v>
      </c>
      <c r="U34" s="3">
        <f t="shared" ca="1" si="5"/>
        <v>1</v>
      </c>
      <c r="V34" s="3">
        <f t="shared" ca="1" si="5"/>
        <v>1</v>
      </c>
      <c r="W34" s="3">
        <f t="shared" ca="1" si="5"/>
        <v>1</v>
      </c>
      <c r="X34" s="3">
        <f t="shared" ca="1" si="5"/>
        <v>1</v>
      </c>
      <c r="Y34" s="3">
        <f t="shared" ca="1" si="6"/>
        <v>1</v>
      </c>
      <c r="Z34" s="3">
        <f t="shared" ca="1" si="6"/>
        <v>1</v>
      </c>
      <c r="AA34" s="3">
        <f t="shared" ca="1" si="6"/>
        <v>1</v>
      </c>
      <c r="AD34">
        <v>-98</v>
      </c>
      <c r="AE34">
        <v>-0.5</v>
      </c>
      <c r="AF34">
        <v>5</v>
      </c>
      <c r="AG34">
        <v>0.5</v>
      </c>
    </row>
    <row r="35" spans="2:33" x14ac:dyDescent="0.4">
      <c r="H35" s="3">
        <f t="shared" ca="1" si="7"/>
        <v>1</v>
      </c>
      <c r="I35" s="3">
        <f t="shared" ca="1" si="5"/>
        <v>1</v>
      </c>
      <c r="J35" s="3">
        <f t="shared" ca="1" si="5"/>
        <v>1</v>
      </c>
      <c r="K35" s="3">
        <f t="shared" ca="1" si="5"/>
        <v>1</v>
      </c>
      <c r="L35" s="3">
        <f t="shared" ca="1" si="5"/>
        <v>1</v>
      </c>
      <c r="M35" s="3">
        <f t="shared" ca="1" si="5"/>
        <v>1</v>
      </c>
      <c r="N35" s="3">
        <f t="shared" ca="1" si="5"/>
        <v>1</v>
      </c>
      <c r="O35" s="3">
        <f t="shared" ca="1" si="5"/>
        <v>1</v>
      </c>
      <c r="P35" s="3">
        <f t="shared" ca="1" si="5"/>
        <v>1</v>
      </c>
      <c r="Q35" s="3">
        <f t="shared" ca="1" si="5"/>
        <v>1</v>
      </c>
      <c r="R35" s="3">
        <f t="shared" ca="1" si="5"/>
        <v>1</v>
      </c>
      <c r="S35" s="3">
        <f t="shared" ca="1" si="5"/>
        <v>1</v>
      </c>
      <c r="T35" s="3">
        <f t="shared" ca="1" si="5"/>
        <v>1</v>
      </c>
      <c r="U35" s="3">
        <f t="shared" ca="1" si="5"/>
        <v>1</v>
      </c>
      <c r="V35" s="3">
        <f t="shared" ca="1" si="5"/>
        <v>1</v>
      </c>
      <c r="W35" s="3">
        <f t="shared" ca="1" si="5"/>
        <v>1</v>
      </c>
      <c r="X35" s="3">
        <f t="shared" ca="1" si="5"/>
        <v>1</v>
      </c>
      <c r="Y35" s="3">
        <f t="shared" ca="1" si="6"/>
        <v>1</v>
      </c>
      <c r="Z35" s="3">
        <f t="shared" ca="1" si="6"/>
        <v>1</v>
      </c>
      <c r="AA35" s="3">
        <f t="shared" ca="1" si="6"/>
        <v>1</v>
      </c>
      <c r="AD35">
        <v>-97</v>
      </c>
      <c r="AE35">
        <v>-0.5</v>
      </c>
      <c r="AF35">
        <v>7</v>
      </c>
      <c r="AG35">
        <v>0.5</v>
      </c>
    </row>
    <row r="36" spans="2:33" x14ac:dyDescent="0.4">
      <c r="H36" s="3">
        <f t="shared" ca="1" si="7"/>
        <v>1</v>
      </c>
      <c r="I36" s="3">
        <f t="shared" ca="1" si="5"/>
        <v>1</v>
      </c>
      <c r="J36" s="3">
        <f t="shared" ca="1" si="5"/>
        <v>1</v>
      </c>
      <c r="K36" s="3">
        <f t="shared" ca="1" si="5"/>
        <v>1</v>
      </c>
      <c r="L36" s="3">
        <f t="shared" ca="1" si="5"/>
        <v>1</v>
      </c>
      <c r="M36" s="3">
        <f t="shared" ca="1" si="5"/>
        <v>1</v>
      </c>
      <c r="N36" s="3">
        <f t="shared" ca="1" si="5"/>
        <v>1</v>
      </c>
      <c r="O36" s="3">
        <f t="shared" ca="1" si="5"/>
        <v>1</v>
      </c>
      <c r="P36" s="3">
        <f t="shared" ca="1" si="5"/>
        <v>1</v>
      </c>
      <c r="Q36" s="3">
        <f t="shared" ca="1" si="5"/>
        <v>1</v>
      </c>
      <c r="R36" s="3">
        <f t="shared" ca="1" si="5"/>
        <v>1</v>
      </c>
      <c r="S36" s="3">
        <f t="shared" ca="1" si="5"/>
        <v>1</v>
      </c>
      <c r="T36" s="3">
        <f t="shared" ca="1" si="5"/>
        <v>1</v>
      </c>
      <c r="U36" s="3">
        <f t="shared" ca="1" si="5"/>
        <v>1</v>
      </c>
      <c r="V36" s="3">
        <f t="shared" ca="1" si="5"/>
        <v>1</v>
      </c>
      <c r="W36" s="3">
        <f t="shared" ca="1" si="5"/>
        <v>1</v>
      </c>
      <c r="X36" s="3">
        <f t="shared" ca="1" si="5"/>
        <v>1</v>
      </c>
      <c r="Y36" s="3">
        <f t="shared" ca="1" si="6"/>
        <v>1</v>
      </c>
      <c r="Z36" s="3">
        <f t="shared" ca="1" si="6"/>
        <v>1</v>
      </c>
      <c r="AA36" s="3">
        <f t="shared" ca="1" si="6"/>
        <v>1</v>
      </c>
      <c r="AD36">
        <v>-96</v>
      </c>
      <c r="AE36">
        <v>-0.5</v>
      </c>
      <c r="AF36">
        <v>9</v>
      </c>
      <c r="AG36">
        <v>0.5</v>
      </c>
    </row>
    <row r="37" spans="2:33" x14ac:dyDescent="0.4">
      <c r="H37" s="3">
        <f t="shared" ca="1" si="7"/>
        <v>1</v>
      </c>
      <c r="I37" s="3">
        <f t="shared" ca="1" si="5"/>
        <v>1</v>
      </c>
      <c r="J37" s="3">
        <f t="shared" ca="1" si="5"/>
        <v>1</v>
      </c>
      <c r="K37" s="3">
        <f t="shared" ca="1" si="5"/>
        <v>1</v>
      </c>
      <c r="L37" s="3">
        <f t="shared" ca="1" si="5"/>
        <v>1</v>
      </c>
      <c r="M37" s="3">
        <f t="shared" ca="1" si="5"/>
        <v>1</v>
      </c>
      <c r="N37" s="3">
        <f t="shared" ca="1" si="5"/>
        <v>1</v>
      </c>
      <c r="O37" s="3">
        <f t="shared" ca="1" si="5"/>
        <v>1</v>
      </c>
      <c r="P37" s="3">
        <f t="shared" ca="1" si="5"/>
        <v>1</v>
      </c>
      <c r="Q37" s="3">
        <f t="shared" ca="1" si="5"/>
        <v>1</v>
      </c>
      <c r="R37" s="3">
        <f t="shared" ca="1" si="5"/>
        <v>1</v>
      </c>
      <c r="S37" s="3">
        <f t="shared" ca="1" si="5"/>
        <v>1</v>
      </c>
      <c r="T37" s="3">
        <f t="shared" ca="1" si="5"/>
        <v>1</v>
      </c>
      <c r="U37" s="3">
        <f t="shared" ca="1" si="5"/>
        <v>1</v>
      </c>
      <c r="V37" s="3">
        <f t="shared" ca="1" si="5"/>
        <v>1</v>
      </c>
      <c r="W37" s="3">
        <f t="shared" ca="1" si="5"/>
        <v>1</v>
      </c>
      <c r="X37" s="3">
        <f t="shared" ca="1" si="5"/>
        <v>1</v>
      </c>
      <c r="Y37" s="3">
        <f t="shared" ca="1" si="6"/>
        <v>1</v>
      </c>
      <c r="Z37" s="3">
        <f t="shared" ca="1" si="6"/>
        <v>1</v>
      </c>
      <c r="AA37" s="3">
        <f t="shared" ca="1" si="6"/>
        <v>1</v>
      </c>
      <c r="AD37">
        <v>-95</v>
      </c>
      <c r="AE37">
        <v>-0.5</v>
      </c>
      <c r="AF37">
        <v>11</v>
      </c>
      <c r="AG37">
        <v>0.5</v>
      </c>
    </row>
    <row r="38" spans="2:33" x14ac:dyDescent="0.4">
      <c r="C38" t="s">
        <v>15</v>
      </c>
      <c r="H38" s="3">
        <f t="shared" ca="1" si="7"/>
        <v>1</v>
      </c>
      <c r="I38" s="3">
        <f t="shared" ca="1" si="5"/>
        <v>1</v>
      </c>
      <c r="J38" s="3">
        <f t="shared" ca="1" si="5"/>
        <v>1</v>
      </c>
      <c r="K38" s="3">
        <f t="shared" ca="1" si="5"/>
        <v>1</v>
      </c>
      <c r="L38" s="3">
        <f t="shared" ca="1" si="5"/>
        <v>1</v>
      </c>
      <c r="M38" s="3">
        <f t="shared" ca="1" si="5"/>
        <v>1</v>
      </c>
      <c r="N38" s="3">
        <f t="shared" ca="1" si="5"/>
        <v>1</v>
      </c>
      <c r="O38" s="3">
        <f t="shared" ca="1" si="5"/>
        <v>1</v>
      </c>
      <c r="P38" s="3">
        <f t="shared" ca="1" si="5"/>
        <v>1</v>
      </c>
      <c r="Q38" s="3">
        <f t="shared" ca="1" si="5"/>
        <v>1</v>
      </c>
      <c r="R38" s="3">
        <f t="shared" ca="1" si="5"/>
        <v>1</v>
      </c>
      <c r="S38" s="3">
        <f t="shared" ca="1" si="5"/>
        <v>1</v>
      </c>
      <c r="T38" s="3">
        <f t="shared" ca="1" si="5"/>
        <v>1</v>
      </c>
      <c r="U38" s="3">
        <f t="shared" ca="1" si="5"/>
        <v>1</v>
      </c>
      <c r="V38" s="3">
        <f t="shared" ca="1" si="5"/>
        <v>1</v>
      </c>
      <c r="W38" s="3">
        <f t="shared" ca="1" si="5"/>
        <v>1</v>
      </c>
      <c r="X38" s="3">
        <f t="shared" ca="1" si="5"/>
        <v>1</v>
      </c>
      <c r="Y38" s="3">
        <f t="shared" ca="1" si="6"/>
        <v>1</v>
      </c>
      <c r="Z38" s="3">
        <f t="shared" ca="1" si="6"/>
        <v>1</v>
      </c>
      <c r="AA38" s="3">
        <f t="shared" ca="1" si="6"/>
        <v>1</v>
      </c>
      <c r="AD38">
        <v>-94</v>
      </c>
      <c r="AE38">
        <v>-0.5</v>
      </c>
      <c r="AF38">
        <v>13</v>
      </c>
      <c r="AG38">
        <v>0.5</v>
      </c>
    </row>
    <row r="39" spans="2:33" x14ac:dyDescent="0.4">
      <c r="H39" s="3">
        <f t="shared" ca="1" si="7"/>
        <v>1</v>
      </c>
      <c r="I39" s="3">
        <f t="shared" ca="1" si="5"/>
        <v>1</v>
      </c>
      <c r="J39" s="3">
        <f t="shared" ca="1" si="5"/>
        <v>1</v>
      </c>
      <c r="K39" s="3">
        <f t="shared" ca="1" si="5"/>
        <v>1</v>
      </c>
      <c r="L39" s="3">
        <f t="shared" ca="1" si="5"/>
        <v>1</v>
      </c>
      <c r="M39" s="3">
        <f t="shared" ca="1" si="5"/>
        <v>1</v>
      </c>
      <c r="N39" s="3">
        <f t="shared" ca="1" si="5"/>
        <v>1</v>
      </c>
      <c r="O39" s="3">
        <f t="shared" ca="1" si="5"/>
        <v>1</v>
      </c>
      <c r="P39" s="3">
        <f t="shared" ca="1" si="5"/>
        <v>1</v>
      </c>
      <c r="Q39" s="3">
        <f t="shared" ca="1" si="5"/>
        <v>1</v>
      </c>
      <c r="R39" s="3">
        <f t="shared" ca="1" si="5"/>
        <v>1</v>
      </c>
      <c r="S39" s="3">
        <f t="shared" ca="1" si="5"/>
        <v>1</v>
      </c>
      <c r="T39" s="3">
        <f t="shared" ca="1" si="5"/>
        <v>1</v>
      </c>
      <c r="U39" s="3">
        <f t="shared" ca="1" si="5"/>
        <v>1</v>
      </c>
      <c r="V39" s="3">
        <f t="shared" ca="1" si="5"/>
        <v>1</v>
      </c>
      <c r="W39" s="3">
        <f t="shared" ca="1" si="5"/>
        <v>1</v>
      </c>
      <c r="X39" s="3">
        <f t="shared" ca="1" si="5"/>
        <v>1</v>
      </c>
      <c r="Y39" s="3">
        <f t="shared" ca="1" si="6"/>
        <v>1</v>
      </c>
      <c r="Z39" s="3">
        <f t="shared" ca="1" si="6"/>
        <v>1</v>
      </c>
      <c r="AA39" s="3">
        <f t="shared" ca="1" si="6"/>
        <v>1</v>
      </c>
      <c r="AD39">
        <v>-93</v>
      </c>
      <c r="AE39">
        <v>-0.5</v>
      </c>
      <c r="AF39">
        <v>15</v>
      </c>
      <c r="AG39">
        <v>0.5</v>
      </c>
    </row>
    <row r="40" spans="2:33" x14ac:dyDescent="0.4">
      <c r="H40" s="3">
        <f t="shared" ca="1" si="7"/>
        <v>1</v>
      </c>
      <c r="I40" s="3">
        <f t="shared" ca="1" si="5"/>
        <v>1</v>
      </c>
      <c r="J40" s="3">
        <f t="shared" ca="1" si="5"/>
        <v>1</v>
      </c>
      <c r="K40" s="3">
        <f t="shared" ca="1" si="5"/>
        <v>1</v>
      </c>
      <c r="L40" s="3">
        <f t="shared" ca="1" si="5"/>
        <v>1</v>
      </c>
      <c r="M40" s="3">
        <f t="shared" ca="1" si="5"/>
        <v>1</v>
      </c>
      <c r="N40" s="3">
        <f t="shared" ca="1" si="5"/>
        <v>1</v>
      </c>
      <c r="O40" s="3">
        <f t="shared" ca="1" si="5"/>
        <v>1</v>
      </c>
      <c r="P40" s="3">
        <f t="shared" ca="1" si="5"/>
        <v>1</v>
      </c>
      <c r="Q40" s="3">
        <f t="shared" ca="1" si="5"/>
        <v>1</v>
      </c>
      <c r="R40" s="3">
        <f t="shared" ca="1" si="5"/>
        <v>1</v>
      </c>
      <c r="S40" s="3">
        <f t="shared" ca="1" si="5"/>
        <v>1</v>
      </c>
      <c r="T40" s="3">
        <f t="shared" ca="1" si="5"/>
        <v>1</v>
      </c>
      <c r="U40" s="3">
        <f t="shared" ca="1" si="5"/>
        <v>1</v>
      </c>
      <c r="V40" s="3">
        <f t="shared" ca="1" si="5"/>
        <v>1</v>
      </c>
      <c r="W40" s="3">
        <f t="shared" ca="1" si="5"/>
        <v>1</v>
      </c>
      <c r="X40" s="3">
        <f t="shared" ca="1" si="5"/>
        <v>1</v>
      </c>
      <c r="Y40" s="3">
        <f t="shared" ca="1" si="6"/>
        <v>1</v>
      </c>
      <c r="Z40" s="3">
        <f t="shared" ca="1" si="6"/>
        <v>1</v>
      </c>
      <c r="AA40" s="3">
        <f t="shared" ca="1" si="6"/>
        <v>1</v>
      </c>
      <c r="AD40">
        <v>-92</v>
      </c>
      <c r="AE40">
        <v>-0.5</v>
      </c>
      <c r="AF40">
        <v>17</v>
      </c>
      <c r="AG40">
        <v>0.5</v>
      </c>
    </row>
    <row r="41" spans="2:33" x14ac:dyDescent="0.4">
      <c r="H41" s="3">
        <f t="shared" ca="1" si="7"/>
        <v>1</v>
      </c>
      <c r="I41" s="3">
        <f t="shared" ca="1" si="5"/>
        <v>1</v>
      </c>
      <c r="J41" s="3">
        <f t="shared" ca="1" si="5"/>
        <v>1</v>
      </c>
      <c r="K41" s="3">
        <f t="shared" ca="1" si="5"/>
        <v>1</v>
      </c>
      <c r="L41" s="3">
        <f t="shared" ca="1" si="5"/>
        <v>1</v>
      </c>
      <c r="M41" s="3">
        <f t="shared" ca="1" si="5"/>
        <v>1</v>
      </c>
      <c r="N41" s="3">
        <f t="shared" ca="1" si="5"/>
        <v>1</v>
      </c>
      <c r="O41" s="3">
        <f t="shared" ca="1" si="5"/>
        <v>1</v>
      </c>
      <c r="P41" s="3">
        <f t="shared" ca="1" si="5"/>
        <v>1</v>
      </c>
      <c r="Q41" s="3">
        <f t="shared" ca="1" si="5"/>
        <v>1</v>
      </c>
      <c r="R41" s="3">
        <f t="shared" ca="1" si="5"/>
        <v>1</v>
      </c>
      <c r="S41" s="3">
        <f t="shared" ca="1" si="5"/>
        <v>1</v>
      </c>
      <c r="T41" s="3">
        <f t="shared" ca="1" si="5"/>
        <v>1</v>
      </c>
      <c r="U41" s="3">
        <f t="shared" ca="1" si="5"/>
        <v>1</v>
      </c>
      <c r="V41" s="3">
        <f t="shared" ca="1" si="5"/>
        <v>1</v>
      </c>
      <c r="W41" s="3">
        <f t="shared" ca="1" si="5"/>
        <v>1</v>
      </c>
      <c r="X41" s="3">
        <f t="shared" ca="1" si="5"/>
        <v>1</v>
      </c>
      <c r="Y41" s="3">
        <f t="shared" ca="1" si="6"/>
        <v>1</v>
      </c>
      <c r="Z41" s="3">
        <f t="shared" ca="1" si="6"/>
        <v>1</v>
      </c>
      <c r="AA41" s="3">
        <f t="shared" ca="1" si="6"/>
        <v>1</v>
      </c>
      <c r="AD41">
        <v>-91</v>
      </c>
      <c r="AE41">
        <v>-0.5</v>
      </c>
      <c r="AF41">
        <v>19</v>
      </c>
      <c r="AG41">
        <v>0.4975</v>
      </c>
    </row>
    <row r="42" spans="2:33" x14ac:dyDescent="0.4">
      <c r="H42" s="3">
        <f t="shared" ca="1" si="7"/>
        <v>1</v>
      </c>
      <c r="I42" s="3">
        <f t="shared" ca="1" si="5"/>
        <v>1</v>
      </c>
      <c r="J42" s="3">
        <f t="shared" ca="1" si="5"/>
        <v>1</v>
      </c>
      <c r="K42" s="3">
        <f t="shared" ca="1" si="5"/>
        <v>1</v>
      </c>
      <c r="L42" s="3">
        <f t="shared" ca="1" si="5"/>
        <v>1</v>
      </c>
      <c r="M42" s="3">
        <f t="shared" ca="1" si="5"/>
        <v>1</v>
      </c>
      <c r="N42" s="3">
        <f t="shared" ca="1" si="5"/>
        <v>1</v>
      </c>
      <c r="O42" s="3">
        <f t="shared" ca="1" si="5"/>
        <v>1</v>
      </c>
      <c r="P42" s="3">
        <f t="shared" ca="1" si="5"/>
        <v>1</v>
      </c>
      <c r="Q42" s="3">
        <f t="shared" ca="1" si="5"/>
        <v>1</v>
      </c>
      <c r="R42" s="3">
        <f t="shared" ca="1" si="5"/>
        <v>1</v>
      </c>
      <c r="S42" s="3">
        <f t="shared" ca="1" si="5"/>
        <v>1</v>
      </c>
      <c r="T42" s="3">
        <f t="shared" ca="1" si="5"/>
        <v>1</v>
      </c>
      <c r="U42" s="3">
        <f t="shared" ca="1" si="5"/>
        <v>1</v>
      </c>
      <c r="V42" s="3">
        <f t="shared" ca="1" si="5"/>
        <v>1</v>
      </c>
      <c r="W42" s="3">
        <f t="shared" ca="1" si="5"/>
        <v>1</v>
      </c>
      <c r="X42" s="3">
        <f t="shared" ca="1" si="5"/>
        <v>1</v>
      </c>
      <c r="Y42" s="3">
        <f t="shared" ca="1" si="6"/>
        <v>1</v>
      </c>
      <c r="Z42" s="3">
        <f t="shared" ca="1" si="6"/>
        <v>1</v>
      </c>
      <c r="AA42" s="3">
        <f t="shared" ca="1" si="6"/>
        <v>1</v>
      </c>
      <c r="AD42">
        <v>-90</v>
      </c>
      <c r="AE42">
        <v>-0.5</v>
      </c>
      <c r="AF42">
        <v>21</v>
      </c>
      <c r="AG42">
        <v>0.5</v>
      </c>
    </row>
    <row r="43" spans="2:33" x14ac:dyDescent="0.4">
      <c r="H43" s="3">
        <f t="shared" ca="1" si="7"/>
        <v>1</v>
      </c>
      <c r="I43" s="3">
        <f t="shared" ca="1" si="5"/>
        <v>1</v>
      </c>
      <c r="J43" s="3">
        <f t="shared" ca="1" si="5"/>
        <v>1</v>
      </c>
      <c r="K43" s="3">
        <f t="shared" ca="1" si="5"/>
        <v>1</v>
      </c>
      <c r="L43" s="3">
        <f t="shared" ca="1" si="5"/>
        <v>1</v>
      </c>
      <c r="M43" s="3">
        <f t="shared" ca="1" si="5"/>
        <v>1</v>
      </c>
      <c r="N43" s="3">
        <f t="shared" ca="1" si="5"/>
        <v>1</v>
      </c>
      <c r="O43" s="3">
        <f t="shared" ca="1" si="5"/>
        <v>1</v>
      </c>
      <c r="P43" s="3">
        <f t="shared" ca="1" si="5"/>
        <v>1</v>
      </c>
      <c r="Q43" s="3">
        <f t="shared" ca="1" si="5"/>
        <v>1</v>
      </c>
      <c r="R43" s="3">
        <f t="shared" ca="1" si="5"/>
        <v>1</v>
      </c>
      <c r="S43" s="3">
        <f t="shared" ca="1" si="5"/>
        <v>1</v>
      </c>
      <c r="T43" s="3">
        <f t="shared" ca="1" si="5"/>
        <v>1</v>
      </c>
      <c r="U43" s="3">
        <f t="shared" ca="1" si="5"/>
        <v>1</v>
      </c>
      <c r="V43" s="3">
        <f t="shared" ca="1" si="5"/>
        <v>1</v>
      </c>
      <c r="W43" s="3">
        <f t="shared" ca="1" si="5"/>
        <v>1</v>
      </c>
      <c r="X43" s="3">
        <f t="shared" ca="1" si="5"/>
        <v>1</v>
      </c>
      <c r="Y43" s="3">
        <f t="shared" ca="1" si="6"/>
        <v>1</v>
      </c>
      <c r="Z43" s="3">
        <f t="shared" ca="1" si="6"/>
        <v>1</v>
      </c>
      <c r="AA43" s="3">
        <f t="shared" ca="1" si="6"/>
        <v>1</v>
      </c>
      <c r="AD43">
        <v>-89</v>
      </c>
      <c r="AE43">
        <v>-0.5</v>
      </c>
      <c r="AF43">
        <v>23</v>
      </c>
      <c r="AG43">
        <v>0.495</v>
      </c>
    </row>
    <row r="44" spans="2:33" x14ac:dyDescent="0.4">
      <c r="H44" s="3">
        <f t="shared" ca="1" si="7"/>
        <v>1</v>
      </c>
      <c r="I44" s="3">
        <f t="shared" ca="1" si="5"/>
        <v>1</v>
      </c>
      <c r="J44" s="3">
        <f t="shared" ca="1" si="5"/>
        <v>1</v>
      </c>
      <c r="K44" s="3">
        <f t="shared" ca="1" si="5"/>
        <v>1</v>
      </c>
      <c r="L44" s="3">
        <f t="shared" ca="1" si="5"/>
        <v>1</v>
      </c>
      <c r="M44" s="3">
        <f t="shared" ca="1" si="5"/>
        <v>1</v>
      </c>
      <c r="N44" s="3">
        <f t="shared" ca="1" si="5"/>
        <v>1</v>
      </c>
      <c r="O44" s="3">
        <f t="shared" ca="1" si="5"/>
        <v>1</v>
      </c>
      <c r="P44" s="3">
        <f t="shared" ca="1" si="5"/>
        <v>1</v>
      </c>
      <c r="Q44" s="3">
        <f t="shared" ca="1" si="5"/>
        <v>1</v>
      </c>
      <c r="R44" s="3">
        <f t="shared" ca="1" si="5"/>
        <v>1</v>
      </c>
      <c r="S44" s="3">
        <f t="shared" ca="1" si="5"/>
        <v>1</v>
      </c>
      <c r="T44" s="3">
        <f t="shared" ca="1" si="5"/>
        <v>1</v>
      </c>
      <c r="U44" s="3">
        <f t="shared" ca="1" si="5"/>
        <v>1</v>
      </c>
      <c r="V44" s="3">
        <f t="shared" ca="1" si="5"/>
        <v>1</v>
      </c>
      <c r="W44" s="3">
        <f t="shared" ca="1" si="5"/>
        <v>1</v>
      </c>
      <c r="X44" s="3">
        <f t="shared" ca="1" si="5"/>
        <v>1</v>
      </c>
      <c r="Y44" s="3">
        <f t="shared" ca="1" si="6"/>
        <v>1</v>
      </c>
      <c r="Z44" s="3">
        <f t="shared" ca="1" si="6"/>
        <v>1</v>
      </c>
      <c r="AA44" s="3">
        <f t="shared" ca="1" si="6"/>
        <v>1</v>
      </c>
      <c r="AD44">
        <v>-88</v>
      </c>
      <c r="AE44">
        <v>-0.5</v>
      </c>
      <c r="AF44">
        <v>25</v>
      </c>
      <c r="AG44">
        <v>0.4975</v>
      </c>
    </row>
    <row r="45" spans="2:33" x14ac:dyDescent="0.4">
      <c r="B45" t="s">
        <v>22</v>
      </c>
      <c r="H45" s="3">
        <f t="shared" ca="1" si="7"/>
        <v>1</v>
      </c>
      <c r="I45" s="3">
        <f t="shared" ca="1" si="5"/>
        <v>1</v>
      </c>
      <c r="J45" s="3">
        <f t="shared" ca="1" si="5"/>
        <v>1</v>
      </c>
      <c r="K45" s="3">
        <f t="shared" ca="1" si="5"/>
        <v>1</v>
      </c>
      <c r="L45" s="3">
        <f t="shared" ca="1" si="5"/>
        <v>1</v>
      </c>
      <c r="M45" s="3">
        <f t="shared" ca="1" si="5"/>
        <v>1</v>
      </c>
      <c r="N45" s="3">
        <f t="shared" ca="1" si="5"/>
        <v>1</v>
      </c>
      <c r="O45" s="3">
        <f t="shared" ca="1" si="5"/>
        <v>1</v>
      </c>
      <c r="P45" s="3">
        <f t="shared" ca="1" si="5"/>
        <v>1</v>
      </c>
      <c r="Q45" s="3">
        <f t="shared" ca="1" si="5"/>
        <v>1</v>
      </c>
      <c r="R45" s="3">
        <f t="shared" ca="1" si="5"/>
        <v>1</v>
      </c>
      <c r="S45" s="3">
        <f t="shared" ca="1" si="5"/>
        <v>1</v>
      </c>
      <c r="T45" s="3">
        <f t="shared" ca="1" si="5"/>
        <v>1</v>
      </c>
      <c r="U45" s="3">
        <f t="shared" ca="1" si="5"/>
        <v>1</v>
      </c>
      <c r="V45" s="3">
        <f t="shared" ca="1" si="5"/>
        <v>1</v>
      </c>
      <c r="W45" s="3">
        <f t="shared" ca="1" si="5"/>
        <v>1</v>
      </c>
      <c r="X45" s="3">
        <f t="shared" ca="1" si="5"/>
        <v>1</v>
      </c>
      <c r="Y45" s="3">
        <f t="shared" ca="1" si="6"/>
        <v>1</v>
      </c>
      <c r="Z45" s="3">
        <f t="shared" ca="1" si="6"/>
        <v>1</v>
      </c>
      <c r="AA45" s="3">
        <f t="shared" ca="1" si="6"/>
        <v>1</v>
      </c>
      <c r="AD45">
        <v>-87</v>
      </c>
      <c r="AE45">
        <v>-0.5</v>
      </c>
      <c r="AF45">
        <v>27</v>
      </c>
      <c r="AG45">
        <v>0.49</v>
      </c>
    </row>
    <row r="46" spans="2:33" x14ac:dyDescent="0.4">
      <c r="H46" s="3">
        <f t="shared" ca="1" si="7"/>
        <v>1</v>
      </c>
      <c r="I46" s="3">
        <f t="shared" ca="1" si="5"/>
        <v>1</v>
      </c>
      <c r="J46" s="3">
        <f t="shared" ca="1" si="5"/>
        <v>1</v>
      </c>
      <c r="K46" s="3">
        <f t="shared" ca="1" si="5"/>
        <v>1</v>
      </c>
      <c r="L46" s="3">
        <f t="shared" ca="1" si="5"/>
        <v>1</v>
      </c>
      <c r="M46" s="3">
        <f t="shared" ca="1" si="5"/>
        <v>1</v>
      </c>
      <c r="N46" s="3">
        <f t="shared" ca="1" si="5"/>
        <v>1</v>
      </c>
      <c r="O46" s="3">
        <f t="shared" ca="1" si="5"/>
        <v>1</v>
      </c>
      <c r="P46" s="3">
        <f t="shared" ca="1" si="5"/>
        <v>1</v>
      </c>
      <c r="Q46" s="3">
        <f t="shared" ca="1" si="5"/>
        <v>1</v>
      </c>
      <c r="R46" s="3">
        <f t="shared" ca="1" si="5"/>
        <v>1</v>
      </c>
      <c r="S46" s="3">
        <f t="shared" ca="1" si="5"/>
        <v>1</v>
      </c>
      <c r="T46" s="3">
        <f t="shared" ca="1" si="5"/>
        <v>1</v>
      </c>
      <c r="U46" s="3">
        <f t="shared" ca="1" si="5"/>
        <v>1</v>
      </c>
      <c r="V46" s="3">
        <f t="shared" ca="1" si="5"/>
        <v>1</v>
      </c>
      <c r="W46" s="3">
        <f t="shared" ca="1" si="5"/>
        <v>1</v>
      </c>
      <c r="X46" s="3">
        <f t="shared" ref="X46:X50" ca="1" si="8">(IF(RAND()&lt;EXP(-$C$34/$D$34)/(EXP($C$34/$D$34)+EXP(-$C$34/$D$34)),1,0))</f>
        <v>1</v>
      </c>
      <c r="Y46" s="3">
        <f t="shared" ca="1" si="6"/>
        <v>1</v>
      </c>
      <c r="Z46" s="3">
        <f t="shared" ca="1" si="6"/>
        <v>1</v>
      </c>
      <c r="AA46" s="3">
        <f t="shared" ca="1" si="6"/>
        <v>1</v>
      </c>
      <c r="AD46">
        <v>-86</v>
      </c>
      <c r="AE46">
        <v>-0.5</v>
      </c>
      <c r="AF46">
        <v>29</v>
      </c>
      <c r="AG46">
        <v>0.48499999999999999</v>
      </c>
    </row>
    <row r="47" spans="2:33" x14ac:dyDescent="0.4">
      <c r="H47" s="3">
        <f t="shared" ca="1" si="7"/>
        <v>1</v>
      </c>
      <c r="I47" s="3">
        <f t="shared" ca="1" si="7"/>
        <v>1</v>
      </c>
      <c r="J47" s="3">
        <f t="shared" ca="1" si="7"/>
        <v>1</v>
      </c>
      <c r="K47" s="3">
        <f t="shared" ca="1" si="7"/>
        <v>1</v>
      </c>
      <c r="L47" s="3">
        <f t="shared" ca="1" si="7"/>
        <v>1</v>
      </c>
      <c r="M47" s="3">
        <f t="shared" ca="1" si="7"/>
        <v>1</v>
      </c>
      <c r="N47" s="3">
        <f t="shared" ca="1" si="7"/>
        <v>1</v>
      </c>
      <c r="O47" s="3">
        <f t="shared" ca="1" si="7"/>
        <v>1</v>
      </c>
      <c r="P47" s="3">
        <f t="shared" ca="1" si="7"/>
        <v>1</v>
      </c>
      <c r="Q47" s="3">
        <f t="shared" ca="1" si="7"/>
        <v>1</v>
      </c>
      <c r="R47" s="3">
        <f t="shared" ca="1" si="7"/>
        <v>1</v>
      </c>
      <c r="S47" s="3">
        <f t="shared" ca="1" si="7"/>
        <v>1</v>
      </c>
      <c r="T47" s="3">
        <f t="shared" ca="1" si="7"/>
        <v>1</v>
      </c>
      <c r="U47" s="3">
        <f t="shared" ca="1" si="7"/>
        <v>1</v>
      </c>
      <c r="V47" s="3">
        <f t="shared" ca="1" si="7"/>
        <v>1</v>
      </c>
      <c r="W47" s="3">
        <f t="shared" ca="1" si="7"/>
        <v>1</v>
      </c>
      <c r="X47" s="3">
        <f t="shared" ca="1" si="8"/>
        <v>1</v>
      </c>
      <c r="Y47" s="3">
        <f t="shared" ca="1" si="6"/>
        <v>1</v>
      </c>
      <c r="Z47" s="3">
        <f t="shared" ca="1" si="6"/>
        <v>1</v>
      </c>
      <c r="AA47" s="3">
        <f t="shared" ca="1" si="6"/>
        <v>1</v>
      </c>
      <c r="AD47">
        <v>-85</v>
      </c>
      <c r="AE47">
        <v>-0.5</v>
      </c>
      <c r="AF47">
        <v>31</v>
      </c>
      <c r="AG47">
        <v>0.48749999999999999</v>
      </c>
    </row>
    <row r="48" spans="2:33" x14ac:dyDescent="0.4">
      <c r="F48" t="s">
        <v>16</v>
      </c>
      <c r="G48">
        <f ca="1">COUNTIF(H31:AA50,1)</f>
        <v>400</v>
      </c>
      <c r="H48" s="3">
        <f t="shared" ref="H48:W50" ca="1" si="9">(IF(RAND()&lt;EXP(-$C$34/$D$34)/(EXP($C$34/$D$34)+EXP(-$C$34/$D$34)),1,0))</f>
        <v>1</v>
      </c>
      <c r="I48" s="3">
        <f t="shared" ca="1" si="9"/>
        <v>1</v>
      </c>
      <c r="J48" s="3">
        <f t="shared" ca="1" si="9"/>
        <v>1</v>
      </c>
      <c r="K48" s="3">
        <f t="shared" ca="1" si="9"/>
        <v>1</v>
      </c>
      <c r="L48" s="3">
        <f t="shared" ca="1" si="9"/>
        <v>1</v>
      </c>
      <c r="M48" s="3">
        <f t="shared" ca="1" si="9"/>
        <v>1</v>
      </c>
      <c r="N48" s="3">
        <f t="shared" ca="1" si="9"/>
        <v>1</v>
      </c>
      <c r="O48" s="3">
        <f t="shared" ca="1" si="9"/>
        <v>1</v>
      </c>
      <c r="P48" s="3">
        <f t="shared" ca="1" si="9"/>
        <v>1</v>
      </c>
      <c r="Q48" s="3">
        <f t="shared" ca="1" si="9"/>
        <v>1</v>
      </c>
      <c r="R48" s="3">
        <f t="shared" ca="1" si="9"/>
        <v>1</v>
      </c>
      <c r="S48" s="3">
        <f t="shared" ca="1" si="9"/>
        <v>1</v>
      </c>
      <c r="T48" s="3">
        <f t="shared" ca="1" si="9"/>
        <v>1</v>
      </c>
      <c r="U48" s="3">
        <f t="shared" ca="1" si="9"/>
        <v>1</v>
      </c>
      <c r="V48" s="3">
        <f t="shared" ca="1" si="9"/>
        <v>1</v>
      </c>
      <c r="W48" s="3">
        <f t="shared" ca="1" si="9"/>
        <v>1</v>
      </c>
      <c r="X48" s="3">
        <f t="shared" ca="1" si="8"/>
        <v>1</v>
      </c>
      <c r="Y48" s="3">
        <f t="shared" ca="1" si="6"/>
        <v>1</v>
      </c>
      <c r="Z48" s="3">
        <f t="shared" ca="1" si="6"/>
        <v>1</v>
      </c>
      <c r="AA48" s="3">
        <f t="shared" ca="1" si="6"/>
        <v>1</v>
      </c>
      <c r="AD48">
        <v>-84</v>
      </c>
      <c r="AE48">
        <v>-0.5</v>
      </c>
      <c r="AF48">
        <v>33</v>
      </c>
      <c r="AG48">
        <v>0.47749999999999998</v>
      </c>
    </row>
    <row r="49" spans="6:33" x14ac:dyDescent="0.4">
      <c r="F49" t="s">
        <v>17</v>
      </c>
      <c r="G49">
        <f ca="1">-(G48*1/2+(400-G48)*(-1/2))/400</f>
        <v>-0.5</v>
      </c>
      <c r="H49" s="3">
        <f t="shared" ca="1" si="9"/>
        <v>1</v>
      </c>
      <c r="I49" s="3">
        <f t="shared" ca="1" si="9"/>
        <v>1</v>
      </c>
      <c r="J49" s="3">
        <f t="shared" ca="1" si="9"/>
        <v>1</v>
      </c>
      <c r="K49" s="3">
        <f t="shared" ca="1" si="9"/>
        <v>1</v>
      </c>
      <c r="L49" s="3">
        <f t="shared" ca="1" si="9"/>
        <v>1</v>
      </c>
      <c r="M49" s="3">
        <f t="shared" ca="1" si="9"/>
        <v>1</v>
      </c>
      <c r="N49" s="3">
        <f t="shared" ca="1" si="9"/>
        <v>1</v>
      </c>
      <c r="O49" s="3">
        <f t="shared" ca="1" si="9"/>
        <v>1</v>
      </c>
      <c r="P49" s="3">
        <f t="shared" ca="1" si="9"/>
        <v>1</v>
      </c>
      <c r="Q49" s="3">
        <f t="shared" ca="1" si="9"/>
        <v>1</v>
      </c>
      <c r="R49" s="3">
        <f t="shared" ca="1" si="9"/>
        <v>1</v>
      </c>
      <c r="S49" s="3">
        <f t="shared" ca="1" si="9"/>
        <v>1</v>
      </c>
      <c r="T49" s="3">
        <f t="shared" ca="1" si="9"/>
        <v>1</v>
      </c>
      <c r="U49" s="3">
        <f t="shared" ca="1" si="9"/>
        <v>1</v>
      </c>
      <c r="V49" s="3">
        <f t="shared" ca="1" si="9"/>
        <v>1</v>
      </c>
      <c r="W49" s="3">
        <f t="shared" ca="1" si="9"/>
        <v>1</v>
      </c>
      <c r="X49" s="3">
        <f t="shared" ca="1" si="8"/>
        <v>1</v>
      </c>
      <c r="Y49" s="3">
        <f t="shared" ca="1" si="6"/>
        <v>1</v>
      </c>
      <c r="Z49" s="3">
        <f t="shared" ca="1" si="6"/>
        <v>1</v>
      </c>
      <c r="AA49" s="3">
        <f t="shared" ca="1" si="6"/>
        <v>1</v>
      </c>
      <c r="AD49">
        <v>-83</v>
      </c>
      <c r="AE49">
        <v>-0.5</v>
      </c>
      <c r="AF49">
        <v>35</v>
      </c>
      <c r="AG49">
        <v>0.48249999999999998</v>
      </c>
    </row>
    <row r="50" spans="6:33" x14ac:dyDescent="0.4">
      <c r="H50" s="3">
        <f t="shared" ca="1" si="9"/>
        <v>1</v>
      </c>
      <c r="I50" s="3">
        <f t="shared" ca="1" si="9"/>
        <v>1</v>
      </c>
      <c r="J50" s="3">
        <f t="shared" ca="1" si="9"/>
        <v>1</v>
      </c>
      <c r="K50" s="3">
        <f t="shared" ca="1" si="9"/>
        <v>1</v>
      </c>
      <c r="L50" s="3">
        <f t="shared" ca="1" si="9"/>
        <v>1</v>
      </c>
      <c r="M50" s="3">
        <f t="shared" ca="1" si="9"/>
        <v>1</v>
      </c>
      <c r="N50" s="3">
        <f t="shared" ca="1" si="9"/>
        <v>1</v>
      </c>
      <c r="O50" s="3">
        <f t="shared" ca="1" si="9"/>
        <v>1</v>
      </c>
      <c r="P50" s="3">
        <f t="shared" ca="1" si="9"/>
        <v>1</v>
      </c>
      <c r="Q50" s="3">
        <f t="shared" ca="1" si="9"/>
        <v>1</v>
      </c>
      <c r="R50" s="3">
        <f t="shared" ca="1" si="9"/>
        <v>1</v>
      </c>
      <c r="S50" s="3">
        <f t="shared" ca="1" si="9"/>
        <v>1</v>
      </c>
      <c r="T50" s="3">
        <f t="shared" ca="1" si="9"/>
        <v>1</v>
      </c>
      <c r="U50" s="3">
        <f t="shared" ca="1" si="9"/>
        <v>1</v>
      </c>
      <c r="V50" s="3">
        <f t="shared" ca="1" si="9"/>
        <v>1</v>
      </c>
      <c r="W50" s="3">
        <f t="shared" ca="1" si="9"/>
        <v>1</v>
      </c>
      <c r="X50" s="3">
        <f t="shared" ca="1" si="8"/>
        <v>1</v>
      </c>
      <c r="Y50" s="3">
        <f t="shared" ca="1" si="6"/>
        <v>1</v>
      </c>
      <c r="Z50" s="3">
        <f t="shared" ca="1" si="6"/>
        <v>1</v>
      </c>
      <c r="AA50" s="3">
        <f t="shared" ca="1" si="6"/>
        <v>1</v>
      </c>
      <c r="AD50">
        <v>-82</v>
      </c>
      <c r="AE50">
        <v>-0.5</v>
      </c>
      <c r="AF50">
        <v>37</v>
      </c>
      <c r="AG50">
        <v>0.47249999999999998</v>
      </c>
    </row>
    <row r="51" spans="6:33" x14ac:dyDescent="0.4">
      <c r="AD51">
        <v>-81</v>
      </c>
      <c r="AE51">
        <v>-0.5</v>
      </c>
      <c r="AF51">
        <v>39</v>
      </c>
      <c r="AG51">
        <v>0.46750000000000003</v>
      </c>
    </row>
    <row r="52" spans="6:33" x14ac:dyDescent="0.4">
      <c r="AD52">
        <v>-80</v>
      </c>
      <c r="AE52">
        <v>-0.5</v>
      </c>
      <c r="AF52">
        <v>41</v>
      </c>
      <c r="AG52">
        <v>0.46</v>
      </c>
    </row>
    <row r="53" spans="6:33" x14ac:dyDescent="0.4">
      <c r="AD53">
        <v>-79</v>
      </c>
      <c r="AE53">
        <v>-0.5</v>
      </c>
      <c r="AF53">
        <v>43</v>
      </c>
      <c r="AG53">
        <v>0.47</v>
      </c>
    </row>
    <row r="54" spans="6:33" x14ac:dyDescent="0.4">
      <c r="AD54">
        <v>-78</v>
      </c>
      <c r="AE54">
        <v>-0.5</v>
      </c>
      <c r="AF54">
        <v>45</v>
      </c>
      <c r="AG54">
        <v>0.44750000000000001</v>
      </c>
    </row>
    <row r="55" spans="6:33" x14ac:dyDescent="0.4">
      <c r="AD55">
        <v>-77</v>
      </c>
      <c r="AE55">
        <v>-0.5</v>
      </c>
      <c r="AF55">
        <v>47</v>
      </c>
      <c r="AG55">
        <v>0.46750000000000003</v>
      </c>
    </row>
    <row r="56" spans="6:33" x14ac:dyDescent="0.4">
      <c r="AD56">
        <v>-76</v>
      </c>
      <c r="AE56">
        <v>-0.5</v>
      </c>
      <c r="AF56">
        <v>49</v>
      </c>
      <c r="AG56">
        <v>0.44</v>
      </c>
    </row>
    <row r="57" spans="6:33" x14ac:dyDescent="0.4">
      <c r="AD57">
        <v>-75</v>
      </c>
      <c r="AE57">
        <v>-0.5</v>
      </c>
      <c r="AF57">
        <v>51</v>
      </c>
      <c r="AG57">
        <v>0.435</v>
      </c>
    </row>
    <row r="58" spans="6:33" x14ac:dyDescent="0.4">
      <c r="AD58">
        <v>-74</v>
      </c>
      <c r="AE58">
        <v>-0.5</v>
      </c>
      <c r="AF58">
        <v>53</v>
      </c>
      <c r="AG58">
        <v>0.40250000000000002</v>
      </c>
    </row>
    <row r="59" spans="6:33" x14ac:dyDescent="0.4">
      <c r="AD59">
        <v>-73</v>
      </c>
      <c r="AE59">
        <v>-0.5</v>
      </c>
      <c r="AF59">
        <v>55</v>
      </c>
      <c r="AG59">
        <v>0.4425</v>
      </c>
    </row>
    <row r="60" spans="6:33" x14ac:dyDescent="0.4">
      <c r="AD60">
        <v>-72</v>
      </c>
      <c r="AE60">
        <v>-0.5</v>
      </c>
      <c r="AF60">
        <v>57</v>
      </c>
      <c r="AG60">
        <v>0.39</v>
      </c>
    </row>
    <row r="61" spans="6:33" x14ac:dyDescent="0.4">
      <c r="AD61">
        <v>-71</v>
      </c>
      <c r="AE61">
        <v>-0.5</v>
      </c>
      <c r="AF61">
        <v>59</v>
      </c>
      <c r="AG61">
        <v>0.40749999999999997</v>
      </c>
    </row>
    <row r="62" spans="6:33" x14ac:dyDescent="0.4">
      <c r="AD62">
        <v>-70</v>
      </c>
      <c r="AE62">
        <v>-0.5</v>
      </c>
      <c r="AF62">
        <v>61</v>
      </c>
      <c r="AG62">
        <v>0.4</v>
      </c>
    </row>
    <row r="63" spans="6:33" x14ac:dyDescent="0.4">
      <c r="AD63">
        <v>-69</v>
      </c>
      <c r="AE63">
        <v>-0.5</v>
      </c>
      <c r="AF63">
        <v>63</v>
      </c>
      <c r="AG63">
        <v>0.39500000000000002</v>
      </c>
    </row>
    <row r="64" spans="6:33" x14ac:dyDescent="0.4">
      <c r="AD64">
        <v>-68</v>
      </c>
      <c r="AE64">
        <v>-0.5</v>
      </c>
      <c r="AF64">
        <v>65</v>
      </c>
      <c r="AG64">
        <v>0.38</v>
      </c>
    </row>
    <row r="65" spans="30:33" x14ac:dyDescent="0.4">
      <c r="AD65">
        <v>-67</v>
      </c>
      <c r="AE65">
        <v>-0.5</v>
      </c>
      <c r="AF65">
        <v>67</v>
      </c>
      <c r="AG65">
        <v>0.34</v>
      </c>
    </row>
    <row r="66" spans="30:33" x14ac:dyDescent="0.4">
      <c r="AD66">
        <v>-66</v>
      </c>
      <c r="AE66">
        <v>-0.5</v>
      </c>
      <c r="AF66">
        <v>69</v>
      </c>
      <c r="AG66">
        <v>0.39500000000000002</v>
      </c>
    </row>
    <row r="67" spans="30:33" x14ac:dyDescent="0.4">
      <c r="AD67">
        <v>-65</v>
      </c>
      <c r="AE67">
        <v>-0.5</v>
      </c>
      <c r="AF67">
        <v>71</v>
      </c>
      <c r="AG67">
        <v>0.38500000000000001</v>
      </c>
    </row>
    <row r="68" spans="30:33" x14ac:dyDescent="0.4">
      <c r="AD68">
        <v>-64</v>
      </c>
      <c r="AE68">
        <v>-0.5</v>
      </c>
      <c r="AF68">
        <v>73</v>
      </c>
      <c r="AG68">
        <v>0.34</v>
      </c>
    </row>
    <row r="69" spans="30:33" x14ac:dyDescent="0.4">
      <c r="AD69">
        <v>-63</v>
      </c>
      <c r="AE69">
        <v>-0.5</v>
      </c>
      <c r="AF69">
        <v>75</v>
      </c>
      <c r="AG69">
        <v>0.35499999999999998</v>
      </c>
    </row>
    <row r="70" spans="30:33" x14ac:dyDescent="0.4">
      <c r="AD70">
        <v>-62</v>
      </c>
      <c r="AE70">
        <v>-0.5</v>
      </c>
      <c r="AF70">
        <v>77</v>
      </c>
      <c r="AG70">
        <v>0.36</v>
      </c>
    </row>
    <row r="71" spans="30:33" x14ac:dyDescent="0.4">
      <c r="AD71">
        <v>-61</v>
      </c>
      <c r="AE71">
        <v>-0.4975</v>
      </c>
      <c r="AF71">
        <v>79</v>
      </c>
      <c r="AG71">
        <v>0.34250000000000003</v>
      </c>
    </row>
    <row r="72" spans="30:33" x14ac:dyDescent="0.4">
      <c r="AD72">
        <v>-60</v>
      </c>
      <c r="AE72">
        <v>-0.4975</v>
      </c>
      <c r="AF72">
        <v>81</v>
      </c>
      <c r="AG72">
        <v>0.35749999999999998</v>
      </c>
    </row>
    <row r="73" spans="30:33" x14ac:dyDescent="0.4">
      <c r="AD73">
        <v>-59</v>
      </c>
      <c r="AE73">
        <v>-0.5</v>
      </c>
      <c r="AF73">
        <v>83</v>
      </c>
      <c r="AG73">
        <v>0.35499999999999998</v>
      </c>
    </row>
    <row r="74" spans="30:33" x14ac:dyDescent="0.4">
      <c r="AD74">
        <v>-58</v>
      </c>
      <c r="AE74">
        <v>-0.5</v>
      </c>
      <c r="AF74">
        <v>85</v>
      </c>
      <c r="AG74">
        <v>0.30249999999999999</v>
      </c>
    </row>
    <row r="75" spans="30:33" x14ac:dyDescent="0.4">
      <c r="AD75">
        <v>-57</v>
      </c>
      <c r="AE75">
        <v>-0.4975</v>
      </c>
      <c r="AF75">
        <v>87</v>
      </c>
      <c r="AG75">
        <v>0.28499999999999998</v>
      </c>
    </row>
    <row r="76" spans="30:33" x14ac:dyDescent="0.4">
      <c r="AD76">
        <v>-56</v>
      </c>
      <c r="AE76">
        <v>-0.5</v>
      </c>
      <c r="AF76">
        <v>89</v>
      </c>
      <c r="AG76">
        <v>0.33750000000000002</v>
      </c>
    </row>
    <row r="77" spans="30:33" x14ac:dyDescent="0.4">
      <c r="AD77">
        <v>-55</v>
      </c>
      <c r="AE77">
        <v>-0.5</v>
      </c>
      <c r="AF77">
        <v>91</v>
      </c>
      <c r="AG77">
        <v>0.32500000000000001</v>
      </c>
    </row>
    <row r="78" spans="30:33" x14ac:dyDescent="0.4">
      <c r="AD78">
        <v>-54</v>
      </c>
      <c r="AE78">
        <v>-0.5</v>
      </c>
      <c r="AF78">
        <v>93</v>
      </c>
      <c r="AG78">
        <v>0.28499999999999998</v>
      </c>
    </row>
    <row r="79" spans="30:33" x14ac:dyDescent="0.4">
      <c r="AD79">
        <v>-53</v>
      </c>
      <c r="AE79">
        <v>-0.5</v>
      </c>
      <c r="AF79">
        <v>95</v>
      </c>
      <c r="AG79">
        <v>0.3</v>
      </c>
    </row>
    <row r="80" spans="30:33" x14ac:dyDescent="0.4">
      <c r="AD80">
        <v>-52</v>
      </c>
      <c r="AE80">
        <v>-0.5</v>
      </c>
      <c r="AF80">
        <v>97</v>
      </c>
      <c r="AG80">
        <v>0.32</v>
      </c>
    </row>
    <row r="81" spans="30:33" x14ac:dyDescent="0.4">
      <c r="AD81">
        <v>-51</v>
      </c>
      <c r="AE81">
        <v>-0.5</v>
      </c>
      <c r="AF81">
        <v>99</v>
      </c>
      <c r="AG81">
        <v>0.26500000000000001</v>
      </c>
    </row>
    <row r="82" spans="30:33" x14ac:dyDescent="0.4">
      <c r="AD82">
        <v>-50</v>
      </c>
      <c r="AE82">
        <v>-0.5</v>
      </c>
      <c r="AF82">
        <v>101</v>
      </c>
      <c r="AG82">
        <v>0.255</v>
      </c>
    </row>
    <row r="83" spans="30:33" x14ac:dyDescent="0.4">
      <c r="AD83">
        <v>-49</v>
      </c>
      <c r="AE83">
        <v>-0.4975</v>
      </c>
      <c r="AF83">
        <v>103</v>
      </c>
      <c r="AG83">
        <v>0.27250000000000002</v>
      </c>
    </row>
    <row r="84" spans="30:33" x14ac:dyDescent="0.4">
      <c r="AD84">
        <v>-48</v>
      </c>
      <c r="AE84">
        <v>-0.5</v>
      </c>
      <c r="AF84">
        <v>105</v>
      </c>
      <c r="AG84">
        <v>0.28749999999999998</v>
      </c>
    </row>
    <row r="85" spans="30:33" x14ac:dyDescent="0.4">
      <c r="AD85">
        <v>-47</v>
      </c>
      <c r="AE85">
        <v>-0.4975</v>
      </c>
      <c r="AF85">
        <v>107</v>
      </c>
      <c r="AG85">
        <v>0.2525</v>
      </c>
    </row>
    <row r="86" spans="30:33" x14ac:dyDescent="0.4">
      <c r="AD86">
        <v>-46</v>
      </c>
      <c r="AE86">
        <v>-0.4975</v>
      </c>
      <c r="AF86">
        <v>109</v>
      </c>
      <c r="AG86">
        <v>0.29749999999999999</v>
      </c>
    </row>
    <row r="87" spans="30:33" x14ac:dyDescent="0.4">
      <c r="AD87">
        <v>-45</v>
      </c>
      <c r="AE87">
        <v>-0.5</v>
      </c>
      <c r="AF87">
        <v>111</v>
      </c>
      <c r="AG87">
        <v>0.255</v>
      </c>
    </row>
    <row r="88" spans="30:33" x14ac:dyDescent="0.4">
      <c r="AD88">
        <v>-44</v>
      </c>
      <c r="AE88">
        <v>-0.49249999999999999</v>
      </c>
      <c r="AF88">
        <v>113</v>
      </c>
      <c r="AG88">
        <v>0.25750000000000001</v>
      </c>
    </row>
    <row r="89" spans="30:33" x14ac:dyDescent="0.4">
      <c r="AD89">
        <v>-43</v>
      </c>
      <c r="AE89">
        <v>-0.5</v>
      </c>
      <c r="AF89">
        <v>115</v>
      </c>
      <c r="AG89">
        <v>0.27500000000000002</v>
      </c>
    </row>
    <row r="90" spans="30:33" x14ac:dyDescent="0.4">
      <c r="AD90">
        <v>-42</v>
      </c>
      <c r="AE90">
        <v>-0.495</v>
      </c>
      <c r="AF90">
        <v>117</v>
      </c>
      <c r="AG90">
        <v>0.23499999999999999</v>
      </c>
    </row>
    <row r="91" spans="30:33" x14ac:dyDescent="0.4">
      <c r="AD91">
        <v>-41</v>
      </c>
      <c r="AE91">
        <v>-0.5</v>
      </c>
      <c r="AF91">
        <v>119</v>
      </c>
      <c r="AG91">
        <v>0.27</v>
      </c>
    </row>
    <row r="92" spans="30:33" x14ac:dyDescent="0.4">
      <c r="AD92">
        <v>-40</v>
      </c>
      <c r="AE92">
        <v>-0.495</v>
      </c>
      <c r="AF92">
        <v>121</v>
      </c>
      <c r="AG92">
        <v>0.25750000000000001</v>
      </c>
    </row>
    <row r="93" spans="30:33" x14ac:dyDescent="0.4">
      <c r="AD93">
        <v>-39</v>
      </c>
      <c r="AE93">
        <v>-0.4975</v>
      </c>
      <c r="AF93">
        <v>123</v>
      </c>
      <c r="AG93">
        <v>0.2525</v>
      </c>
    </row>
    <row r="94" spans="30:33" x14ac:dyDescent="0.4">
      <c r="AD94">
        <v>-38</v>
      </c>
      <c r="AE94">
        <v>-0.49</v>
      </c>
      <c r="AF94">
        <v>125</v>
      </c>
      <c r="AG94">
        <v>0.23499999999999999</v>
      </c>
    </row>
    <row r="95" spans="30:33" x14ac:dyDescent="0.4">
      <c r="AD95">
        <v>-37</v>
      </c>
      <c r="AE95">
        <v>-0.495</v>
      </c>
      <c r="AF95">
        <v>127</v>
      </c>
      <c r="AG95">
        <v>0.26750000000000002</v>
      </c>
    </row>
    <row r="96" spans="30:33" x14ac:dyDescent="0.4">
      <c r="AD96">
        <v>-36</v>
      </c>
      <c r="AE96">
        <v>-0.49</v>
      </c>
      <c r="AF96">
        <v>129</v>
      </c>
      <c r="AG96">
        <v>0.22500000000000001</v>
      </c>
    </row>
    <row r="97" spans="30:33" x14ac:dyDescent="0.4">
      <c r="AD97">
        <v>-35</v>
      </c>
      <c r="AE97">
        <v>-0.48499999999999999</v>
      </c>
      <c r="AF97">
        <v>131</v>
      </c>
      <c r="AG97">
        <v>0.25750000000000001</v>
      </c>
    </row>
    <row r="98" spans="30:33" x14ac:dyDescent="0.4">
      <c r="AD98">
        <v>-34</v>
      </c>
      <c r="AE98">
        <v>-0.49249999999999999</v>
      </c>
      <c r="AF98">
        <v>133</v>
      </c>
      <c r="AG98">
        <v>0.215</v>
      </c>
    </row>
    <row r="99" spans="30:33" x14ac:dyDescent="0.4">
      <c r="AD99">
        <v>-33</v>
      </c>
      <c r="AE99">
        <v>-0.47749999999999998</v>
      </c>
      <c r="AF99">
        <v>135</v>
      </c>
      <c r="AG99">
        <v>0.1925</v>
      </c>
    </row>
    <row r="100" spans="30:33" x14ac:dyDescent="0.4">
      <c r="AD100">
        <v>-32</v>
      </c>
      <c r="AE100">
        <v>-0.48249999999999998</v>
      </c>
      <c r="AF100">
        <v>137</v>
      </c>
      <c r="AG100">
        <v>0.20250000000000001</v>
      </c>
    </row>
    <row r="101" spans="30:33" x14ac:dyDescent="0.4">
      <c r="AD101">
        <v>-31</v>
      </c>
      <c r="AE101">
        <v>-0.46750000000000003</v>
      </c>
      <c r="AF101">
        <v>139</v>
      </c>
      <c r="AG101">
        <v>0.22500000000000001</v>
      </c>
    </row>
    <row r="102" spans="30:33" x14ac:dyDescent="0.4">
      <c r="AD102">
        <v>-30</v>
      </c>
      <c r="AE102">
        <v>-0.49249999999999999</v>
      </c>
      <c r="AF102">
        <v>141</v>
      </c>
      <c r="AG102">
        <v>0.23250000000000001</v>
      </c>
    </row>
    <row r="103" spans="30:33" x14ac:dyDescent="0.4">
      <c r="AD103">
        <v>-29</v>
      </c>
      <c r="AE103">
        <v>-0.48249999999999998</v>
      </c>
      <c r="AF103">
        <v>143</v>
      </c>
      <c r="AG103">
        <v>0.1875</v>
      </c>
    </row>
    <row r="104" spans="30:33" x14ac:dyDescent="0.4">
      <c r="AD104">
        <v>-28</v>
      </c>
      <c r="AE104">
        <v>-0.48</v>
      </c>
      <c r="AF104">
        <v>145</v>
      </c>
      <c r="AG104">
        <v>0.22500000000000001</v>
      </c>
    </row>
    <row r="105" spans="30:33" x14ac:dyDescent="0.4">
      <c r="AD105">
        <v>-27</v>
      </c>
      <c r="AE105">
        <v>-0.46750000000000003</v>
      </c>
      <c r="AF105">
        <v>147</v>
      </c>
      <c r="AG105">
        <v>0.19</v>
      </c>
    </row>
    <row r="106" spans="30:33" x14ac:dyDescent="0.4">
      <c r="AD106">
        <v>-26</v>
      </c>
      <c r="AE106">
        <v>-0.46</v>
      </c>
      <c r="AF106">
        <v>149</v>
      </c>
      <c r="AG106">
        <v>0.21249999999999999</v>
      </c>
    </row>
    <row r="107" spans="30:33" x14ac:dyDescent="0.4">
      <c r="AD107">
        <v>-25</v>
      </c>
      <c r="AE107">
        <v>-0.45750000000000002</v>
      </c>
      <c r="AF107">
        <v>151</v>
      </c>
      <c r="AG107">
        <v>0.20749999999999999</v>
      </c>
    </row>
    <row r="108" spans="30:33" x14ac:dyDescent="0.4">
      <c r="AD108">
        <v>-24</v>
      </c>
      <c r="AE108">
        <v>-0.46500000000000002</v>
      </c>
      <c r="AF108">
        <v>153</v>
      </c>
      <c r="AG108">
        <v>0.1925</v>
      </c>
    </row>
    <row r="109" spans="30:33" x14ac:dyDescent="0.4">
      <c r="AD109">
        <v>-23</v>
      </c>
      <c r="AE109">
        <v>-0.45500000000000002</v>
      </c>
      <c r="AF109">
        <v>155</v>
      </c>
      <c r="AG109">
        <v>0.1825</v>
      </c>
    </row>
    <row r="110" spans="30:33" x14ac:dyDescent="0.4">
      <c r="AD110">
        <v>-22</v>
      </c>
      <c r="AE110">
        <v>-0.45</v>
      </c>
      <c r="AF110">
        <v>157</v>
      </c>
      <c r="AG110">
        <v>0.22</v>
      </c>
    </row>
    <row r="111" spans="30:33" x14ac:dyDescent="0.4">
      <c r="AD111">
        <v>-21</v>
      </c>
      <c r="AE111">
        <v>-0.44750000000000001</v>
      </c>
      <c r="AF111">
        <v>159</v>
      </c>
      <c r="AG111">
        <v>0.2225</v>
      </c>
    </row>
    <row r="112" spans="30:33" x14ac:dyDescent="0.4">
      <c r="AD112">
        <v>-20</v>
      </c>
      <c r="AE112">
        <v>-0.44750000000000001</v>
      </c>
      <c r="AF112">
        <v>161</v>
      </c>
      <c r="AG112">
        <v>0.1825</v>
      </c>
    </row>
    <row r="113" spans="30:33" x14ac:dyDescent="0.4">
      <c r="AD113">
        <v>-19</v>
      </c>
      <c r="AE113">
        <v>-0.44</v>
      </c>
      <c r="AF113">
        <v>163</v>
      </c>
      <c r="AG113">
        <v>0.215</v>
      </c>
    </row>
    <row r="114" spans="30:33" x14ac:dyDescent="0.4">
      <c r="AD114">
        <v>-18</v>
      </c>
      <c r="AE114">
        <v>-0.43</v>
      </c>
      <c r="AF114">
        <v>165</v>
      </c>
      <c r="AG114">
        <v>0.17749999999999999</v>
      </c>
    </row>
    <row r="115" spans="30:33" x14ac:dyDescent="0.4">
      <c r="AD115">
        <v>-17</v>
      </c>
      <c r="AE115">
        <v>-0.40749999999999997</v>
      </c>
      <c r="AF115">
        <v>167</v>
      </c>
      <c r="AG115">
        <v>0.17</v>
      </c>
    </row>
    <row r="116" spans="30:33" x14ac:dyDescent="0.4">
      <c r="AD116">
        <v>-16</v>
      </c>
      <c r="AE116">
        <v>-0.4</v>
      </c>
      <c r="AF116">
        <v>169</v>
      </c>
      <c r="AG116">
        <v>0.17499999999999999</v>
      </c>
    </row>
    <row r="117" spans="30:33" x14ac:dyDescent="0.4">
      <c r="AD117">
        <v>-15</v>
      </c>
      <c r="AE117">
        <v>-0.38750000000000001</v>
      </c>
      <c r="AF117">
        <v>171</v>
      </c>
      <c r="AG117">
        <v>0.16250000000000001</v>
      </c>
    </row>
    <row r="118" spans="30:33" x14ac:dyDescent="0.4">
      <c r="AD118">
        <v>-14</v>
      </c>
      <c r="AE118">
        <v>-0.35749999999999998</v>
      </c>
      <c r="AF118">
        <v>173</v>
      </c>
      <c r="AG118">
        <v>0.17499999999999999</v>
      </c>
    </row>
    <row r="119" spans="30:33" x14ac:dyDescent="0.4">
      <c r="AD119">
        <v>-13</v>
      </c>
      <c r="AE119">
        <v>-0.36499999999999999</v>
      </c>
      <c r="AF119">
        <v>175</v>
      </c>
      <c r="AG119">
        <v>0.12</v>
      </c>
    </row>
    <row r="120" spans="30:33" x14ac:dyDescent="0.4">
      <c r="AD120">
        <v>-12</v>
      </c>
      <c r="AE120">
        <v>-0.32500000000000001</v>
      </c>
      <c r="AF120">
        <v>177</v>
      </c>
      <c r="AG120">
        <v>0.2</v>
      </c>
    </row>
    <row r="121" spans="30:33" x14ac:dyDescent="0.4">
      <c r="AD121">
        <v>-11</v>
      </c>
      <c r="AE121">
        <v>-0.31</v>
      </c>
      <c r="AF121">
        <v>179</v>
      </c>
      <c r="AG121">
        <v>0.21249999999999999</v>
      </c>
    </row>
    <row r="122" spans="30:33" x14ac:dyDescent="0.4">
      <c r="AD122">
        <v>-10</v>
      </c>
      <c r="AE122">
        <v>-0.30499999999999999</v>
      </c>
      <c r="AF122">
        <v>181</v>
      </c>
      <c r="AG122">
        <v>0.22750000000000001</v>
      </c>
    </row>
    <row r="123" spans="30:33" x14ac:dyDescent="0.4">
      <c r="AD123">
        <v>-9</v>
      </c>
      <c r="AE123">
        <v>-0.29249999999999998</v>
      </c>
      <c r="AF123">
        <v>183</v>
      </c>
      <c r="AG123">
        <v>0.19</v>
      </c>
    </row>
    <row r="124" spans="30:33" x14ac:dyDescent="0.4">
      <c r="AD124">
        <v>-8</v>
      </c>
      <c r="AE124">
        <v>-0.27250000000000002</v>
      </c>
      <c r="AF124">
        <v>185</v>
      </c>
      <c r="AG124">
        <v>0.19500000000000001</v>
      </c>
    </row>
    <row r="125" spans="30:33" x14ac:dyDescent="0.4">
      <c r="AD125">
        <v>-7</v>
      </c>
      <c r="AE125">
        <v>-0.19750000000000001</v>
      </c>
      <c r="AF125">
        <v>187</v>
      </c>
      <c r="AG125">
        <v>0.13500000000000001</v>
      </c>
    </row>
    <row r="126" spans="30:33" x14ac:dyDescent="0.4">
      <c r="AD126">
        <v>-6</v>
      </c>
      <c r="AE126">
        <v>-0.19</v>
      </c>
      <c r="AF126">
        <v>189</v>
      </c>
      <c r="AG126">
        <v>0.1525</v>
      </c>
    </row>
    <row r="127" spans="30:33" x14ac:dyDescent="0.4">
      <c r="AD127">
        <v>-5</v>
      </c>
      <c r="AE127">
        <v>-0.17</v>
      </c>
      <c r="AF127">
        <v>191</v>
      </c>
      <c r="AG127">
        <v>0.1575</v>
      </c>
    </row>
    <row r="128" spans="30:33" x14ac:dyDescent="0.4">
      <c r="AD128">
        <v>-4</v>
      </c>
      <c r="AE128">
        <v>-0.13750000000000001</v>
      </c>
      <c r="AF128">
        <v>193</v>
      </c>
      <c r="AG128">
        <v>0.14499999999999999</v>
      </c>
    </row>
    <row r="129" spans="30:33" x14ac:dyDescent="0.4">
      <c r="AD129">
        <v>-3</v>
      </c>
      <c r="AE129">
        <v>-0.1075</v>
      </c>
      <c r="AF129">
        <v>195</v>
      </c>
      <c r="AG129">
        <v>0.16500000000000001</v>
      </c>
    </row>
    <row r="130" spans="30:33" x14ac:dyDescent="0.4">
      <c r="AD130">
        <v>-2</v>
      </c>
      <c r="AE130">
        <v>-0.1075</v>
      </c>
      <c r="AF130">
        <v>197</v>
      </c>
      <c r="AG130">
        <v>0.185</v>
      </c>
    </row>
    <row r="131" spans="30:33" x14ac:dyDescent="0.4">
      <c r="AD131">
        <v>-1</v>
      </c>
      <c r="AE131">
        <v>-1.7500000000000002E-2</v>
      </c>
      <c r="AF131">
        <v>199</v>
      </c>
      <c r="AG131">
        <v>0.1225</v>
      </c>
    </row>
    <row r="132" spans="30:33" x14ac:dyDescent="0.4">
      <c r="AD132">
        <v>0</v>
      </c>
      <c r="AE132">
        <v>-2.2499999999999999E-2</v>
      </c>
      <c r="AF132">
        <v>201</v>
      </c>
      <c r="AG132">
        <v>0.16</v>
      </c>
    </row>
    <row r="133" spans="30:33" x14ac:dyDescent="0.4">
      <c r="AD133">
        <v>1</v>
      </c>
      <c r="AE133">
        <v>5.2499999999999998E-2</v>
      </c>
      <c r="AF133">
        <v>203</v>
      </c>
      <c r="AG133">
        <v>0.16</v>
      </c>
    </row>
    <row r="134" spans="30:33" x14ac:dyDescent="0.4">
      <c r="AD134">
        <v>2</v>
      </c>
      <c r="AE134">
        <v>2.75E-2</v>
      </c>
      <c r="AF134">
        <v>205</v>
      </c>
      <c r="AG134">
        <v>0.17249999999999999</v>
      </c>
    </row>
    <row r="135" spans="30:33" x14ac:dyDescent="0.4">
      <c r="AD135">
        <v>3</v>
      </c>
      <c r="AE135">
        <v>0.06</v>
      </c>
      <c r="AF135">
        <v>207</v>
      </c>
      <c r="AG135">
        <v>0.16250000000000001</v>
      </c>
    </row>
    <row r="136" spans="30:33" x14ac:dyDescent="0.4">
      <c r="AD136">
        <v>4</v>
      </c>
      <c r="AE136">
        <v>0.14000000000000001</v>
      </c>
      <c r="AF136">
        <v>209</v>
      </c>
      <c r="AG136">
        <v>0.13250000000000001</v>
      </c>
    </row>
    <row r="137" spans="30:33" x14ac:dyDescent="0.4">
      <c r="AD137">
        <v>5</v>
      </c>
      <c r="AE137">
        <v>0.1925</v>
      </c>
      <c r="AF137">
        <v>211</v>
      </c>
      <c r="AG137">
        <v>0.1125</v>
      </c>
    </row>
    <row r="138" spans="30:33" x14ac:dyDescent="0.4">
      <c r="AD138">
        <v>6</v>
      </c>
      <c r="AE138">
        <v>0.1575</v>
      </c>
      <c r="AF138">
        <v>213</v>
      </c>
      <c r="AG138">
        <v>0.1575</v>
      </c>
    </row>
    <row r="139" spans="30:33" x14ac:dyDescent="0.4">
      <c r="AD139">
        <v>7</v>
      </c>
      <c r="AE139">
        <v>0.24249999999999999</v>
      </c>
      <c r="AF139">
        <v>215</v>
      </c>
      <c r="AG139">
        <v>0.16750000000000001</v>
      </c>
    </row>
    <row r="140" spans="30:33" x14ac:dyDescent="0.4">
      <c r="AD140">
        <v>8</v>
      </c>
      <c r="AE140">
        <v>0.26500000000000001</v>
      </c>
      <c r="AF140">
        <v>217</v>
      </c>
      <c r="AG140">
        <v>0.1225</v>
      </c>
    </row>
    <row r="141" spans="30:33" x14ac:dyDescent="0.4">
      <c r="AD141">
        <v>9</v>
      </c>
      <c r="AE141">
        <v>0.29749999999999999</v>
      </c>
      <c r="AF141">
        <v>219</v>
      </c>
      <c r="AG141">
        <v>0.16250000000000001</v>
      </c>
    </row>
    <row r="142" spans="30:33" x14ac:dyDescent="0.4">
      <c r="AD142">
        <v>10</v>
      </c>
      <c r="AE142">
        <v>0.25750000000000001</v>
      </c>
      <c r="AF142">
        <v>221</v>
      </c>
      <c r="AG142">
        <v>0.16</v>
      </c>
    </row>
    <row r="143" spans="30:33" x14ac:dyDescent="0.4">
      <c r="AD143">
        <v>11</v>
      </c>
      <c r="AE143">
        <v>0.3</v>
      </c>
      <c r="AF143">
        <v>223</v>
      </c>
      <c r="AG143">
        <v>0.155</v>
      </c>
    </row>
    <row r="144" spans="30:33" x14ac:dyDescent="0.4">
      <c r="AD144">
        <v>12</v>
      </c>
      <c r="AE144">
        <v>0.35749999999999998</v>
      </c>
      <c r="AF144">
        <v>225</v>
      </c>
      <c r="AG144">
        <v>0.125</v>
      </c>
    </row>
    <row r="145" spans="30:33" x14ac:dyDescent="0.4">
      <c r="AD145">
        <v>13</v>
      </c>
      <c r="AE145">
        <v>0.34749999999999998</v>
      </c>
      <c r="AF145">
        <v>227</v>
      </c>
      <c r="AG145">
        <v>0.14000000000000001</v>
      </c>
    </row>
    <row r="146" spans="30:33" x14ac:dyDescent="0.4">
      <c r="AD146">
        <v>14</v>
      </c>
      <c r="AE146">
        <v>0.36249999999999999</v>
      </c>
      <c r="AF146">
        <v>229</v>
      </c>
      <c r="AG146">
        <v>0.14499999999999999</v>
      </c>
    </row>
    <row r="147" spans="30:33" x14ac:dyDescent="0.4">
      <c r="AD147">
        <v>15</v>
      </c>
      <c r="AE147">
        <v>0.3775</v>
      </c>
      <c r="AF147">
        <v>231</v>
      </c>
      <c r="AG147">
        <v>0.115</v>
      </c>
    </row>
    <row r="148" spans="30:33" x14ac:dyDescent="0.4">
      <c r="AD148">
        <v>16</v>
      </c>
      <c r="AE148">
        <v>0.39250000000000002</v>
      </c>
      <c r="AF148">
        <v>233</v>
      </c>
      <c r="AG148">
        <v>0.125</v>
      </c>
    </row>
    <row r="149" spans="30:33" x14ac:dyDescent="0.4">
      <c r="AD149">
        <v>17</v>
      </c>
      <c r="AE149">
        <v>0.39</v>
      </c>
      <c r="AF149">
        <v>235</v>
      </c>
      <c r="AG149">
        <v>0.1575</v>
      </c>
    </row>
    <row r="150" spans="30:33" x14ac:dyDescent="0.4">
      <c r="AD150">
        <v>18</v>
      </c>
      <c r="AE150">
        <v>0.41499999999999998</v>
      </c>
      <c r="AF150">
        <v>237</v>
      </c>
      <c r="AG150">
        <v>0.16250000000000001</v>
      </c>
    </row>
    <row r="151" spans="30:33" x14ac:dyDescent="0.4">
      <c r="AD151">
        <v>19</v>
      </c>
      <c r="AE151">
        <v>0.42749999999999999</v>
      </c>
      <c r="AF151">
        <v>239</v>
      </c>
      <c r="AG151">
        <v>8.2500000000000004E-2</v>
      </c>
    </row>
    <row r="152" spans="30:33" x14ac:dyDescent="0.4">
      <c r="AD152">
        <v>20</v>
      </c>
      <c r="AE152">
        <v>0.45250000000000001</v>
      </c>
      <c r="AF152">
        <v>241</v>
      </c>
      <c r="AG152">
        <v>0.1225</v>
      </c>
    </row>
    <row r="153" spans="30:33" x14ac:dyDescent="0.4">
      <c r="AD153">
        <v>21</v>
      </c>
      <c r="AE153">
        <v>0.42</v>
      </c>
      <c r="AF153">
        <v>243</v>
      </c>
      <c r="AG153">
        <v>0.14000000000000001</v>
      </c>
    </row>
    <row r="154" spans="30:33" x14ac:dyDescent="0.4">
      <c r="AD154">
        <v>22</v>
      </c>
      <c r="AE154">
        <v>0.45750000000000002</v>
      </c>
      <c r="AF154">
        <v>245</v>
      </c>
      <c r="AG154">
        <v>0.15</v>
      </c>
    </row>
    <row r="155" spans="30:33" x14ac:dyDescent="0.4">
      <c r="AD155">
        <v>23</v>
      </c>
      <c r="AE155">
        <v>0.45500000000000002</v>
      </c>
      <c r="AF155">
        <v>247</v>
      </c>
      <c r="AG155">
        <v>0.1125</v>
      </c>
    </row>
    <row r="156" spans="30:33" x14ac:dyDescent="0.4">
      <c r="AD156">
        <v>24</v>
      </c>
      <c r="AE156">
        <v>0.47</v>
      </c>
      <c r="AF156">
        <v>249</v>
      </c>
      <c r="AG156">
        <v>0.1275</v>
      </c>
    </row>
    <row r="157" spans="30:33" x14ac:dyDescent="0.4">
      <c r="AD157">
        <v>25</v>
      </c>
      <c r="AE157">
        <v>0.46250000000000002</v>
      </c>
      <c r="AF157">
        <v>251</v>
      </c>
      <c r="AG157">
        <v>0.14249999999999999</v>
      </c>
    </row>
    <row r="158" spans="30:33" x14ac:dyDescent="0.4">
      <c r="AD158">
        <v>26</v>
      </c>
      <c r="AE158">
        <v>0.45250000000000001</v>
      </c>
      <c r="AF158">
        <v>253</v>
      </c>
      <c r="AG158">
        <v>0.12</v>
      </c>
    </row>
    <row r="159" spans="30:33" x14ac:dyDescent="0.4">
      <c r="AD159">
        <v>27</v>
      </c>
      <c r="AE159">
        <v>0.48249999999999998</v>
      </c>
      <c r="AF159">
        <v>255</v>
      </c>
      <c r="AG159">
        <v>0.1525</v>
      </c>
    </row>
    <row r="160" spans="30:33" x14ac:dyDescent="0.4">
      <c r="AD160">
        <v>28</v>
      </c>
      <c r="AE160">
        <v>0.47499999999999998</v>
      </c>
      <c r="AF160">
        <v>257</v>
      </c>
      <c r="AG160">
        <v>0.14000000000000001</v>
      </c>
    </row>
    <row r="161" spans="30:33" x14ac:dyDescent="0.4">
      <c r="AD161">
        <v>29</v>
      </c>
      <c r="AE161">
        <v>0.47749999999999998</v>
      </c>
      <c r="AF161">
        <v>259</v>
      </c>
      <c r="AG161">
        <v>0.1225</v>
      </c>
    </row>
    <row r="162" spans="30:33" x14ac:dyDescent="0.4">
      <c r="AD162">
        <v>30</v>
      </c>
      <c r="AE162">
        <v>0.48</v>
      </c>
      <c r="AF162">
        <v>261</v>
      </c>
      <c r="AG162">
        <v>9.7500000000000003E-2</v>
      </c>
    </row>
    <row r="163" spans="30:33" x14ac:dyDescent="0.4">
      <c r="AD163">
        <v>31</v>
      </c>
      <c r="AE163">
        <v>0.48749999999999999</v>
      </c>
      <c r="AF163">
        <v>263</v>
      </c>
      <c r="AG163">
        <v>0.12</v>
      </c>
    </row>
    <row r="164" spans="30:33" x14ac:dyDescent="0.4">
      <c r="AD164">
        <v>32</v>
      </c>
      <c r="AE164">
        <v>0.48</v>
      </c>
      <c r="AF164">
        <v>265</v>
      </c>
      <c r="AG164">
        <v>0.12</v>
      </c>
    </row>
    <row r="165" spans="30:33" x14ac:dyDescent="0.4">
      <c r="AD165">
        <v>33</v>
      </c>
      <c r="AE165">
        <v>0.495</v>
      </c>
      <c r="AF165">
        <v>267</v>
      </c>
      <c r="AG165">
        <v>0.11</v>
      </c>
    </row>
    <row r="166" spans="30:33" x14ac:dyDescent="0.4">
      <c r="AD166">
        <v>34</v>
      </c>
      <c r="AE166">
        <v>0.49249999999999999</v>
      </c>
      <c r="AF166">
        <v>269</v>
      </c>
      <c r="AG166">
        <v>0.1125</v>
      </c>
    </row>
    <row r="167" spans="30:33" x14ac:dyDescent="0.4">
      <c r="AD167">
        <v>35</v>
      </c>
      <c r="AE167">
        <v>0.49249999999999999</v>
      </c>
      <c r="AF167">
        <v>271</v>
      </c>
      <c r="AG167">
        <v>0.11749999999999999</v>
      </c>
    </row>
    <row r="168" spans="30:33" x14ac:dyDescent="0.4">
      <c r="AD168">
        <v>36</v>
      </c>
      <c r="AE168">
        <v>0.48749999999999999</v>
      </c>
      <c r="AF168">
        <v>273</v>
      </c>
      <c r="AG168">
        <v>0.155</v>
      </c>
    </row>
    <row r="169" spans="30:33" x14ac:dyDescent="0.4">
      <c r="AD169">
        <v>37</v>
      </c>
      <c r="AE169">
        <v>0.49249999999999999</v>
      </c>
      <c r="AF169">
        <v>275</v>
      </c>
      <c r="AG169">
        <v>0.13500000000000001</v>
      </c>
    </row>
    <row r="170" spans="30:33" x14ac:dyDescent="0.4">
      <c r="AD170">
        <v>38</v>
      </c>
      <c r="AE170">
        <v>0.5</v>
      </c>
      <c r="AF170">
        <v>277</v>
      </c>
      <c r="AG170">
        <v>0.105</v>
      </c>
    </row>
    <row r="171" spans="30:33" x14ac:dyDescent="0.4">
      <c r="AD171">
        <v>39</v>
      </c>
      <c r="AE171">
        <v>0.495</v>
      </c>
      <c r="AF171">
        <v>279</v>
      </c>
      <c r="AG171">
        <v>0.09</v>
      </c>
    </row>
    <row r="172" spans="30:33" x14ac:dyDescent="0.4">
      <c r="AD172">
        <v>40</v>
      </c>
      <c r="AE172">
        <v>0.495</v>
      </c>
      <c r="AF172">
        <v>281</v>
      </c>
      <c r="AG172">
        <v>0.14499999999999999</v>
      </c>
    </row>
    <row r="173" spans="30:33" x14ac:dyDescent="0.4">
      <c r="AD173">
        <v>41</v>
      </c>
      <c r="AE173">
        <v>0.495</v>
      </c>
      <c r="AF173">
        <v>283</v>
      </c>
      <c r="AG173">
        <v>7.0000000000000007E-2</v>
      </c>
    </row>
    <row r="174" spans="30:33" x14ac:dyDescent="0.4">
      <c r="AD174">
        <v>42</v>
      </c>
      <c r="AE174">
        <v>0.4975</v>
      </c>
      <c r="AF174">
        <v>285</v>
      </c>
      <c r="AG174">
        <v>0.13</v>
      </c>
    </row>
    <row r="175" spans="30:33" x14ac:dyDescent="0.4">
      <c r="AD175">
        <v>43</v>
      </c>
      <c r="AE175">
        <v>0.5</v>
      </c>
      <c r="AF175">
        <v>287</v>
      </c>
      <c r="AG175">
        <v>0.155</v>
      </c>
    </row>
    <row r="176" spans="30:33" x14ac:dyDescent="0.4">
      <c r="AD176">
        <v>44</v>
      </c>
      <c r="AE176">
        <v>0.5</v>
      </c>
      <c r="AF176">
        <v>289</v>
      </c>
      <c r="AG176">
        <v>0.15</v>
      </c>
    </row>
    <row r="177" spans="30:33" x14ac:dyDescent="0.4">
      <c r="AD177">
        <v>45</v>
      </c>
      <c r="AE177">
        <v>0.5</v>
      </c>
      <c r="AF177">
        <v>291</v>
      </c>
      <c r="AG177">
        <v>0.125</v>
      </c>
    </row>
    <row r="178" spans="30:33" x14ac:dyDescent="0.4">
      <c r="AD178">
        <v>46</v>
      </c>
      <c r="AE178">
        <v>0.5</v>
      </c>
      <c r="AF178">
        <v>293</v>
      </c>
      <c r="AG178">
        <v>0.1</v>
      </c>
    </row>
    <row r="179" spans="30:33" x14ac:dyDescent="0.4">
      <c r="AD179">
        <v>47</v>
      </c>
      <c r="AE179">
        <v>0.5</v>
      </c>
      <c r="AF179">
        <v>295</v>
      </c>
      <c r="AG179">
        <v>0.16750000000000001</v>
      </c>
    </row>
    <row r="180" spans="30:33" x14ac:dyDescent="0.4">
      <c r="AD180">
        <v>48</v>
      </c>
      <c r="AE180">
        <v>0.495</v>
      </c>
      <c r="AF180">
        <v>297</v>
      </c>
      <c r="AG180">
        <v>8.7499999999999994E-2</v>
      </c>
    </row>
    <row r="181" spans="30:33" x14ac:dyDescent="0.4">
      <c r="AD181">
        <v>49</v>
      </c>
      <c r="AE181">
        <v>0.5</v>
      </c>
      <c r="AF181">
        <v>299</v>
      </c>
      <c r="AG181">
        <v>7.4999999999999997E-2</v>
      </c>
    </row>
    <row r="182" spans="30:33" x14ac:dyDescent="0.4">
      <c r="AD182">
        <v>50</v>
      </c>
      <c r="AE182">
        <v>0.4975</v>
      </c>
      <c r="AF182">
        <v>301</v>
      </c>
      <c r="AG182">
        <v>0.12</v>
      </c>
    </row>
    <row r="183" spans="30:33" x14ac:dyDescent="0.4">
      <c r="AD183">
        <v>51</v>
      </c>
      <c r="AE183">
        <v>0.5</v>
      </c>
      <c r="AF183">
        <v>303</v>
      </c>
      <c r="AG183">
        <v>0.16</v>
      </c>
    </row>
    <row r="184" spans="30:33" x14ac:dyDescent="0.4">
      <c r="AD184">
        <v>52</v>
      </c>
      <c r="AE184">
        <v>0.5</v>
      </c>
      <c r="AF184">
        <v>305</v>
      </c>
      <c r="AG184">
        <v>0.1225</v>
      </c>
    </row>
    <row r="185" spans="30:33" x14ac:dyDescent="0.4">
      <c r="AD185">
        <v>53</v>
      </c>
      <c r="AE185">
        <v>0.5</v>
      </c>
      <c r="AF185">
        <v>307</v>
      </c>
      <c r="AG185">
        <v>0.1125</v>
      </c>
    </row>
    <row r="186" spans="30:33" x14ac:dyDescent="0.4">
      <c r="AD186">
        <v>54</v>
      </c>
      <c r="AE186">
        <v>0.5</v>
      </c>
      <c r="AF186">
        <v>309</v>
      </c>
      <c r="AG186">
        <v>0.10249999999999999</v>
      </c>
    </row>
    <row r="187" spans="30:33" x14ac:dyDescent="0.4">
      <c r="AD187">
        <v>55</v>
      </c>
      <c r="AE187">
        <v>0.4975</v>
      </c>
      <c r="AF187">
        <v>311</v>
      </c>
      <c r="AG187">
        <v>0.05</v>
      </c>
    </row>
    <row r="188" spans="30:33" x14ac:dyDescent="0.4">
      <c r="AD188">
        <v>56</v>
      </c>
      <c r="AE188">
        <v>0.5</v>
      </c>
      <c r="AF188">
        <v>313</v>
      </c>
      <c r="AG188">
        <v>0.105</v>
      </c>
    </row>
    <row r="189" spans="30:33" x14ac:dyDescent="0.4">
      <c r="AD189">
        <v>57</v>
      </c>
      <c r="AE189">
        <v>0.5</v>
      </c>
      <c r="AF189">
        <v>315</v>
      </c>
      <c r="AG189">
        <v>0.1275</v>
      </c>
    </row>
    <row r="190" spans="30:33" x14ac:dyDescent="0.4">
      <c r="AD190">
        <v>58</v>
      </c>
      <c r="AE190">
        <v>0.4975</v>
      </c>
      <c r="AF190">
        <v>317</v>
      </c>
      <c r="AG190">
        <v>6.5000000000000002E-2</v>
      </c>
    </row>
    <row r="191" spans="30:33" x14ac:dyDescent="0.4">
      <c r="AD191">
        <v>59</v>
      </c>
      <c r="AE191">
        <v>0.4975</v>
      </c>
      <c r="AF191">
        <v>319</v>
      </c>
      <c r="AG191">
        <v>0.11749999999999999</v>
      </c>
    </row>
    <row r="192" spans="30:33" x14ac:dyDescent="0.4">
      <c r="AD192">
        <v>60</v>
      </c>
      <c r="AE192">
        <v>0.4975</v>
      </c>
      <c r="AF192">
        <v>321</v>
      </c>
      <c r="AG192">
        <v>9.5000000000000001E-2</v>
      </c>
    </row>
    <row r="193" spans="30:33" x14ac:dyDescent="0.4">
      <c r="AD193">
        <v>61</v>
      </c>
      <c r="AE193">
        <v>0.5</v>
      </c>
      <c r="AF193">
        <v>323</v>
      </c>
      <c r="AG193">
        <v>3.2500000000000001E-2</v>
      </c>
    </row>
    <row r="194" spans="30:33" x14ac:dyDescent="0.4">
      <c r="AD194">
        <v>62</v>
      </c>
      <c r="AE194">
        <v>0.5</v>
      </c>
      <c r="AF194">
        <v>325</v>
      </c>
      <c r="AG194">
        <v>0.11</v>
      </c>
    </row>
    <row r="195" spans="30:33" x14ac:dyDescent="0.4">
      <c r="AD195">
        <v>63</v>
      </c>
      <c r="AE195">
        <v>0.5</v>
      </c>
      <c r="AF195">
        <v>327</v>
      </c>
      <c r="AG195">
        <v>5.7500000000000002E-2</v>
      </c>
    </row>
    <row r="196" spans="30:33" x14ac:dyDescent="0.4">
      <c r="AD196">
        <v>64</v>
      </c>
      <c r="AE196">
        <v>0.5</v>
      </c>
      <c r="AF196">
        <v>329</v>
      </c>
      <c r="AG196">
        <v>0.1225</v>
      </c>
    </row>
    <row r="197" spans="30:33" x14ac:dyDescent="0.4">
      <c r="AD197">
        <v>65</v>
      </c>
      <c r="AE197">
        <v>0.5</v>
      </c>
      <c r="AF197">
        <v>331</v>
      </c>
      <c r="AG197">
        <v>8.7499999999999994E-2</v>
      </c>
    </row>
    <row r="198" spans="30:33" x14ac:dyDescent="0.4">
      <c r="AD198">
        <v>66</v>
      </c>
      <c r="AE198">
        <v>0.5</v>
      </c>
      <c r="AF198">
        <v>333</v>
      </c>
      <c r="AG198">
        <v>0.1075</v>
      </c>
    </row>
    <row r="199" spans="30:33" x14ac:dyDescent="0.4">
      <c r="AD199">
        <v>67</v>
      </c>
      <c r="AE199">
        <v>0.4975</v>
      </c>
      <c r="AF199">
        <v>335</v>
      </c>
      <c r="AG199">
        <v>0.115</v>
      </c>
    </row>
    <row r="200" spans="30:33" x14ac:dyDescent="0.4">
      <c r="AD200">
        <v>68</v>
      </c>
      <c r="AE200">
        <v>0.5</v>
      </c>
      <c r="AF200">
        <v>337</v>
      </c>
      <c r="AG200">
        <v>6.25E-2</v>
      </c>
    </row>
    <row r="201" spans="30:33" x14ac:dyDescent="0.4">
      <c r="AD201">
        <v>69</v>
      </c>
      <c r="AE201">
        <v>0.4975</v>
      </c>
      <c r="AF201">
        <v>339</v>
      </c>
      <c r="AG201">
        <v>0.13500000000000001</v>
      </c>
    </row>
    <row r="202" spans="30:33" x14ac:dyDescent="0.4">
      <c r="AD202">
        <v>70</v>
      </c>
      <c r="AE202">
        <v>0.5</v>
      </c>
      <c r="AF202">
        <v>341</v>
      </c>
      <c r="AG202">
        <v>0.105</v>
      </c>
    </row>
    <row r="203" spans="30:33" x14ac:dyDescent="0.4">
      <c r="AD203">
        <v>71</v>
      </c>
      <c r="AE203">
        <v>0.5</v>
      </c>
      <c r="AF203">
        <v>343</v>
      </c>
      <c r="AG203">
        <v>0.10249999999999999</v>
      </c>
    </row>
    <row r="204" spans="30:33" x14ac:dyDescent="0.4">
      <c r="AD204">
        <v>72</v>
      </c>
      <c r="AE204">
        <v>0.5</v>
      </c>
      <c r="AF204">
        <v>345</v>
      </c>
      <c r="AG204">
        <v>6.5000000000000002E-2</v>
      </c>
    </row>
    <row r="205" spans="30:33" x14ac:dyDescent="0.4">
      <c r="AD205">
        <v>73</v>
      </c>
      <c r="AE205">
        <v>0.5</v>
      </c>
      <c r="AF205">
        <v>347</v>
      </c>
      <c r="AG205">
        <v>7.4999999999999997E-2</v>
      </c>
    </row>
    <row r="206" spans="30:33" x14ac:dyDescent="0.4">
      <c r="AD206">
        <v>74</v>
      </c>
      <c r="AE206">
        <v>0.5</v>
      </c>
      <c r="AF206">
        <v>349</v>
      </c>
      <c r="AG206">
        <v>6.5000000000000002E-2</v>
      </c>
    </row>
    <row r="207" spans="30:33" x14ac:dyDescent="0.4">
      <c r="AD207">
        <v>75</v>
      </c>
      <c r="AE207">
        <v>0.5</v>
      </c>
      <c r="AF207">
        <v>351</v>
      </c>
      <c r="AG207">
        <v>6.5000000000000002E-2</v>
      </c>
    </row>
    <row r="208" spans="30:33" x14ac:dyDescent="0.4">
      <c r="AD208">
        <v>76</v>
      </c>
      <c r="AE208">
        <v>0.5</v>
      </c>
      <c r="AF208">
        <v>353</v>
      </c>
      <c r="AG208">
        <v>0.10249999999999999</v>
      </c>
    </row>
    <row r="209" spans="30:33" x14ac:dyDescent="0.4">
      <c r="AD209">
        <v>77</v>
      </c>
      <c r="AE209">
        <v>0.5</v>
      </c>
      <c r="AF209">
        <v>355</v>
      </c>
      <c r="AG209">
        <v>0.10249999999999999</v>
      </c>
    </row>
    <row r="210" spans="30:33" x14ac:dyDescent="0.4">
      <c r="AD210">
        <v>78</v>
      </c>
      <c r="AE210">
        <v>0.5</v>
      </c>
      <c r="AF210">
        <v>357</v>
      </c>
      <c r="AG210">
        <v>5.7500000000000002E-2</v>
      </c>
    </row>
    <row r="211" spans="30:33" x14ac:dyDescent="0.4">
      <c r="AD211">
        <v>79</v>
      </c>
      <c r="AE211">
        <v>0.5</v>
      </c>
      <c r="AF211">
        <v>359</v>
      </c>
      <c r="AG211">
        <v>9.7500000000000003E-2</v>
      </c>
    </row>
    <row r="212" spans="30:33" x14ac:dyDescent="0.4">
      <c r="AD212">
        <v>80</v>
      </c>
      <c r="AE212">
        <v>0.5</v>
      </c>
      <c r="AF212">
        <v>361</v>
      </c>
      <c r="AG212">
        <v>0.13250000000000001</v>
      </c>
    </row>
    <row r="213" spans="30:33" x14ac:dyDescent="0.4">
      <c r="AD213">
        <v>81</v>
      </c>
      <c r="AE213">
        <v>0.5</v>
      </c>
      <c r="AF213">
        <v>363</v>
      </c>
      <c r="AG213">
        <v>0.06</v>
      </c>
    </row>
    <row r="214" spans="30:33" x14ac:dyDescent="0.4">
      <c r="AD214">
        <v>82</v>
      </c>
      <c r="AE214">
        <v>0.5</v>
      </c>
      <c r="AF214">
        <v>365</v>
      </c>
      <c r="AG214">
        <v>0.105</v>
      </c>
    </row>
    <row r="215" spans="30:33" x14ac:dyDescent="0.4">
      <c r="AD215">
        <v>83</v>
      </c>
      <c r="AE215">
        <v>0.5</v>
      </c>
      <c r="AF215">
        <v>367</v>
      </c>
      <c r="AG215">
        <v>7.4999999999999997E-2</v>
      </c>
    </row>
    <row r="216" spans="30:33" x14ac:dyDescent="0.4">
      <c r="AD216">
        <v>84</v>
      </c>
      <c r="AE216">
        <v>0.5</v>
      </c>
      <c r="AF216">
        <v>369</v>
      </c>
      <c r="AG216">
        <v>7.0000000000000007E-2</v>
      </c>
    </row>
    <row r="217" spans="30:33" x14ac:dyDescent="0.4">
      <c r="AD217">
        <v>85</v>
      </c>
      <c r="AE217">
        <v>0.5</v>
      </c>
      <c r="AF217">
        <v>371</v>
      </c>
      <c r="AG217">
        <v>8.5000000000000006E-2</v>
      </c>
    </row>
    <row r="218" spans="30:33" x14ac:dyDescent="0.4">
      <c r="AD218">
        <v>86</v>
      </c>
      <c r="AE218">
        <v>0.5</v>
      </c>
      <c r="AF218">
        <v>373</v>
      </c>
      <c r="AG218">
        <v>0.10249999999999999</v>
      </c>
    </row>
    <row r="219" spans="30:33" x14ac:dyDescent="0.4">
      <c r="AD219">
        <v>87</v>
      </c>
      <c r="AE219">
        <v>0.5</v>
      </c>
      <c r="AF219">
        <v>375</v>
      </c>
      <c r="AG219">
        <v>0.12</v>
      </c>
    </row>
    <row r="220" spans="30:33" x14ac:dyDescent="0.4">
      <c r="AD220">
        <v>88</v>
      </c>
      <c r="AE220">
        <v>0.5</v>
      </c>
      <c r="AF220">
        <v>377</v>
      </c>
      <c r="AG220">
        <v>0.06</v>
      </c>
    </row>
    <row r="221" spans="30:33" x14ac:dyDescent="0.4">
      <c r="AD221">
        <v>89</v>
      </c>
      <c r="AE221">
        <v>0.5</v>
      </c>
      <c r="AF221">
        <v>379</v>
      </c>
      <c r="AG221">
        <v>9.7500000000000003E-2</v>
      </c>
    </row>
    <row r="222" spans="30:33" x14ac:dyDescent="0.4">
      <c r="AD222">
        <v>90</v>
      </c>
      <c r="AE222">
        <v>0.5</v>
      </c>
      <c r="AF222">
        <v>381</v>
      </c>
      <c r="AG222">
        <v>8.7499999999999994E-2</v>
      </c>
    </row>
    <row r="223" spans="30:33" x14ac:dyDescent="0.4">
      <c r="AD223">
        <v>91</v>
      </c>
      <c r="AE223">
        <v>0.5</v>
      </c>
      <c r="AF223">
        <v>383</v>
      </c>
      <c r="AG223">
        <v>8.7499999999999994E-2</v>
      </c>
    </row>
    <row r="224" spans="30:33" x14ac:dyDescent="0.4">
      <c r="AD224">
        <v>92</v>
      </c>
      <c r="AE224">
        <v>0.5</v>
      </c>
      <c r="AF224">
        <v>385</v>
      </c>
      <c r="AG224">
        <v>0.1075</v>
      </c>
    </row>
    <row r="225" spans="30:33" x14ac:dyDescent="0.4">
      <c r="AD225">
        <v>93</v>
      </c>
      <c r="AE225">
        <v>0.5</v>
      </c>
      <c r="AF225">
        <v>387</v>
      </c>
      <c r="AG225">
        <v>6.5000000000000002E-2</v>
      </c>
    </row>
    <row r="226" spans="30:33" x14ac:dyDescent="0.4">
      <c r="AD226">
        <v>94</v>
      </c>
      <c r="AE226">
        <v>0.5</v>
      </c>
      <c r="AF226">
        <v>389</v>
      </c>
      <c r="AG226">
        <v>0.1225</v>
      </c>
    </row>
    <row r="227" spans="30:33" x14ac:dyDescent="0.4">
      <c r="AD227">
        <v>95</v>
      </c>
      <c r="AE227">
        <v>0.5</v>
      </c>
      <c r="AF227">
        <v>391</v>
      </c>
      <c r="AG227">
        <v>4.7500000000000001E-2</v>
      </c>
    </row>
    <row r="228" spans="30:33" x14ac:dyDescent="0.4">
      <c r="AD228">
        <v>96</v>
      </c>
      <c r="AE228">
        <v>0.5</v>
      </c>
      <c r="AF228">
        <v>393</v>
      </c>
      <c r="AG228">
        <v>0.1125</v>
      </c>
    </row>
    <row r="229" spans="30:33" x14ac:dyDescent="0.4">
      <c r="AD229">
        <v>97</v>
      </c>
      <c r="AE229">
        <v>0.5</v>
      </c>
      <c r="AF229">
        <v>395</v>
      </c>
      <c r="AG229">
        <v>9.7500000000000003E-2</v>
      </c>
    </row>
    <row r="230" spans="30:33" x14ac:dyDescent="0.4">
      <c r="AD230">
        <v>98</v>
      </c>
      <c r="AE230">
        <v>0.5</v>
      </c>
      <c r="AF230">
        <v>397</v>
      </c>
      <c r="AG230">
        <v>7.4999999999999997E-2</v>
      </c>
    </row>
    <row r="231" spans="30:33" x14ac:dyDescent="0.4">
      <c r="AD231">
        <v>99</v>
      </c>
      <c r="AE231">
        <v>0.5</v>
      </c>
      <c r="AF231">
        <v>399</v>
      </c>
      <c r="AG231">
        <v>0.06</v>
      </c>
    </row>
    <row r="232" spans="30:33" x14ac:dyDescent="0.4">
      <c r="AD232">
        <v>100</v>
      </c>
      <c r="AE232">
        <v>0.5</v>
      </c>
      <c r="AF232">
        <v>401</v>
      </c>
      <c r="AG232">
        <v>5.5E-2</v>
      </c>
    </row>
    <row r="233" spans="30:33" x14ac:dyDescent="0.4">
      <c r="AD233">
        <v>99</v>
      </c>
      <c r="AE233">
        <v>0.5</v>
      </c>
      <c r="AF233">
        <v>399</v>
      </c>
      <c r="AG233">
        <v>0.08</v>
      </c>
    </row>
    <row r="234" spans="30:33" x14ac:dyDescent="0.4">
      <c r="AD234">
        <v>98</v>
      </c>
      <c r="AE234">
        <v>0.5</v>
      </c>
      <c r="AF234">
        <v>397</v>
      </c>
      <c r="AG234">
        <v>0.1</v>
      </c>
    </row>
    <row r="235" spans="30:33" x14ac:dyDescent="0.4">
      <c r="AD235">
        <v>97</v>
      </c>
      <c r="AE235">
        <v>0.5</v>
      </c>
      <c r="AF235">
        <v>395</v>
      </c>
      <c r="AG235">
        <v>0.115</v>
      </c>
    </row>
    <row r="236" spans="30:33" x14ac:dyDescent="0.4">
      <c r="AD236">
        <v>96</v>
      </c>
      <c r="AE236">
        <v>0.5</v>
      </c>
      <c r="AF236">
        <v>393</v>
      </c>
      <c r="AG236">
        <v>7.2499999999999995E-2</v>
      </c>
    </row>
    <row r="237" spans="30:33" x14ac:dyDescent="0.4">
      <c r="AD237">
        <v>95</v>
      </c>
      <c r="AE237">
        <v>0.5</v>
      </c>
      <c r="AF237">
        <v>391</v>
      </c>
      <c r="AG237">
        <v>6.25E-2</v>
      </c>
    </row>
    <row r="238" spans="30:33" x14ac:dyDescent="0.4">
      <c r="AD238">
        <v>94</v>
      </c>
      <c r="AE238">
        <v>0.5</v>
      </c>
      <c r="AF238">
        <v>389</v>
      </c>
      <c r="AG238">
        <v>0.05</v>
      </c>
    </row>
    <row r="239" spans="30:33" x14ac:dyDescent="0.4">
      <c r="AD239">
        <v>93</v>
      </c>
      <c r="AE239">
        <v>0.5</v>
      </c>
      <c r="AF239">
        <v>387</v>
      </c>
      <c r="AG239">
        <v>0.10249999999999999</v>
      </c>
    </row>
    <row r="240" spans="30:33" x14ac:dyDescent="0.4">
      <c r="AD240">
        <v>92</v>
      </c>
      <c r="AE240">
        <v>0.5</v>
      </c>
      <c r="AF240">
        <v>385</v>
      </c>
      <c r="AG240">
        <v>0.08</v>
      </c>
    </row>
    <row r="241" spans="30:33" x14ac:dyDescent="0.4">
      <c r="AD241">
        <v>91</v>
      </c>
      <c r="AE241">
        <v>0.5</v>
      </c>
      <c r="AF241">
        <v>383</v>
      </c>
      <c r="AG241">
        <v>0.1</v>
      </c>
    </row>
    <row r="242" spans="30:33" x14ac:dyDescent="0.4">
      <c r="AD242">
        <v>90</v>
      </c>
      <c r="AE242">
        <v>0.5</v>
      </c>
      <c r="AF242">
        <v>381</v>
      </c>
      <c r="AG242">
        <v>7.7499999999999999E-2</v>
      </c>
    </row>
    <row r="243" spans="30:33" x14ac:dyDescent="0.4">
      <c r="AD243">
        <v>89</v>
      </c>
      <c r="AE243">
        <v>0.5</v>
      </c>
      <c r="AF243">
        <v>379</v>
      </c>
      <c r="AG243">
        <v>9.2499999999999999E-2</v>
      </c>
    </row>
    <row r="244" spans="30:33" x14ac:dyDescent="0.4">
      <c r="AD244">
        <v>88</v>
      </c>
      <c r="AE244">
        <v>0.5</v>
      </c>
      <c r="AF244">
        <v>377</v>
      </c>
      <c r="AG244">
        <v>0.1275</v>
      </c>
    </row>
    <row r="245" spans="30:33" x14ac:dyDescent="0.4">
      <c r="AD245">
        <v>87</v>
      </c>
      <c r="AE245">
        <v>0.5</v>
      </c>
      <c r="AF245">
        <v>375</v>
      </c>
      <c r="AG245">
        <v>0.09</v>
      </c>
    </row>
    <row r="246" spans="30:33" x14ac:dyDescent="0.4">
      <c r="AD246">
        <v>86</v>
      </c>
      <c r="AE246">
        <v>0.5</v>
      </c>
      <c r="AF246">
        <v>373</v>
      </c>
      <c r="AG246">
        <v>0.13</v>
      </c>
    </row>
    <row r="247" spans="30:33" x14ac:dyDescent="0.4">
      <c r="AD247">
        <v>85</v>
      </c>
      <c r="AE247">
        <v>0.5</v>
      </c>
      <c r="AF247">
        <v>371</v>
      </c>
      <c r="AG247">
        <v>0.09</v>
      </c>
    </row>
    <row r="248" spans="30:33" x14ac:dyDescent="0.4">
      <c r="AD248">
        <v>84</v>
      </c>
      <c r="AE248">
        <v>0.5</v>
      </c>
      <c r="AF248">
        <v>369</v>
      </c>
      <c r="AG248">
        <v>7.4999999999999997E-2</v>
      </c>
    </row>
    <row r="249" spans="30:33" x14ac:dyDescent="0.4">
      <c r="AD249">
        <v>83</v>
      </c>
      <c r="AE249">
        <v>0.5</v>
      </c>
      <c r="AF249">
        <v>367</v>
      </c>
      <c r="AG249">
        <v>6.25E-2</v>
      </c>
    </row>
    <row r="250" spans="30:33" x14ac:dyDescent="0.4">
      <c r="AD250">
        <v>82</v>
      </c>
      <c r="AE250">
        <v>0.5</v>
      </c>
      <c r="AF250">
        <v>365</v>
      </c>
      <c r="AG250">
        <v>0.11749999999999999</v>
      </c>
    </row>
    <row r="251" spans="30:33" x14ac:dyDescent="0.4">
      <c r="AD251">
        <v>81</v>
      </c>
      <c r="AE251">
        <v>0.5</v>
      </c>
      <c r="AF251">
        <v>363</v>
      </c>
      <c r="AG251">
        <v>0.10249999999999999</v>
      </c>
    </row>
    <row r="252" spans="30:33" x14ac:dyDescent="0.4">
      <c r="AD252">
        <v>80</v>
      </c>
      <c r="AE252">
        <v>0.5</v>
      </c>
      <c r="AF252">
        <v>361</v>
      </c>
      <c r="AG252">
        <v>6.7500000000000004E-2</v>
      </c>
    </row>
    <row r="253" spans="30:33" x14ac:dyDescent="0.4">
      <c r="AD253">
        <v>79</v>
      </c>
      <c r="AE253">
        <v>0.5</v>
      </c>
      <c r="AF253">
        <v>359</v>
      </c>
      <c r="AG253">
        <v>8.5000000000000006E-2</v>
      </c>
    </row>
    <row r="254" spans="30:33" x14ac:dyDescent="0.4">
      <c r="AD254">
        <v>78</v>
      </c>
      <c r="AE254">
        <v>0.5</v>
      </c>
      <c r="AF254">
        <v>357</v>
      </c>
      <c r="AG254">
        <v>0.14249999999999999</v>
      </c>
    </row>
    <row r="255" spans="30:33" x14ac:dyDescent="0.4">
      <c r="AD255">
        <v>77</v>
      </c>
      <c r="AE255">
        <v>0.5</v>
      </c>
      <c r="AF255">
        <v>355</v>
      </c>
      <c r="AG255">
        <v>0.06</v>
      </c>
    </row>
    <row r="256" spans="30:33" x14ac:dyDescent="0.4">
      <c r="AD256">
        <v>76</v>
      </c>
      <c r="AE256">
        <v>0.5</v>
      </c>
      <c r="AF256">
        <v>353</v>
      </c>
      <c r="AG256">
        <v>9.2499999999999999E-2</v>
      </c>
    </row>
    <row r="257" spans="30:33" x14ac:dyDescent="0.4">
      <c r="AD257">
        <v>75</v>
      </c>
      <c r="AE257">
        <v>0.5</v>
      </c>
      <c r="AF257">
        <v>351</v>
      </c>
      <c r="AG257">
        <v>8.5000000000000006E-2</v>
      </c>
    </row>
    <row r="258" spans="30:33" x14ac:dyDescent="0.4">
      <c r="AD258">
        <v>74</v>
      </c>
      <c r="AE258">
        <v>0.5</v>
      </c>
      <c r="AF258">
        <v>349</v>
      </c>
      <c r="AG258">
        <v>0.1075</v>
      </c>
    </row>
    <row r="259" spans="30:33" x14ac:dyDescent="0.4">
      <c r="AD259">
        <v>73</v>
      </c>
      <c r="AE259">
        <v>0.5</v>
      </c>
      <c r="AF259">
        <v>347</v>
      </c>
      <c r="AG259">
        <v>8.2500000000000004E-2</v>
      </c>
    </row>
    <row r="260" spans="30:33" x14ac:dyDescent="0.4">
      <c r="AD260">
        <v>72</v>
      </c>
      <c r="AE260">
        <v>0.5</v>
      </c>
      <c r="AF260">
        <v>345</v>
      </c>
      <c r="AG260">
        <v>7.0000000000000007E-2</v>
      </c>
    </row>
    <row r="261" spans="30:33" x14ac:dyDescent="0.4">
      <c r="AD261">
        <v>71</v>
      </c>
      <c r="AE261">
        <v>0.5</v>
      </c>
      <c r="AF261">
        <v>343</v>
      </c>
      <c r="AG261">
        <v>0.08</v>
      </c>
    </row>
    <row r="262" spans="30:33" x14ac:dyDescent="0.4">
      <c r="AD262">
        <v>70</v>
      </c>
      <c r="AE262">
        <v>0.5</v>
      </c>
      <c r="AF262">
        <v>341</v>
      </c>
      <c r="AG262">
        <v>0.1125</v>
      </c>
    </row>
    <row r="263" spans="30:33" x14ac:dyDescent="0.4">
      <c r="AD263">
        <v>69</v>
      </c>
      <c r="AE263">
        <v>0.5</v>
      </c>
      <c r="AF263">
        <v>339</v>
      </c>
      <c r="AG263">
        <v>0.125</v>
      </c>
    </row>
    <row r="264" spans="30:33" x14ac:dyDescent="0.4">
      <c r="AD264">
        <v>68</v>
      </c>
      <c r="AE264">
        <v>0.5</v>
      </c>
      <c r="AF264">
        <v>337</v>
      </c>
      <c r="AG264">
        <v>0.1125</v>
      </c>
    </row>
    <row r="265" spans="30:33" x14ac:dyDescent="0.4">
      <c r="AD265">
        <v>67</v>
      </c>
      <c r="AE265">
        <v>0.5</v>
      </c>
      <c r="AF265">
        <v>335</v>
      </c>
      <c r="AG265">
        <v>0.12</v>
      </c>
    </row>
    <row r="266" spans="30:33" x14ac:dyDescent="0.4">
      <c r="AD266">
        <v>66</v>
      </c>
      <c r="AE266">
        <v>0.5</v>
      </c>
      <c r="AF266">
        <v>333</v>
      </c>
      <c r="AG266">
        <v>0.09</v>
      </c>
    </row>
    <row r="267" spans="30:33" x14ac:dyDescent="0.4">
      <c r="AD267">
        <v>65</v>
      </c>
      <c r="AE267">
        <v>0.5</v>
      </c>
      <c r="AF267">
        <v>331</v>
      </c>
      <c r="AG267">
        <v>9.2499999999999999E-2</v>
      </c>
    </row>
    <row r="268" spans="30:33" x14ac:dyDescent="0.4">
      <c r="AD268">
        <v>64</v>
      </c>
      <c r="AE268">
        <v>0.5</v>
      </c>
      <c r="AF268">
        <v>329</v>
      </c>
      <c r="AG268">
        <v>0.1125</v>
      </c>
    </row>
    <row r="269" spans="30:33" x14ac:dyDescent="0.4">
      <c r="AD269">
        <v>63</v>
      </c>
      <c r="AE269">
        <v>0.5</v>
      </c>
      <c r="AF269">
        <v>327</v>
      </c>
      <c r="AG269">
        <v>0.13500000000000001</v>
      </c>
    </row>
    <row r="270" spans="30:33" x14ac:dyDescent="0.4">
      <c r="AD270">
        <v>62</v>
      </c>
      <c r="AE270">
        <v>0.5</v>
      </c>
      <c r="AF270">
        <v>325</v>
      </c>
      <c r="AG270">
        <v>0.13</v>
      </c>
    </row>
    <row r="271" spans="30:33" x14ac:dyDescent="0.4">
      <c r="AD271">
        <v>61</v>
      </c>
      <c r="AE271">
        <v>0.5</v>
      </c>
      <c r="AF271">
        <v>323</v>
      </c>
      <c r="AG271">
        <v>0.13</v>
      </c>
    </row>
    <row r="272" spans="30:33" x14ac:dyDescent="0.4">
      <c r="AD272">
        <v>60</v>
      </c>
      <c r="AE272">
        <v>0.5</v>
      </c>
      <c r="AF272">
        <v>321</v>
      </c>
      <c r="AG272">
        <v>0.11</v>
      </c>
    </row>
    <row r="273" spans="30:33" x14ac:dyDescent="0.4">
      <c r="AD273">
        <v>59</v>
      </c>
      <c r="AE273">
        <v>0.5</v>
      </c>
      <c r="AF273">
        <v>319</v>
      </c>
      <c r="AG273">
        <v>0.1225</v>
      </c>
    </row>
    <row r="274" spans="30:33" x14ac:dyDescent="0.4">
      <c r="AD274">
        <v>58</v>
      </c>
      <c r="AE274">
        <v>0.5</v>
      </c>
      <c r="AF274">
        <v>317</v>
      </c>
      <c r="AG274">
        <v>4.7500000000000001E-2</v>
      </c>
    </row>
    <row r="275" spans="30:33" x14ac:dyDescent="0.4">
      <c r="AD275">
        <v>57</v>
      </c>
      <c r="AE275">
        <v>0.5</v>
      </c>
      <c r="AF275">
        <v>315</v>
      </c>
      <c r="AG275">
        <v>0.105</v>
      </c>
    </row>
    <row r="276" spans="30:33" x14ac:dyDescent="0.4">
      <c r="AD276">
        <v>56</v>
      </c>
      <c r="AE276">
        <v>0.5</v>
      </c>
      <c r="AF276">
        <v>313</v>
      </c>
      <c r="AG276">
        <v>0.13250000000000001</v>
      </c>
    </row>
    <row r="277" spans="30:33" x14ac:dyDescent="0.4">
      <c r="AD277">
        <v>55</v>
      </c>
      <c r="AE277">
        <v>0.5</v>
      </c>
      <c r="AF277">
        <v>311</v>
      </c>
      <c r="AG277">
        <v>7.4999999999999997E-2</v>
      </c>
    </row>
    <row r="278" spans="30:33" x14ac:dyDescent="0.4">
      <c r="AD278">
        <v>54</v>
      </c>
      <c r="AE278">
        <v>0.5</v>
      </c>
      <c r="AF278">
        <v>309</v>
      </c>
      <c r="AG278">
        <v>0.13500000000000001</v>
      </c>
    </row>
    <row r="279" spans="30:33" x14ac:dyDescent="0.4">
      <c r="AD279">
        <v>53</v>
      </c>
      <c r="AE279">
        <v>0.5</v>
      </c>
      <c r="AF279">
        <v>307</v>
      </c>
      <c r="AG279">
        <v>0.105</v>
      </c>
    </row>
    <row r="280" spans="30:33" x14ac:dyDescent="0.4">
      <c r="AD280">
        <v>52</v>
      </c>
      <c r="AE280">
        <v>0.5</v>
      </c>
      <c r="AF280">
        <v>305</v>
      </c>
      <c r="AG280">
        <v>0.1125</v>
      </c>
    </row>
    <row r="281" spans="30:33" x14ac:dyDescent="0.4">
      <c r="AD281">
        <v>51</v>
      </c>
      <c r="AE281">
        <v>0.5</v>
      </c>
      <c r="AF281">
        <v>303</v>
      </c>
      <c r="AG281">
        <v>0.12</v>
      </c>
    </row>
    <row r="282" spans="30:33" x14ac:dyDescent="0.4">
      <c r="AD282">
        <v>50</v>
      </c>
      <c r="AE282">
        <v>0.5</v>
      </c>
      <c r="AF282">
        <v>301</v>
      </c>
      <c r="AG282">
        <v>0.13250000000000001</v>
      </c>
    </row>
    <row r="283" spans="30:33" x14ac:dyDescent="0.4">
      <c r="AD283">
        <v>49</v>
      </c>
      <c r="AE283">
        <v>0.4975</v>
      </c>
      <c r="AF283">
        <v>299</v>
      </c>
      <c r="AG283">
        <v>0.14249999999999999</v>
      </c>
    </row>
    <row r="284" spans="30:33" x14ac:dyDescent="0.4">
      <c r="AD284">
        <v>48</v>
      </c>
      <c r="AE284">
        <v>0.4975</v>
      </c>
      <c r="AF284">
        <v>297</v>
      </c>
      <c r="AG284">
        <v>0.115</v>
      </c>
    </row>
    <row r="285" spans="30:33" x14ac:dyDescent="0.4">
      <c r="AD285">
        <v>47</v>
      </c>
      <c r="AE285">
        <v>0.5</v>
      </c>
      <c r="AF285">
        <v>295</v>
      </c>
      <c r="AG285">
        <v>0.1275</v>
      </c>
    </row>
    <row r="286" spans="30:33" x14ac:dyDescent="0.4">
      <c r="AD286">
        <v>46</v>
      </c>
      <c r="AE286">
        <v>0.4975</v>
      </c>
      <c r="AF286">
        <v>293</v>
      </c>
      <c r="AG286">
        <v>0.10249999999999999</v>
      </c>
    </row>
    <row r="287" spans="30:33" x14ac:dyDescent="0.4">
      <c r="AD287">
        <v>45</v>
      </c>
      <c r="AE287">
        <v>0.5</v>
      </c>
      <c r="AF287">
        <v>291</v>
      </c>
      <c r="AG287">
        <v>8.2500000000000004E-2</v>
      </c>
    </row>
    <row r="288" spans="30:33" x14ac:dyDescent="0.4">
      <c r="AD288">
        <v>44</v>
      </c>
      <c r="AE288">
        <v>0.4975</v>
      </c>
      <c r="AF288">
        <v>289</v>
      </c>
      <c r="AG288">
        <v>0.115</v>
      </c>
    </row>
    <row r="289" spans="30:33" x14ac:dyDescent="0.4">
      <c r="AD289">
        <v>43</v>
      </c>
      <c r="AE289">
        <v>0.4975</v>
      </c>
      <c r="AF289">
        <v>287</v>
      </c>
      <c r="AG289">
        <v>0.15</v>
      </c>
    </row>
    <row r="290" spans="30:33" x14ac:dyDescent="0.4">
      <c r="AD290">
        <v>42</v>
      </c>
      <c r="AE290">
        <v>0.495</v>
      </c>
      <c r="AF290">
        <v>285</v>
      </c>
      <c r="AG290">
        <v>0.14000000000000001</v>
      </c>
    </row>
    <row r="291" spans="30:33" x14ac:dyDescent="0.4">
      <c r="AD291">
        <v>41</v>
      </c>
      <c r="AE291">
        <v>0.5</v>
      </c>
      <c r="AF291">
        <v>283</v>
      </c>
      <c r="AG291">
        <v>0.125</v>
      </c>
    </row>
    <row r="292" spans="30:33" x14ac:dyDescent="0.4">
      <c r="AD292">
        <v>40</v>
      </c>
      <c r="AE292">
        <v>0.5</v>
      </c>
      <c r="AF292">
        <v>281</v>
      </c>
      <c r="AG292">
        <v>0.15</v>
      </c>
    </row>
    <row r="293" spans="30:33" x14ac:dyDescent="0.4">
      <c r="AD293">
        <v>39</v>
      </c>
      <c r="AE293">
        <v>0.4975</v>
      </c>
      <c r="AF293">
        <v>279</v>
      </c>
      <c r="AG293">
        <v>0.14000000000000001</v>
      </c>
    </row>
    <row r="294" spans="30:33" x14ac:dyDescent="0.4">
      <c r="AD294">
        <v>38</v>
      </c>
      <c r="AE294">
        <v>0.49249999999999999</v>
      </c>
      <c r="AF294">
        <v>277</v>
      </c>
      <c r="AG294">
        <v>0.13500000000000001</v>
      </c>
    </row>
    <row r="295" spans="30:33" x14ac:dyDescent="0.4">
      <c r="AD295">
        <v>37</v>
      </c>
      <c r="AE295">
        <v>0.5</v>
      </c>
      <c r="AF295">
        <v>275</v>
      </c>
      <c r="AG295">
        <v>0.1125</v>
      </c>
    </row>
    <row r="296" spans="30:33" x14ac:dyDescent="0.4">
      <c r="AD296">
        <v>36</v>
      </c>
      <c r="AE296">
        <v>0.495</v>
      </c>
      <c r="AF296">
        <v>273</v>
      </c>
      <c r="AG296">
        <v>8.5000000000000006E-2</v>
      </c>
    </row>
    <row r="297" spans="30:33" x14ac:dyDescent="0.4">
      <c r="AD297">
        <v>35</v>
      </c>
      <c r="AE297">
        <v>0.49249999999999999</v>
      </c>
      <c r="AF297">
        <v>271</v>
      </c>
      <c r="AG297">
        <v>0.14749999999999999</v>
      </c>
    </row>
    <row r="298" spans="30:33" x14ac:dyDescent="0.4">
      <c r="AD298">
        <v>34</v>
      </c>
      <c r="AE298">
        <v>0.48249999999999998</v>
      </c>
      <c r="AF298">
        <v>269</v>
      </c>
      <c r="AG298">
        <v>0.11749999999999999</v>
      </c>
    </row>
    <row r="299" spans="30:33" x14ac:dyDescent="0.4">
      <c r="AD299">
        <v>33</v>
      </c>
      <c r="AE299">
        <v>0.49249999999999999</v>
      </c>
      <c r="AF299">
        <v>267</v>
      </c>
      <c r="AG299">
        <v>0.1225</v>
      </c>
    </row>
    <row r="300" spans="30:33" x14ac:dyDescent="0.4">
      <c r="AD300">
        <v>32</v>
      </c>
      <c r="AE300">
        <v>0.48499999999999999</v>
      </c>
      <c r="AF300">
        <v>265</v>
      </c>
      <c r="AG300">
        <v>0.11749999999999999</v>
      </c>
    </row>
    <row r="301" spans="30:33" x14ac:dyDescent="0.4">
      <c r="AD301">
        <v>31</v>
      </c>
      <c r="AE301">
        <v>0.48</v>
      </c>
      <c r="AF301">
        <v>263</v>
      </c>
      <c r="AG301">
        <v>0.14000000000000001</v>
      </c>
    </row>
    <row r="302" spans="30:33" x14ac:dyDescent="0.4">
      <c r="AD302">
        <v>30</v>
      </c>
      <c r="AE302">
        <v>0.48</v>
      </c>
      <c r="AF302">
        <v>261</v>
      </c>
      <c r="AG302">
        <v>0.125</v>
      </c>
    </row>
    <row r="303" spans="30:33" x14ac:dyDescent="0.4">
      <c r="AD303">
        <v>29</v>
      </c>
      <c r="AE303">
        <v>0.48249999999999998</v>
      </c>
      <c r="AF303">
        <v>259</v>
      </c>
      <c r="AG303">
        <v>0.1125</v>
      </c>
    </row>
    <row r="304" spans="30:33" x14ac:dyDescent="0.4">
      <c r="AD304">
        <v>28</v>
      </c>
      <c r="AE304">
        <v>0.47499999999999998</v>
      </c>
      <c r="AF304">
        <v>257</v>
      </c>
      <c r="AG304">
        <v>9.5000000000000001E-2</v>
      </c>
    </row>
    <row r="305" spans="30:33" x14ac:dyDescent="0.4">
      <c r="AD305">
        <v>27</v>
      </c>
      <c r="AE305">
        <v>0.47499999999999998</v>
      </c>
      <c r="AF305">
        <v>255</v>
      </c>
      <c r="AG305">
        <v>0.14000000000000001</v>
      </c>
    </row>
    <row r="306" spans="30:33" x14ac:dyDescent="0.4">
      <c r="AD306">
        <v>26</v>
      </c>
      <c r="AE306">
        <v>0.46250000000000002</v>
      </c>
      <c r="AF306">
        <v>253</v>
      </c>
      <c r="AG306">
        <v>8.2500000000000004E-2</v>
      </c>
    </row>
    <row r="307" spans="30:33" x14ac:dyDescent="0.4">
      <c r="AD307">
        <v>25</v>
      </c>
      <c r="AE307">
        <v>0.46750000000000003</v>
      </c>
      <c r="AF307">
        <v>251</v>
      </c>
      <c r="AG307">
        <v>0.125</v>
      </c>
    </row>
    <row r="308" spans="30:33" x14ac:dyDescent="0.4">
      <c r="AD308">
        <v>24</v>
      </c>
      <c r="AE308">
        <v>0.44750000000000001</v>
      </c>
      <c r="AF308">
        <v>249</v>
      </c>
      <c r="AG308">
        <v>0.09</v>
      </c>
    </row>
    <row r="309" spans="30:33" x14ac:dyDescent="0.4">
      <c r="AD309">
        <v>23</v>
      </c>
      <c r="AE309">
        <v>0.44500000000000001</v>
      </c>
      <c r="AF309">
        <v>247</v>
      </c>
      <c r="AG309">
        <v>0.11</v>
      </c>
    </row>
    <row r="310" spans="30:33" x14ac:dyDescent="0.4">
      <c r="AD310">
        <v>22</v>
      </c>
      <c r="AE310">
        <v>0.435</v>
      </c>
      <c r="AF310">
        <v>245</v>
      </c>
      <c r="AG310">
        <v>0.155</v>
      </c>
    </row>
    <row r="311" spans="30:33" x14ac:dyDescent="0.4">
      <c r="AD311">
        <v>21</v>
      </c>
      <c r="AE311">
        <v>0.46</v>
      </c>
      <c r="AF311">
        <v>243</v>
      </c>
      <c r="AG311">
        <v>0.16</v>
      </c>
    </row>
    <row r="312" spans="30:33" x14ac:dyDescent="0.4">
      <c r="AD312">
        <v>20</v>
      </c>
      <c r="AE312">
        <v>0.44500000000000001</v>
      </c>
      <c r="AF312">
        <v>241</v>
      </c>
      <c r="AG312">
        <v>0.17249999999999999</v>
      </c>
    </row>
    <row r="313" spans="30:33" x14ac:dyDescent="0.4">
      <c r="AD313">
        <v>19</v>
      </c>
      <c r="AE313">
        <v>0.42749999999999999</v>
      </c>
      <c r="AF313">
        <v>239</v>
      </c>
      <c r="AG313">
        <v>0.17</v>
      </c>
    </row>
    <row r="314" spans="30:33" x14ac:dyDescent="0.4">
      <c r="AD314">
        <v>18</v>
      </c>
      <c r="AE314">
        <v>0.41</v>
      </c>
      <c r="AF314">
        <v>237</v>
      </c>
      <c r="AG314">
        <v>0.1225</v>
      </c>
    </row>
    <row r="315" spans="30:33" x14ac:dyDescent="0.4">
      <c r="AD315">
        <v>17</v>
      </c>
      <c r="AE315">
        <v>0.40250000000000002</v>
      </c>
      <c r="AF315">
        <v>235</v>
      </c>
      <c r="AG315">
        <v>0.11</v>
      </c>
    </row>
    <row r="316" spans="30:33" x14ac:dyDescent="0.4">
      <c r="AD316">
        <v>16</v>
      </c>
      <c r="AE316">
        <v>0.41</v>
      </c>
      <c r="AF316">
        <v>233</v>
      </c>
      <c r="AG316">
        <v>0.10249999999999999</v>
      </c>
    </row>
    <row r="317" spans="30:33" x14ac:dyDescent="0.4">
      <c r="AD317">
        <v>15</v>
      </c>
      <c r="AE317">
        <v>0.38</v>
      </c>
      <c r="AF317">
        <v>231</v>
      </c>
      <c r="AG317">
        <v>7.7499999999999999E-2</v>
      </c>
    </row>
    <row r="318" spans="30:33" x14ac:dyDescent="0.4">
      <c r="AD318">
        <v>14</v>
      </c>
      <c r="AE318">
        <v>0.38</v>
      </c>
      <c r="AF318">
        <v>229</v>
      </c>
      <c r="AG318">
        <v>0.155</v>
      </c>
    </row>
    <row r="319" spans="30:33" x14ac:dyDescent="0.4">
      <c r="AD319">
        <v>13</v>
      </c>
      <c r="AE319">
        <v>0.33750000000000002</v>
      </c>
      <c r="AF319">
        <v>227</v>
      </c>
      <c r="AG319">
        <v>0.125</v>
      </c>
    </row>
    <row r="320" spans="30:33" x14ac:dyDescent="0.4">
      <c r="AD320">
        <v>12</v>
      </c>
      <c r="AE320">
        <v>0.33250000000000002</v>
      </c>
      <c r="AF320">
        <v>225</v>
      </c>
      <c r="AG320">
        <v>0.15</v>
      </c>
    </row>
    <row r="321" spans="30:33" x14ac:dyDescent="0.4">
      <c r="AD321">
        <v>11</v>
      </c>
      <c r="AE321">
        <v>0.30249999999999999</v>
      </c>
      <c r="AF321">
        <v>223</v>
      </c>
      <c r="AG321">
        <v>0.14249999999999999</v>
      </c>
    </row>
    <row r="322" spans="30:33" x14ac:dyDescent="0.4">
      <c r="AD322">
        <v>10</v>
      </c>
      <c r="AE322">
        <v>0.28999999999999998</v>
      </c>
      <c r="AF322">
        <v>221</v>
      </c>
      <c r="AG322">
        <v>0.10249999999999999</v>
      </c>
    </row>
    <row r="323" spans="30:33" x14ac:dyDescent="0.4">
      <c r="AD323">
        <v>9</v>
      </c>
      <c r="AE323">
        <v>0.2525</v>
      </c>
      <c r="AF323">
        <v>219</v>
      </c>
      <c r="AG323">
        <v>0.1575</v>
      </c>
    </row>
    <row r="324" spans="30:33" x14ac:dyDescent="0.4">
      <c r="AD324">
        <v>8</v>
      </c>
      <c r="AE324">
        <v>0.21</v>
      </c>
      <c r="AF324">
        <v>217</v>
      </c>
      <c r="AG324">
        <v>0.115</v>
      </c>
    </row>
    <row r="325" spans="30:33" x14ac:dyDescent="0.4">
      <c r="AD325">
        <v>7</v>
      </c>
      <c r="AE325">
        <v>0.215</v>
      </c>
      <c r="AF325">
        <v>215</v>
      </c>
      <c r="AG325">
        <v>9.7500000000000003E-2</v>
      </c>
    </row>
    <row r="326" spans="30:33" x14ac:dyDescent="0.4">
      <c r="AD326">
        <v>6</v>
      </c>
      <c r="AE326">
        <v>0.155</v>
      </c>
      <c r="AF326">
        <v>213</v>
      </c>
      <c r="AG326">
        <v>0.155</v>
      </c>
    </row>
    <row r="327" spans="30:33" x14ac:dyDescent="0.4">
      <c r="AD327">
        <v>5</v>
      </c>
      <c r="AE327">
        <v>0.16</v>
      </c>
      <c r="AF327">
        <v>211</v>
      </c>
      <c r="AG327">
        <v>0.13</v>
      </c>
    </row>
    <row r="328" spans="30:33" x14ac:dyDescent="0.4">
      <c r="AD328">
        <v>4</v>
      </c>
      <c r="AE328">
        <v>9.7500000000000003E-2</v>
      </c>
      <c r="AF328">
        <v>209</v>
      </c>
      <c r="AG328">
        <v>0.16750000000000001</v>
      </c>
    </row>
    <row r="329" spans="30:33" x14ac:dyDescent="0.4">
      <c r="AD329">
        <v>3</v>
      </c>
      <c r="AE329">
        <v>0.13250000000000001</v>
      </c>
      <c r="AF329">
        <v>207</v>
      </c>
      <c r="AG329">
        <v>0.14249999999999999</v>
      </c>
    </row>
    <row r="330" spans="30:33" x14ac:dyDescent="0.4">
      <c r="AD330">
        <v>2</v>
      </c>
      <c r="AE330">
        <v>4.2500000000000003E-2</v>
      </c>
      <c r="AF330">
        <v>205</v>
      </c>
      <c r="AG330">
        <v>0.16250000000000001</v>
      </c>
    </row>
    <row r="331" spans="30:33" x14ac:dyDescent="0.4">
      <c r="AD331">
        <v>1</v>
      </c>
      <c r="AE331">
        <v>2.75E-2</v>
      </c>
      <c r="AF331">
        <v>203</v>
      </c>
      <c r="AG331">
        <v>0.18</v>
      </c>
    </row>
    <row r="332" spans="30:33" x14ac:dyDescent="0.4">
      <c r="AD332">
        <v>0</v>
      </c>
      <c r="AE332">
        <v>2.75E-2</v>
      </c>
      <c r="AF332">
        <v>201</v>
      </c>
      <c r="AG332">
        <v>0.1575</v>
      </c>
    </row>
    <row r="333" spans="30:33" x14ac:dyDescent="0.4">
      <c r="AD333">
        <v>-1</v>
      </c>
      <c r="AE333">
        <v>-4.2500000000000003E-2</v>
      </c>
      <c r="AF333">
        <v>199</v>
      </c>
      <c r="AG333">
        <v>0.16</v>
      </c>
    </row>
    <row r="334" spans="30:33" x14ac:dyDescent="0.4">
      <c r="AD334">
        <v>-2</v>
      </c>
      <c r="AE334">
        <v>-7.4999999999999997E-2</v>
      </c>
      <c r="AF334">
        <v>197</v>
      </c>
      <c r="AG334">
        <v>0.13750000000000001</v>
      </c>
    </row>
    <row r="335" spans="30:33" x14ac:dyDescent="0.4">
      <c r="AD335">
        <v>-3</v>
      </c>
      <c r="AE335">
        <v>-8.5000000000000006E-2</v>
      </c>
      <c r="AF335">
        <v>195</v>
      </c>
      <c r="AG335">
        <v>0.17499999999999999</v>
      </c>
    </row>
    <row r="336" spans="30:33" x14ac:dyDescent="0.4">
      <c r="AD336">
        <v>-4</v>
      </c>
      <c r="AE336">
        <v>-0.125</v>
      </c>
      <c r="AF336">
        <v>193</v>
      </c>
      <c r="AG336">
        <v>0.18</v>
      </c>
    </row>
    <row r="337" spans="30:33" x14ac:dyDescent="0.4">
      <c r="AD337">
        <v>-5</v>
      </c>
      <c r="AE337">
        <v>-0.1925</v>
      </c>
      <c r="AF337">
        <v>191</v>
      </c>
      <c r="AG337">
        <v>0.1525</v>
      </c>
    </row>
    <row r="338" spans="30:33" x14ac:dyDescent="0.4">
      <c r="AD338">
        <v>-6</v>
      </c>
      <c r="AE338">
        <v>-0.1575</v>
      </c>
      <c r="AF338">
        <v>189</v>
      </c>
      <c r="AG338">
        <v>0.16500000000000001</v>
      </c>
    </row>
    <row r="339" spans="30:33" x14ac:dyDescent="0.4">
      <c r="AD339">
        <v>-7</v>
      </c>
      <c r="AE339">
        <v>-0.24</v>
      </c>
      <c r="AF339">
        <v>187</v>
      </c>
      <c r="AG339">
        <v>0.13</v>
      </c>
    </row>
    <row r="340" spans="30:33" x14ac:dyDescent="0.4">
      <c r="AD340">
        <v>-8</v>
      </c>
      <c r="AE340">
        <v>-0.27750000000000002</v>
      </c>
      <c r="AF340">
        <v>185</v>
      </c>
      <c r="AG340">
        <v>0.15</v>
      </c>
    </row>
    <row r="341" spans="30:33" x14ac:dyDescent="0.4">
      <c r="AD341">
        <v>-9</v>
      </c>
      <c r="AE341">
        <v>-0.26500000000000001</v>
      </c>
      <c r="AF341">
        <v>183</v>
      </c>
      <c r="AG341">
        <v>0.17249999999999999</v>
      </c>
    </row>
    <row r="342" spans="30:33" x14ac:dyDescent="0.4">
      <c r="AD342">
        <v>-10</v>
      </c>
      <c r="AE342">
        <v>-0.29249999999999998</v>
      </c>
      <c r="AF342">
        <v>181</v>
      </c>
      <c r="AG342">
        <v>0.19750000000000001</v>
      </c>
    </row>
    <row r="343" spans="30:33" x14ac:dyDescent="0.4">
      <c r="AD343">
        <v>-11</v>
      </c>
      <c r="AE343">
        <v>-0.3075</v>
      </c>
      <c r="AF343">
        <v>179</v>
      </c>
      <c r="AG343">
        <v>0.15</v>
      </c>
    </row>
    <row r="344" spans="30:33" x14ac:dyDescent="0.4">
      <c r="AD344">
        <v>-12</v>
      </c>
      <c r="AE344">
        <v>-0.3775</v>
      </c>
      <c r="AF344">
        <v>177</v>
      </c>
      <c r="AG344">
        <v>0.20499999999999999</v>
      </c>
    </row>
    <row r="345" spans="30:33" x14ac:dyDescent="0.4">
      <c r="AD345">
        <v>-13</v>
      </c>
      <c r="AE345">
        <v>-0.35499999999999998</v>
      </c>
      <c r="AF345">
        <v>175</v>
      </c>
      <c r="AG345">
        <v>0.2</v>
      </c>
    </row>
    <row r="346" spans="30:33" x14ac:dyDescent="0.4">
      <c r="AD346">
        <v>-14</v>
      </c>
      <c r="AE346">
        <v>-0.375</v>
      </c>
      <c r="AF346">
        <v>173</v>
      </c>
      <c r="AG346">
        <v>0.155</v>
      </c>
    </row>
    <row r="347" spans="30:33" x14ac:dyDescent="0.4">
      <c r="AD347">
        <v>-15</v>
      </c>
      <c r="AE347">
        <v>-0.34749999999999998</v>
      </c>
      <c r="AF347">
        <v>171</v>
      </c>
      <c r="AG347">
        <v>0.2</v>
      </c>
    </row>
    <row r="348" spans="30:33" x14ac:dyDescent="0.4">
      <c r="AD348">
        <v>-16</v>
      </c>
      <c r="AE348">
        <v>-0.39250000000000002</v>
      </c>
      <c r="AF348">
        <v>169</v>
      </c>
      <c r="AG348">
        <v>0.215</v>
      </c>
    </row>
    <row r="349" spans="30:33" x14ac:dyDescent="0.4">
      <c r="AD349">
        <v>-17</v>
      </c>
      <c r="AE349">
        <v>-0.41</v>
      </c>
      <c r="AF349">
        <v>167</v>
      </c>
      <c r="AG349">
        <v>0.1925</v>
      </c>
    </row>
    <row r="350" spans="30:33" x14ac:dyDescent="0.4">
      <c r="AD350">
        <v>-18</v>
      </c>
      <c r="AE350">
        <v>-0.42499999999999999</v>
      </c>
      <c r="AF350">
        <v>165</v>
      </c>
      <c r="AG350">
        <v>0.19750000000000001</v>
      </c>
    </row>
    <row r="351" spans="30:33" x14ac:dyDescent="0.4">
      <c r="AD351">
        <v>-19</v>
      </c>
      <c r="AE351">
        <v>-0.42499999999999999</v>
      </c>
      <c r="AF351">
        <v>163</v>
      </c>
      <c r="AG351">
        <v>0.2225</v>
      </c>
    </row>
    <row r="352" spans="30:33" x14ac:dyDescent="0.4">
      <c r="AD352">
        <v>-20</v>
      </c>
      <c r="AE352">
        <v>-0.435</v>
      </c>
      <c r="AF352">
        <v>161</v>
      </c>
      <c r="AG352">
        <v>0.16250000000000001</v>
      </c>
    </row>
    <row r="353" spans="30:33" x14ac:dyDescent="0.4">
      <c r="AD353">
        <v>-21</v>
      </c>
      <c r="AE353">
        <v>-0.44</v>
      </c>
      <c r="AF353">
        <v>159</v>
      </c>
      <c r="AG353">
        <v>0.23749999999999999</v>
      </c>
    </row>
    <row r="354" spans="30:33" x14ac:dyDescent="0.4">
      <c r="AD354">
        <v>-22</v>
      </c>
      <c r="AE354">
        <v>-0.45500000000000002</v>
      </c>
      <c r="AF354">
        <v>157</v>
      </c>
      <c r="AG354">
        <v>0.2225</v>
      </c>
    </row>
    <row r="355" spans="30:33" x14ac:dyDescent="0.4">
      <c r="AD355">
        <v>-23</v>
      </c>
      <c r="AE355">
        <v>-0.44750000000000001</v>
      </c>
      <c r="AF355">
        <v>155</v>
      </c>
      <c r="AG355">
        <v>0.20749999999999999</v>
      </c>
    </row>
    <row r="356" spans="30:33" x14ac:dyDescent="0.4">
      <c r="AD356">
        <v>-24</v>
      </c>
      <c r="AE356">
        <v>-0.47</v>
      </c>
      <c r="AF356">
        <v>153</v>
      </c>
      <c r="AG356">
        <v>0.19500000000000001</v>
      </c>
    </row>
    <row r="357" spans="30:33" x14ac:dyDescent="0.4">
      <c r="AD357">
        <v>-25</v>
      </c>
      <c r="AE357">
        <v>-0.45250000000000001</v>
      </c>
      <c r="AF357">
        <v>151</v>
      </c>
      <c r="AG357">
        <v>0.20499999999999999</v>
      </c>
    </row>
    <row r="358" spans="30:33" x14ac:dyDescent="0.4">
      <c r="AD358">
        <v>-26</v>
      </c>
      <c r="AE358">
        <v>-0.46250000000000002</v>
      </c>
      <c r="AF358">
        <v>149</v>
      </c>
      <c r="AG358">
        <v>0.27</v>
      </c>
    </row>
    <row r="359" spans="30:33" x14ac:dyDescent="0.4">
      <c r="AD359">
        <v>-27</v>
      </c>
      <c r="AE359">
        <v>-0.47</v>
      </c>
      <c r="AF359">
        <v>147</v>
      </c>
      <c r="AG359">
        <v>0.20749999999999999</v>
      </c>
    </row>
    <row r="360" spans="30:33" x14ac:dyDescent="0.4">
      <c r="AD360">
        <v>-28</v>
      </c>
      <c r="AE360">
        <v>-0.47499999999999998</v>
      </c>
      <c r="AF360">
        <v>145</v>
      </c>
      <c r="AG360">
        <v>0.245</v>
      </c>
    </row>
    <row r="361" spans="30:33" x14ac:dyDescent="0.4">
      <c r="AD361">
        <v>-29</v>
      </c>
      <c r="AE361">
        <v>-0.47</v>
      </c>
      <c r="AF361">
        <v>143</v>
      </c>
      <c r="AG361">
        <v>0.23499999999999999</v>
      </c>
    </row>
    <row r="362" spans="30:33" x14ac:dyDescent="0.4">
      <c r="AD362">
        <v>-30</v>
      </c>
      <c r="AE362">
        <v>-0.48249999999999998</v>
      </c>
      <c r="AF362">
        <v>141</v>
      </c>
      <c r="AG362">
        <v>0.23250000000000001</v>
      </c>
    </row>
    <row r="363" spans="30:33" x14ac:dyDescent="0.4">
      <c r="AD363">
        <v>-31</v>
      </c>
      <c r="AE363">
        <v>-0.48499999999999999</v>
      </c>
      <c r="AF363">
        <v>139</v>
      </c>
      <c r="AG363">
        <v>0.22750000000000001</v>
      </c>
    </row>
    <row r="364" spans="30:33" x14ac:dyDescent="0.4">
      <c r="AD364">
        <v>-32</v>
      </c>
      <c r="AE364">
        <v>-0.48249999999999998</v>
      </c>
      <c r="AF364">
        <v>137</v>
      </c>
      <c r="AG364">
        <v>0.19</v>
      </c>
    </row>
    <row r="365" spans="30:33" x14ac:dyDescent="0.4">
      <c r="AD365">
        <v>-33</v>
      </c>
      <c r="AE365">
        <v>-0.49249999999999999</v>
      </c>
      <c r="AF365">
        <v>135</v>
      </c>
      <c r="AG365">
        <v>0.2475</v>
      </c>
    </row>
    <row r="366" spans="30:33" x14ac:dyDescent="0.4">
      <c r="AD366">
        <v>-34</v>
      </c>
      <c r="AE366">
        <v>-0.48499999999999999</v>
      </c>
      <c r="AF366">
        <v>133</v>
      </c>
      <c r="AG366">
        <v>0.19500000000000001</v>
      </c>
    </row>
    <row r="367" spans="30:33" x14ac:dyDescent="0.4">
      <c r="AD367">
        <v>-35</v>
      </c>
      <c r="AE367">
        <v>-0.49</v>
      </c>
      <c r="AF367">
        <v>131</v>
      </c>
      <c r="AG367">
        <v>0.2225</v>
      </c>
    </row>
    <row r="368" spans="30:33" x14ac:dyDescent="0.4">
      <c r="AD368">
        <v>-36</v>
      </c>
      <c r="AE368">
        <v>-0.4975</v>
      </c>
      <c r="AF368">
        <v>129</v>
      </c>
      <c r="AG368">
        <v>0.22500000000000001</v>
      </c>
    </row>
    <row r="369" spans="30:33" x14ac:dyDescent="0.4">
      <c r="AD369">
        <v>-37</v>
      </c>
      <c r="AE369">
        <v>-0.495</v>
      </c>
      <c r="AF369">
        <v>127</v>
      </c>
      <c r="AG369">
        <v>0.2475</v>
      </c>
    </row>
    <row r="370" spans="30:33" x14ac:dyDescent="0.4">
      <c r="AD370">
        <v>-38</v>
      </c>
      <c r="AE370">
        <v>-0.4975</v>
      </c>
      <c r="AF370">
        <v>125</v>
      </c>
      <c r="AG370">
        <v>0.25</v>
      </c>
    </row>
    <row r="371" spans="30:33" x14ac:dyDescent="0.4">
      <c r="AD371">
        <v>-39</v>
      </c>
      <c r="AE371">
        <v>-0.4975</v>
      </c>
      <c r="AF371">
        <v>123</v>
      </c>
      <c r="AG371">
        <v>0.255</v>
      </c>
    </row>
    <row r="372" spans="30:33" x14ac:dyDescent="0.4">
      <c r="AD372">
        <v>-40</v>
      </c>
      <c r="AE372">
        <v>-0.5</v>
      </c>
      <c r="AF372">
        <v>121</v>
      </c>
      <c r="AG372">
        <v>0.26250000000000001</v>
      </c>
    </row>
    <row r="373" spans="30:33" x14ac:dyDescent="0.4">
      <c r="AD373">
        <v>-41</v>
      </c>
      <c r="AE373">
        <v>-0.495</v>
      </c>
      <c r="AF373">
        <v>119</v>
      </c>
      <c r="AG373">
        <v>0.23</v>
      </c>
    </row>
    <row r="374" spans="30:33" x14ac:dyDescent="0.4">
      <c r="AD374">
        <v>-42</v>
      </c>
      <c r="AE374">
        <v>-0.5</v>
      </c>
      <c r="AF374">
        <v>117</v>
      </c>
      <c r="AG374">
        <v>0.27750000000000002</v>
      </c>
    </row>
    <row r="375" spans="30:33" x14ac:dyDescent="0.4">
      <c r="AD375">
        <v>-43</v>
      </c>
      <c r="AE375">
        <v>-0.5</v>
      </c>
      <c r="AF375">
        <v>115</v>
      </c>
      <c r="AG375">
        <v>0.26750000000000002</v>
      </c>
    </row>
    <row r="376" spans="30:33" x14ac:dyDescent="0.4">
      <c r="AD376">
        <v>-44</v>
      </c>
      <c r="AE376">
        <v>-0.4975</v>
      </c>
      <c r="AF376">
        <v>113</v>
      </c>
      <c r="AG376">
        <v>0.22500000000000001</v>
      </c>
    </row>
    <row r="377" spans="30:33" x14ac:dyDescent="0.4">
      <c r="AD377">
        <v>-45</v>
      </c>
      <c r="AE377">
        <v>-0.495</v>
      </c>
      <c r="AF377">
        <v>111</v>
      </c>
      <c r="AG377">
        <v>0.255</v>
      </c>
    </row>
    <row r="378" spans="30:33" x14ac:dyDescent="0.4">
      <c r="AD378">
        <v>-46</v>
      </c>
      <c r="AE378">
        <v>-0.5</v>
      </c>
      <c r="AF378">
        <v>109</v>
      </c>
      <c r="AG378">
        <v>0.26500000000000001</v>
      </c>
    </row>
    <row r="379" spans="30:33" x14ac:dyDescent="0.4">
      <c r="AD379">
        <v>-47</v>
      </c>
      <c r="AE379">
        <v>-0.4975</v>
      </c>
      <c r="AF379">
        <v>107</v>
      </c>
      <c r="AG379">
        <v>0.27500000000000002</v>
      </c>
    </row>
    <row r="380" spans="30:33" x14ac:dyDescent="0.4">
      <c r="AD380">
        <v>-48</v>
      </c>
      <c r="AE380">
        <v>-0.5</v>
      </c>
      <c r="AF380">
        <v>105</v>
      </c>
      <c r="AG380">
        <v>0.27250000000000002</v>
      </c>
    </row>
    <row r="381" spans="30:33" x14ac:dyDescent="0.4">
      <c r="AD381">
        <v>-49</v>
      </c>
      <c r="AE381">
        <v>-0.5</v>
      </c>
      <c r="AF381">
        <v>103</v>
      </c>
      <c r="AG381">
        <v>0.28999999999999998</v>
      </c>
    </row>
    <row r="382" spans="30:33" x14ac:dyDescent="0.4">
      <c r="AD382">
        <v>-50</v>
      </c>
      <c r="AE382">
        <v>-0.5</v>
      </c>
      <c r="AF382">
        <v>101</v>
      </c>
      <c r="AG382">
        <v>0.27500000000000002</v>
      </c>
    </row>
    <row r="383" spans="30:33" x14ac:dyDescent="0.4">
      <c r="AD383">
        <v>-51</v>
      </c>
      <c r="AE383">
        <v>-0.5</v>
      </c>
      <c r="AF383">
        <v>99</v>
      </c>
      <c r="AG383">
        <v>0.33500000000000002</v>
      </c>
    </row>
    <row r="384" spans="30:33" x14ac:dyDescent="0.4">
      <c r="AD384">
        <v>-52</v>
      </c>
      <c r="AE384">
        <v>-0.5</v>
      </c>
      <c r="AF384">
        <v>97</v>
      </c>
      <c r="AG384">
        <v>0.28749999999999998</v>
      </c>
    </row>
    <row r="385" spans="30:33" x14ac:dyDescent="0.4">
      <c r="AD385">
        <v>-53</v>
      </c>
      <c r="AE385">
        <v>-0.4975</v>
      </c>
      <c r="AF385">
        <v>95</v>
      </c>
      <c r="AG385">
        <v>0.32500000000000001</v>
      </c>
    </row>
    <row r="386" spans="30:33" x14ac:dyDescent="0.4">
      <c r="AD386">
        <v>-54</v>
      </c>
      <c r="AE386">
        <v>-0.5</v>
      </c>
      <c r="AF386">
        <v>93</v>
      </c>
      <c r="AG386">
        <v>0.30249999999999999</v>
      </c>
    </row>
    <row r="387" spans="30:33" x14ac:dyDescent="0.4">
      <c r="AD387">
        <v>-55</v>
      </c>
      <c r="AE387">
        <v>-0.5</v>
      </c>
      <c r="AF387">
        <v>91</v>
      </c>
      <c r="AG387">
        <v>0.34</v>
      </c>
    </row>
    <row r="388" spans="30:33" x14ac:dyDescent="0.4">
      <c r="AD388">
        <v>-56</v>
      </c>
      <c r="AE388">
        <v>-0.5</v>
      </c>
      <c r="AF388">
        <v>89</v>
      </c>
      <c r="AG388">
        <v>0.32</v>
      </c>
    </row>
    <row r="389" spans="30:33" x14ac:dyDescent="0.4">
      <c r="AD389">
        <v>-57</v>
      </c>
      <c r="AE389">
        <v>-0.495</v>
      </c>
      <c r="AF389">
        <v>87</v>
      </c>
      <c r="AG389">
        <v>0.33</v>
      </c>
    </row>
    <row r="390" spans="30:33" x14ac:dyDescent="0.4">
      <c r="AD390">
        <v>-58</v>
      </c>
      <c r="AE390">
        <v>-0.5</v>
      </c>
      <c r="AF390">
        <v>85</v>
      </c>
      <c r="AG390">
        <v>0.315</v>
      </c>
    </row>
    <row r="391" spans="30:33" x14ac:dyDescent="0.4">
      <c r="AD391">
        <v>-59</v>
      </c>
      <c r="AE391">
        <v>-0.5</v>
      </c>
      <c r="AF391">
        <v>83</v>
      </c>
      <c r="AG391">
        <v>0.33</v>
      </c>
    </row>
    <row r="392" spans="30:33" x14ac:dyDescent="0.4">
      <c r="AD392">
        <v>-60</v>
      </c>
      <c r="AE392">
        <v>-0.5</v>
      </c>
      <c r="AF392">
        <v>81</v>
      </c>
      <c r="AG392">
        <v>0.35249999999999998</v>
      </c>
    </row>
    <row r="393" spans="30:33" x14ac:dyDescent="0.4">
      <c r="AD393">
        <v>-61</v>
      </c>
      <c r="AE393">
        <v>-0.5</v>
      </c>
      <c r="AF393">
        <v>79</v>
      </c>
      <c r="AG393">
        <v>0.375</v>
      </c>
    </row>
    <row r="394" spans="30:33" x14ac:dyDescent="0.4">
      <c r="AD394">
        <v>-62</v>
      </c>
      <c r="AE394">
        <v>-0.5</v>
      </c>
      <c r="AF394">
        <v>77</v>
      </c>
      <c r="AG394">
        <v>0.38500000000000001</v>
      </c>
    </row>
    <row r="395" spans="30:33" x14ac:dyDescent="0.4">
      <c r="AD395">
        <v>-63</v>
      </c>
      <c r="AE395">
        <v>-0.5</v>
      </c>
      <c r="AF395">
        <v>75</v>
      </c>
      <c r="AG395">
        <v>0.39</v>
      </c>
    </row>
    <row r="396" spans="30:33" x14ac:dyDescent="0.4">
      <c r="AD396">
        <v>-64</v>
      </c>
      <c r="AE396">
        <v>-0.5</v>
      </c>
      <c r="AF396">
        <v>73</v>
      </c>
      <c r="AG396">
        <v>0.37</v>
      </c>
    </row>
    <row r="397" spans="30:33" x14ac:dyDescent="0.4">
      <c r="AD397">
        <v>-65</v>
      </c>
      <c r="AE397">
        <v>-0.5</v>
      </c>
      <c r="AF397">
        <v>71</v>
      </c>
      <c r="AG397">
        <v>0.36749999999999999</v>
      </c>
    </row>
    <row r="398" spans="30:33" x14ac:dyDescent="0.4">
      <c r="AD398">
        <v>-66</v>
      </c>
      <c r="AE398">
        <v>-0.5</v>
      </c>
      <c r="AF398">
        <v>69</v>
      </c>
      <c r="AG398">
        <v>0.38</v>
      </c>
    </row>
    <row r="399" spans="30:33" x14ac:dyDescent="0.4">
      <c r="AD399">
        <v>-67</v>
      </c>
      <c r="AE399">
        <v>-0.5</v>
      </c>
      <c r="AF399">
        <v>67</v>
      </c>
      <c r="AG399">
        <v>0.36</v>
      </c>
    </row>
    <row r="400" spans="30:33" x14ac:dyDescent="0.4">
      <c r="AD400">
        <v>-68</v>
      </c>
      <c r="AE400">
        <v>-0.5</v>
      </c>
      <c r="AF400">
        <v>65</v>
      </c>
      <c r="AG400">
        <v>0.40250000000000002</v>
      </c>
    </row>
    <row r="401" spans="30:33" x14ac:dyDescent="0.4">
      <c r="AD401">
        <v>-69</v>
      </c>
      <c r="AE401">
        <v>-0.5</v>
      </c>
      <c r="AF401">
        <v>63</v>
      </c>
      <c r="AG401">
        <v>0.38750000000000001</v>
      </c>
    </row>
    <row r="402" spans="30:33" x14ac:dyDescent="0.4">
      <c r="AD402">
        <v>-70</v>
      </c>
      <c r="AE402">
        <v>-0.5</v>
      </c>
      <c r="AF402">
        <v>61</v>
      </c>
      <c r="AG402">
        <v>0.41749999999999998</v>
      </c>
    </row>
    <row r="403" spans="30:33" x14ac:dyDescent="0.4">
      <c r="AD403">
        <v>-71</v>
      </c>
      <c r="AE403">
        <v>-0.5</v>
      </c>
      <c r="AF403">
        <v>59</v>
      </c>
      <c r="AG403">
        <v>0.41749999999999998</v>
      </c>
    </row>
    <row r="404" spans="30:33" x14ac:dyDescent="0.4">
      <c r="AD404">
        <v>-72</v>
      </c>
      <c r="AE404">
        <v>-0.5</v>
      </c>
      <c r="AF404">
        <v>57</v>
      </c>
      <c r="AG404">
        <v>0.41</v>
      </c>
    </row>
    <row r="405" spans="30:33" x14ac:dyDescent="0.4">
      <c r="AD405">
        <v>-73</v>
      </c>
      <c r="AE405">
        <v>-0.5</v>
      </c>
      <c r="AF405">
        <v>55</v>
      </c>
      <c r="AG405">
        <v>0.41749999999999998</v>
      </c>
    </row>
    <row r="406" spans="30:33" x14ac:dyDescent="0.4">
      <c r="AD406">
        <v>-74</v>
      </c>
      <c r="AE406">
        <v>-0.5</v>
      </c>
      <c r="AF406">
        <v>53</v>
      </c>
      <c r="AG406">
        <v>0.41249999999999998</v>
      </c>
    </row>
    <row r="407" spans="30:33" x14ac:dyDescent="0.4">
      <c r="AD407">
        <v>-75</v>
      </c>
      <c r="AE407">
        <v>-0.5</v>
      </c>
      <c r="AF407">
        <v>51</v>
      </c>
      <c r="AG407">
        <v>0.42749999999999999</v>
      </c>
    </row>
    <row r="408" spans="30:33" x14ac:dyDescent="0.4">
      <c r="AD408">
        <v>-76</v>
      </c>
      <c r="AE408">
        <v>-0.5</v>
      </c>
      <c r="AF408">
        <v>49</v>
      </c>
      <c r="AG408">
        <v>0.44500000000000001</v>
      </c>
    </row>
    <row r="409" spans="30:33" x14ac:dyDescent="0.4">
      <c r="AD409">
        <v>-77</v>
      </c>
      <c r="AE409">
        <v>-0.5</v>
      </c>
      <c r="AF409">
        <v>47</v>
      </c>
      <c r="AG409">
        <v>0.42499999999999999</v>
      </c>
    </row>
    <row r="410" spans="30:33" x14ac:dyDescent="0.4">
      <c r="AD410">
        <v>-78</v>
      </c>
      <c r="AE410">
        <v>-0.5</v>
      </c>
      <c r="AF410">
        <v>45</v>
      </c>
      <c r="AG410">
        <v>0.45250000000000001</v>
      </c>
    </row>
    <row r="411" spans="30:33" x14ac:dyDescent="0.4">
      <c r="AD411">
        <v>-79</v>
      </c>
      <c r="AE411">
        <v>-0.5</v>
      </c>
      <c r="AF411">
        <v>43</v>
      </c>
      <c r="AG411">
        <v>0.46</v>
      </c>
    </row>
    <row r="412" spans="30:33" x14ac:dyDescent="0.4">
      <c r="AD412">
        <v>-80</v>
      </c>
      <c r="AE412">
        <v>-0.5</v>
      </c>
      <c r="AF412">
        <v>41</v>
      </c>
      <c r="AG412">
        <v>0.46500000000000002</v>
      </c>
    </row>
    <row r="413" spans="30:33" x14ac:dyDescent="0.4">
      <c r="AD413">
        <v>-81</v>
      </c>
      <c r="AE413">
        <v>-0.5</v>
      </c>
      <c r="AF413">
        <v>39</v>
      </c>
      <c r="AG413">
        <v>0.45750000000000002</v>
      </c>
    </row>
    <row r="414" spans="30:33" x14ac:dyDescent="0.4">
      <c r="AD414">
        <v>-82</v>
      </c>
      <c r="AE414">
        <v>-0.5</v>
      </c>
      <c r="AF414">
        <v>37</v>
      </c>
      <c r="AG414">
        <v>0.47749999999999998</v>
      </c>
    </row>
    <row r="415" spans="30:33" x14ac:dyDescent="0.4">
      <c r="AD415">
        <v>-83</v>
      </c>
      <c r="AE415">
        <v>-0.5</v>
      </c>
      <c r="AF415">
        <v>35</v>
      </c>
      <c r="AG415">
        <v>0.49249999999999999</v>
      </c>
    </row>
    <row r="416" spans="30:33" x14ac:dyDescent="0.4">
      <c r="AD416">
        <v>-84</v>
      </c>
      <c r="AE416">
        <v>-0.5</v>
      </c>
      <c r="AF416">
        <v>33</v>
      </c>
      <c r="AG416">
        <v>0.48</v>
      </c>
    </row>
    <row r="417" spans="30:33" x14ac:dyDescent="0.4">
      <c r="AD417">
        <v>-85</v>
      </c>
      <c r="AE417">
        <v>-0.5</v>
      </c>
      <c r="AF417">
        <v>31</v>
      </c>
      <c r="AG417">
        <v>0.49249999999999999</v>
      </c>
    </row>
    <row r="418" spans="30:33" x14ac:dyDescent="0.4">
      <c r="AD418">
        <v>-86</v>
      </c>
      <c r="AE418">
        <v>-0.5</v>
      </c>
      <c r="AF418">
        <v>29</v>
      </c>
      <c r="AG418">
        <v>0.49</v>
      </c>
    </row>
    <row r="419" spans="30:33" x14ac:dyDescent="0.4">
      <c r="AD419">
        <v>-87</v>
      </c>
      <c r="AE419">
        <v>-0.5</v>
      </c>
      <c r="AF419">
        <v>27</v>
      </c>
      <c r="AG419">
        <v>0.4975</v>
      </c>
    </row>
    <row r="420" spans="30:33" x14ac:dyDescent="0.4">
      <c r="AD420">
        <v>-88</v>
      </c>
      <c r="AE420">
        <v>-0.5</v>
      </c>
      <c r="AF420">
        <v>25</v>
      </c>
      <c r="AG420">
        <v>0.48249999999999998</v>
      </c>
    </row>
    <row r="421" spans="30:33" x14ac:dyDescent="0.4">
      <c r="AD421">
        <v>-89</v>
      </c>
      <c r="AE421">
        <v>-0.5</v>
      </c>
      <c r="AF421">
        <v>23</v>
      </c>
      <c r="AG421">
        <v>0.4975</v>
      </c>
    </row>
    <row r="422" spans="30:33" x14ac:dyDescent="0.4">
      <c r="AD422">
        <v>-90</v>
      </c>
      <c r="AE422">
        <v>-0.5</v>
      </c>
      <c r="AF422">
        <v>21</v>
      </c>
      <c r="AG422">
        <v>0.4975</v>
      </c>
    </row>
    <row r="423" spans="30:33" x14ac:dyDescent="0.4">
      <c r="AD423">
        <v>-91</v>
      </c>
      <c r="AE423">
        <v>-0.5</v>
      </c>
      <c r="AF423">
        <v>19</v>
      </c>
      <c r="AG423">
        <v>0.5</v>
      </c>
    </row>
    <row r="424" spans="30:33" x14ac:dyDescent="0.4">
      <c r="AD424">
        <v>-92</v>
      </c>
      <c r="AE424">
        <v>-0.5</v>
      </c>
      <c r="AF424">
        <v>17</v>
      </c>
      <c r="AG424">
        <v>0.5</v>
      </c>
    </row>
    <row r="425" spans="30:33" x14ac:dyDescent="0.4">
      <c r="AD425">
        <v>-93</v>
      </c>
      <c r="AE425">
        <v>-0.5</v>
      </c>
      <c r="AF425">
        <v>15</v>
      </c>
      <c r="AG425">
        <v>0.5</v>
      </c>
    </row>
    <row r="426" spans="30:33" x14ac:dyDescent="0.4">
      <c r="AD426">
        <v>-94</v>
      </c>
      <c r="AE426">
        <v>-0.5</v>
      </c>
      <c r="AF426">
        <v>13</v>
      </c>
      <c r="AG426">
        <v>0.5</v>
      </c>
    </row>
    <row r="427" spans="30:33" x14ac:dyDescent="0.4">
      <c r="AD427">
        <v>-95</v>
      </c>
      <c r="AE427">
        <v>-0.5</v>
      </c>
      <c r="AF427">
        <v>11</v>
      </c>
      <c r="AG427">
        <v>0.5</v>
      </c>
    </row>
    <row r="428" spans="30:33" x14ac:dyDescent="0.4">
      <c r="AD428">
        <v>-96</v>
      </c>
      <c r="AE428">
        <v>-0.5</v>
      </c>
      <c r="AF428">
        <v>9</v>
      </c>
      <c r="AG428">
        <v>0.5</v>
      </c>
    </row>
    <row r="429" spans="30:33" x14ac:dyDescent="0.4">
      <c r="AD429">
        <v>-97</v>
      </c>
      <c r="AE429">
        <v>-0.5</v>
      </c>
      <c r="AF429">
        <v>7</v>
      </c>
      <c r="AG429">
        <v>0.5</v>
      </c>
    </row>
    <row r="430" spans="30:33" x14ac:dyDescent="0.4">
      <c r="AD430">
        <v>-98</v>
      </c>
      <c r="AE430">
        <v>-0.5</v>
      </c>
      <c r="AF430">
        <v>5</v>
      </c>
      <c r="AG430">
        <v>0.5</v>
      </c>
    </row>
    <row r="431" spans="30:33" x14ac:dyDescent="0.4">
      <c r="AD431">
        <v>-99</v>
      </c>
      <c r="AE431">
        <v>-0.5</v>
      </c>
      <c r="AF431">
        <v>3</v>
      </c>
      <c r="AG431">
        <v>0.5</v>
      </c>
    </row>
  </sheetData>
  <phoneticPr fontId="1" type="noConversion"/>
  <conditionalFormatting sqref="H3:AA22">
    <cfRule type="colorScale" priority="2">
      <colorScale>
        <cfvo type="num" val="0"/>
        <cfvo type="num" val="1"/>
        <color theme="0"/>
        <color rgb="FF0070C0"/>
      </colorScale>
    </cfRule>
  </conditionalFormatting>
  <conditionalFormatting sqref="H31:AA50">
    <cfRule type="colorScale" priority="1">
      <colorScale>
        <cfvo type="num" val="0"/>
        <cfvo type="num" val="1"/>
        <color theme="0"/>
        <color rgb="FF0070C0"/>
      </colorScale>
    </cfRule>
  </conditionalFormatting>
  <pageMargins left="0.7" right="0.7" top="0.75" bottom="0.75" header="0.3" footer="0.3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ex9</vt:lpstr>
      <vt:lpstr>ex10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2015-06-05T18:19:34Z</dcterms:created>
  <dcterms:modified xsi:type="dcterms:W3CDTF">2023-06-08T03:52:35Z</dcterms:modified>
</cp:coreProperties>
</file>